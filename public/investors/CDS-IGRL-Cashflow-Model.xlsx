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Funding" sheetId="3" state="visible" r:id="rId5"/>
    <sheet name="Streams" sheetId="4" state="visible" r:id="rId6"/>
    <sheet name="Headline" sheetId="5" state="visible" r:id="rId7"/>
    <sheet name="Headline annual" sheetId="6" state="visible" r:id="rId8"/>
    <sheet name="Ramp" sheetId="7" state="visible" r:id="rId9"/>
    <sheet name="Ramp annual" sheetId="8" state="visible" r:id="rId10"/>
    <sheet name="Downside" sheetId="9" state="visible" r:id="rId11"/>
    <sheet name="Downside annual" sheetId="10" state="visible" r:id="rId12"/>
    <sheet name="Returns" sheetId="11" state="visible" r:id="rId13"/>
    <sheet name="Checks" sheetId="12" state="visible" r:id="rId14"/>
  </sheets>
  <definedNames>
    <definedName function="false" hidden="false" localSheetId="11" name="_xlnm.Print_Titles" vbProcedure="false">Checks!$1:$2</definedName>
    <definedName function="false" hidden="false" localSheetId="8" name="_xlnm.Print_Titles" vbProcedure="false">Downside!$A:$A,Downside!$1:$2</definedName>
    <definedName function="false" hidden="false" localSheetId="9" name="_xlnm.Print_Titles" vbProcedure="false">'Downside annual'!$A:$A,'Downside annual'!$1:$2</definedName>
    <definedName function="false" hidden="false" localSheetId="2" name="_xlnm.Print_Titles" vbProcedure="false">Funding!$1:$2</definedName>
    <definedName function="false" hidden="false" localSheetId="4" name="_xlnm.Print_Titles" vbProcedure="false">Headline!$A:$A,Headline!$1:$2</definedName>
    <definedName function="false" hidden="false" localSheetId="5" name="_xlnm.Print_Titles" vbProcedure="false">'Headline annual'!$A:$A,'Headline annual'!$1:$2</definedName>
    <definedName function="false" hidden="false" localSheetId="1" name="_xlnm.Print_Titles" vbProcedure="false">Inputs!$1:$2</definedName>
    <definedName function="false" hidden="false" localSheetId="6" name="_xlnm.Print_Titles" vbProcedure="false">Ramp!$A:$A,Ramp!$1:$2</definedName>
    <definedName function="false" hidden="false" localSheetId="7" name="_xlnm.Print_Titles" vbProcedure="false">'Ramp annual'!$A:$A,'Ramp annual'!$1:$2</definedName>
    <definedName function="false" hidden="false" localSheetId="0" name="_xlnm.Print_Titles" vbProcedure="false">'Read me'!$1:$2</definedName>
    <definedName function="false" hidden="false" localSheetId="10" name="_xlnm.Print_Titles" vbProcedure="false">Returns!$1:$2</definedName>
    <definedName function="false" hidden="false" localSheetId="3" name="_xlnm.Print_Titles" vbProcedure="false">Streams!$1:$2</definedName>
    <definedName function="false" hidden="false" localSheetId="4" name="Excel_BuiltIn_Print_Titles" vbProcedure="false">Headline!$1:$2,Headline!$A:$A</definedName>
    <definedName function="false" hidden="false" localSheetId="5" name="Excel_BuiltIn_Print_Titles" vbProcedure="false">'Headline annual'!$1:$2,'Headline annual'!$A:$A</definedName>
    <definedName function="false" hidden="false" localSheetId="6" name="Excel_BuiltIn_Print_Titles" vbProcedure="false">Ramp!$1:$2,Ramp!$A:$A</definedName>
    <definedName function="false" hidden="false" localSheetId="7" name="Excel_BuiltIn_Print_Titles" vbProcedure="false">'Ramp annual'!$1:$2,'Ramp annual'!$A:$A</definedName>
    <definedName function="false" hidden="false" localSheetId="8" name="Excel_BuiltIn_Print_Titles" vbProcedure="false">Downside!$1:$2,Downside!$A:$A</definedName>
    <definedName function="false" hidden="false" localSheetId="9" name="Excel_BuiltIn_Print_Titles" vbProcedure="false">'Downside annual'!$1:$2,'Downside annual'!$A:$A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Model assumption / source</author>
  </authors>
  <commentList>
    <comment ref="B2" authorId="0">
      <text>
        <r>
          <rPr>
            <sz val="10"/>
            <rFont val="Arial"/>
            <family val="2"/>
          </rPr>
          <t xml:space="preserve">Calendar convention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Source §3: ten years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Source §4/6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Source §4/6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 §4/6; includes reserve and distribution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 §4; reserve only, not actual cost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 §4; illustrative actual distribution policy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ASSUMPTION: 0 excludes VAT from target, 1 divides target by 1+VAT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ILLUSTRATIVE tax parameter, not legal opinion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ILLUSTRATIVE positive monthly EBIT tax; no loss relief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 §5 recruitment target; assumed fully staffed from M1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UNPROVIDED assumption, fully loaded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UNPROVIDED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UNPROVIDED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UNPROVIDED assumption; 0 to 30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UNPROVIDED assumption; 0 to 30 on recurring OPEX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ASSUMPTION simplifying working capital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UNPROVIDED assumption: uniform deployment M1–12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UNPROVIDED depreciation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UNPROVIDED assumption after initial spend period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Source §10 amount; M0 convention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Source §10 amount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ILLUSTRATIVE alignment to §8, not signed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Source §8 non-overlap convention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Source §8 non-overlap convention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Source §8 non-overlap convention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Source §8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Source §8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UNPROVIDED downside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UNPROVIDED downside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Units conversion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Computational tolerance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Formula constant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Formula constant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Model assumption / source</author>
  </authors>
  <commentList>
    <comment ref="B2" authorId="0">
      <text>
        <r>
          <rPr>
            <sz val="10"/>
            <rFont val="Arial"/>
            <family val="2"/>
          </rPr>
          <t xml:space="preserve">Source §5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Source §5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Source §5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Source §5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 §5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ASSUMPTION: 1 capitalized, 0 launch expense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ASSUMPTION: 1 capitalized, 0 launch expense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ASSUMPTION: 1 capitalized, 0 launch expense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ASSUMPTION: 1 capitalized, 0 launch expense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ASSUMPTION: 1 capitalized, 0 launch expense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Model assumption / source</author>
  </authors>
  <commentList>
    <comment ref="C2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Source §2 bucket target, repeated by member; do not sum column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2" authorId="0">
      <text>
        <r>
          <rPr>
            <sz val="10"/>
            <rFont val="Arial"/>
            <family val="2"/>
          </rPr>
          <t xml:space="preserve">ILLUSTRATIVE split, not evidence. §2: quarterly frequency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Arial"/>
            <family val="2"/>
          </rPr>
          <t xml:space="preserve">ILLUSTRATIVE split, not evidence. 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ILLUSTRATIVE split, not evidence. 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ILLUSTRATIVE split, not evidence. 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ILLUSTRATIVE split, not evidence. 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ILLUSTRATIVE split, not evidence. 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ILLUSTRATIVE split, not evidence. 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ILLUSTRATIVE split, not evidence. 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ILLUSTRATIVE split, not evidence. 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ILLUSTRATIVE split, not evidence. §2: no volume/fee; zero bottom-up; airport bowsers only, excludes road tankers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ILLUSTRATIVE split, not evidence. §2: no volume/fee; zero bottom-up; ships/bulk marine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ILLUSTRATIVE split, not evidence. §2 combined5000 assigned here only; frequency UNKNOWN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ILLUSTRATIVE split, not evidence. §2 combined bucket; no separate priced volume; zero avoids double count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§2: quarterly frequency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3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§2: no volume/fee; zero bottom-up; airport bowsers only, excludes road tankers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§2: no volume/fee; zero bottom-up; ships/bulk marine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§2 combined5000 assigned here only; frequency UNKNOWN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§2 combined bucket; no separate priced volume; zero avoids double count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2" authorId="0">
      <text>
        <r>
          <rPr>
            <sz val="10"/>
            <rFont val="Arial"/>
            <family val="2"/>
          </rPr>
          <t xml:space="preserve">§2: quarterly frequency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3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§2: no volume/fee; zero bottom-up; airport bowsers only, excludes road tankers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§2: no volume/fee; zero bottom-up; ships/bulk marine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§2 combined5000 assigned here only; frequency UNKNOWN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§2 combined bucket; no separate priced volume; zero avoids double count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2" authorId="0">
      <text>
        <r>
          <rPr>
            <sz val="10"/>
            <rFont val="Arial"/>
            <family val="2"/>
          </rPr>
          <t xml:space="preserve">§2: quarterly frequency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3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4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§2: frequency UNKNOWN;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§2: no volume/fee; zero bottom-up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§2: annual explicit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§2: no volume/fee; zero bottom-up; airport bowsers only, excludes road tankers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§2: no volume/fee; zero bottom-up; ships/bulk marine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§2 combined5000 assigned here only; frequency UNKNOWN annual assumed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§2 combined bucket; no separate priced volume; zero avoids double count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<sst xmlns="http://schemas.openxmlformats.org/spreadsheetml/2006/main" count="681" uniqueCount="298">
  <si>
    <t xml:space="preserve">CDS-IGRL | Investment model</t>
  </si>
  <si>
    <t xml:space="preserve">Basis / limitations</t>
  </si>
  <si>
    <t xml:space="preserve">Units</t>
  </si>
  <si>
    <t xml:space="preserve">NGN billions unless stated. Nominal; no automatic inflation, debt, refinancing or terminal proceeds.</t>
  </si>
  <si>
    <t xml:space="preserve">Status</t>
  </si>
  <si>
    <t xml:space="preserve">ILLUSTRATIVE, NOT INVESTMENT VALIDATION. No executed guarantee, concession or tariff evidence verified.</t>
  </si>
  <si>
    <t xml:space="preserve">Source</t>
  </si>
  <si>
    <t xml:space="preserve">Investors Pitch Deck.docx, dated 15 October 2026; references below use its numbered sections.</t>
  </si>
  <si>
    <t xml:space="preserve">How to edit</t>
  </si>
  <si>
    <t xml:space="preserve">Blue font = editable input; black = formula; green = cross-sheet formula. Inputs, Streams and Funding are input tabs.</t>
  </si>
  <si>
    <t xml:space="preserve">Cases</t>
  </si>
  <si>
    <t xml:space="preserve">Headline: 35B each month; Ramp: M1–5 zero, M6–8 15B, M9–11 25B, M12 onward 35B. Downside: 60% realization and 3-month delay, both illustrative.</t>
  </si>
  <si>
    <t xml:space="preserve">Boundary convention</t>
  </si>
  <si>
    <t xml:space="preserve">Source M6–9/M9–12/M12–18 bands overlap. Non-overlapping M6–8/M9–11/M12+ adopted, not independently sourced.</t>
  </si>
  <si>
    <t xml:space="preserve">Funding conflict</t>
  </si>
  <si>
    <t xml:space="preserve">Source says first 5B and second 5B (§4); second 25B (§8); first25B+second25B (§10). Adopt illustrative 25B M0 +25B M9, not a resolved contractual schedule.</t>
  </si>
  <si>
    <t xml:space="preserve">Headline comparison</t>
  </si>
  <si>
    <t xml:space="preserve">Headline alone adopts full 50B funding M0 for like-for-like audit of source 420B proceeds. Ramp and Downside use staged funding.</t>
  </si>
  <si>
    <t xml:space="preserve">Revenue allocation</t>
  </si>
  <si>
    <t xml:space="preserve">Original seven bucket targets retained. Thirteen mutually exclusive substream allocations are illustrative, not evidence supporting 35B/month.</t>
  </si>
  <si>
    <t xml:space="preserve">Bottom-up</t>
  </si>
  <si>
    <t xml:space="preserve">Quantity × fee × events/year /1e9. Missing frequencies assumed annual and flagged. Unpriced streams =0, not invented revenue. Combined licensing/pattern quantity assigned to licensing only to avoid double count.</t>
  </si>
  <si>
    <t xml:space="preserve">VAT / WHT</t>
  </si>
  <si>
    <t xml:space="preserve">Default target revenue is VAT-exclusive; editable VAT-inclusive switch and rate. VAT is not revenue. WHT is not modeled as an expense: creditability, timing and treatment require tax advice.</t>
  </si>
  <si>
    <t xml:space="preserve">Revenue vs receipts</t>
  </si>
  <si>
    <t xml:space="preserve">Revenue is billed target; AR = revenue × DSO/30. Cash receipts = revenue - change in AR. DSO constrained 0–30; this approximation is not suitable for longer delays.</t>
  </si>
  <si>
    <t xml:space="preserve">Legal waterfall</t>
  </si>
  <si>
    <t xml:space="preserve">FGN40 + Investor10 + CDS50 =100%. Source CDS50 comprises OPEX reserve20 + CDS distribution30, not extra allocations.</t>
  </si>
  <si>
    <t xml:space="preserve">Operating costs</t>
  </si>
  <si>
    <t xml:space="preserve">20% source reserve is NOT proven actual OPEX. Actual illustrative cost drivers separately model personnel, other fixed cost, variable cost and launch expense.</t>
  </si>
  <si>
    <t xml:space="preserve">Investor payments</t>
  </si>
  <si>
    <t xml:space="preserve">Investor payout =10% receipts, even if cash is insufficient. Returns are ENTITLEMENT projections, not assured funded payments. Negative cash and peak funding gaps explicitly flag infeasibility.</t>
  </si>
  <si>
    <t xml:space="preserve">CDS distributions</t>
  </si>
  <si>
    <t xml:space="preserve">Illustrative sweep of 30% receipts. Taxes, actual costs, capex and WC can exceed remaining funds; no automatic rescue finance.</t>
  </si>
  <si>
    <t xml:space="preserve">Tax</t>
  </si>
  <si>
    <t xml:space="preserve">Illustrative 30% positive monthly EBIT cash tax, NOT a verified Nigerian effective tax rate. No loss carryforwards, deferred tax or US NOL rules. Investor-level tax excluded.</t>
  </si>
  <si>
    <t xml:space="preserve">Balance sheet</t>
  </si>
  <si>
    <t xml:space="preserve">Cash is unfinanced pro-forma cash and may be negative. Negative cash is an unmet funding need, NOT an assumed bank facility. No debt schedule; DSCR is N/A.</t>
  </si>
  <si>
    <t xml:space="preserve">Capex and expense</t>
  </si>
  <si>
    <t xml:space="preserve">Equipment25/infrastructure10/technology8 capitalized; human4/compliance3 expensed. Classification and uniform M1–12 spend are assumptions, not audited accounting.</t>
  </si>
  <si>
    <t xml:space="preserve">Depreciation</t>
  </si>
  <si>
    <t xml:space="preserve">Straight-line monthly asset-cohort depreciation over editable life, beginning in purchase month; maintenance capex is separate. No terminal liquidation or working-capital release.</t>
  </si>
  <si>
    <t xml:space="preserve">Metrics</t>
  </si>
  <si>
    <t xml:space="preserve">Monthly IRR annualized as (1+r)^12-1. Annual IRR uses year-end aggregated cash flows. MOIC=distributions/contributions; net ROI=MOIC-1. No capital repayment assumed.</t>
  </si>
  <si>
    <t xml:space="preserve">Payback</t>
  </si>
  <si>
    <t xml:space="preserve">First nonnegative cumulative investor cashflow, with fractional interpolation. Also shown after reserving all future committed contributions; no guarantee payback.</t>
  </si>
  <si>
    <t xml:space="preserve">Verification</t>
  </si>
  <si>
    <t xml:space="preserve">Workbook recalculated by real LibreOffice; formula errors and all monthly balance checks scanned, scenario hierarchy and independent cashflow IRRs tested. See model-verification.json.</t>
  </si>
  <si>
    <t xml:space="preserve">Source claims</t>
  </si>
  <si>
    <t xml:space="preserve">840% is gross proceeds/capital, not net ROI (740% at headline). Source ~68% IRR is not reproduced; 8.4x is MOIC, not DSCR.</t>
  </si>
  <si>
    <t xml:space="preserve">Driver</t>
  </si>
  <si>
    <t xml:space="preserve">Value</t>
  </si>
  <si>
    <t xml:space="preserve">Units / source / assumption</t>
  </si>
  <si>
    <t xml:space="preserve">Months per year</t>
  </si>
  <si>
    <t xml:space="preserve">Calendar convention</t>
  </si>
  <si>
    <t xml:space="preserve">Model months</t>
  </si>
  <si>
    <t xml:space="preserve">Source §3: ten years</t>
  </si>
  <si>
    <t xml:space="preserve">Government share</t>
  </si>
  <si>
    <t xml:space="preserve">Source §4/6</t>
  </si>
  <si>
    <t xml:space="preserve">Investor share</t>
  </si>
  <si>
    <t xml:space="preserve">CDS legal share</t>
  </si>
  <si>
    <t xml:space="preserve">Source §4/6; includes reserve and distribution</t>
  </si>
  <si>
    <t xml:space="preserve">OPEX reserve share</t>
  </si>
  <si>
    <t xml:space="preserve">Source §4; reserve only, not actual cost</t>
  </si>
  <si>
    <t xml:space="preserve">CDS sweep share</t>
  </si>
  <si>
    <t xml:space="preserve">Source §4; illustrative actual distribution policy</t>
  </si>
  <si>
    <t xml:space="preserve">VAT-inclusive target switch</t>
  </si>
  <si>
    <t xml:space="preserve">ASSUMPTION: 0 excludes VAT from target, 1 divides target by 1+VAT rate</t>
  </si>
  <si>
    <t xml:space="preserve">VAT rate assumption</t>
  </si>
  <si>
    <t xml:space="preserve">ILLUSTRATIVE tax parameter, not legal opinion</t>
  </si>
  <si>
    <t xml:space="preserve">Cash income tax rate</t>
  </si>
  <si>
    <t xml:space="preserve">ILLUSTRATIVE positive monthly EBIT tax; no loss relief</t>
  </si>
  <si>
    <t xml:space="preserve">Staff count</t>
  </si>
  <si>
    <t xml:space="preserve">Source §5 recruitment target; assumed fully staffed from M1</t>
  </si>
  <si>
    <t xml:space="preserve">Monthly cost per employee NGN</t>
  </si>
  <si>
    <t xml:space="preserve">UNPROVIDED assumption, fully loaded</t>
  </si>
  <si>
    <t xml:space="preserve">Other fixed OPEX B/month</t>
  </si>
  <si>
    <t xml:space="preserve">UNPROVIDED assumption</t>
  </si>
  <si>
    <t xml:space="preserve">Variable OPEX / revenue</t>
  </si>
  <si>
    <t xml:space="preserve">DSO days</t>
  </si>
  <si>
    <t xml:space="preserve">UNPROVIDED assumption; 0 to 30 only</t>
  </si>
  <si>
    <t xml:space="preserve">DPO days</t>
  </si>
  <si>
    <t xml:space="preserve">UNPROVIDED assumption; 0 to 30 on recurring OPEX only</t>
  </si>
  <si>
    <t xml:space="preserve">Days per model month</t>
  </si>
  <si>
    <t xml:space="preserve">ASSUMPTION simplifying working capital</t>
  </si>
  <si>
    <t xml:space="preserve">Initial spend months</t>
  </si>
  <si>
    <t xml:space="preserve">UNPROVIDED assumption: uniform deployment M1–12</t>
  </si>
  <si>
    <t xml:space="preserve">Asset life months</t>
  </si>
  <si>
    <t xml:space="preserve">UNPROVIDED depreciation assumption</t>
  </si>
  <si>
    <t xml:space="preserve">Maintenance capex / revenue</t>
  </si>
  <si>
    <t xml:space="preserve">UNPROVIDED assumption after initial spend period</t>
  </si>
  <si>
    <t xml:space="preserve">Funding close1 B</t>
  </si>
  <si>
    <t xml:space="preserve">Source §10 amount; M0 convention</t>
  </si>
  <si>
    <t xml:space="preserve">Funding close2 B</t>
  </si>
  <si>
    <t xml:space="preserve">Source §10 amount</t>
  </si>
  <si>
    <t xml:space="preserve">Funding close2 month</t>
  </si>
  <si>
    <t xml:space="preserve">ILLUSTRATIVE alignment to §8, not signed</t>
  </si>
  <si>
    <t xml:space="preserve">Ramp phase1 start</t>
  </si>
  <si>
    <t xml:space="preserve">Source §8 non-overlap convention</t>
  </si>
  <si>
    <t xml:space="preserve">Ramp phase2 start</t>
  </si>
  <si>
    <t xml:space="preserve">Ramp steady start</t>
  </si>
  <si>
    <t xml:space="preserve">Ramp phase1 monthly B</t>
  </si>
  <si>
    <t xml:space="preserve">Source §8</t>
  </si>
  <si>
    <t xml:space="preserve">Ramp phase2 monthly B</t>
  </si>
  <si>
    <t xml:space="preserve">Downside realization</t>
  </si>
  <si>
    <t xml:space="preserve">UNPROVIDED downside assumption</t>
  </si>
  <si>
    <t xml:space="preserve">Downside delay months</t>
  </si>
  <si>
    <t xml:space="preserve">Billion divisor</t>
  </si>
  <si>
    <t xml:space="preserve">Units conversion</t>
  </si>
  <si>
    <t xml:space="preserve">Check tolerance B</t>
  </si>
  <si>
    <t xml:space="preserve">Computational tolerance</t>
  </si>
  <si>
    <t xml:space="preserve">Zero</t>
  </si>
  <si>
    <t xml:space="preserve">Formula constant</t>
  </si>
  <si>
    <t xml:space="preserve">One</t>
  </si>
  <si>
    <t xml:space="preserve">Use of funds</t>
  </si>
  <si>
    <t xml:space="preserve">B NGN</t>
  </si>
  <si>
    <t xml:space="preserve">Capitalized flag</t>
  </si>
  <si>
    <t xml:space="preserve">Source / modeling treatment</t>
  </si>
  <si>
    <t xml:space="preserve">Equipment</t>
  </si>
  <si>
    <t xml:space="preserve">Source §5 amount; accounting treatment illustrative</t>
  </si>
  <si>
    <t xml:space="preserve">Infrastructure</t>
  </si>
  <si>
    <t xml:space="preserve">Technology</t>
  </si>
  <si>
    <t xml:space="preserve">Human capital</t>
  </si>
  <si>
    <t xml:space="preserve">Compliance</t>
  </si>
  <si>
    <t xml:space="preserve">Total</t>
  </si>
  <si>
    <t xml:space="preserve">Capitalized total in C7</t>
  </si>
  <si>
    <t xml:space="preserve">Launch expense</t>
  </si>
  <si>
    <t xml:space="preserve">Non-overlapping stream</t>
  </si>
  <si>
    <t xml:space="preserve">Original source bucket</t>
  </si>
  <si>
    <t xml:space="preserve">Bucket monthly B</t>
  </si>
  <si>
    <t xml:space="preserve">Illustrative allocation %</t>
  </si>
  <si>
    <t xml:space="preserve">Target B/month</t>
  </si>
  <si>
    <t xml:space="preserve">Quantity</t>
  </si>
  <si>
    <t xml:space="preserve">Fee NGN</t>
  </si>
  <si>
    <t xml:space="preserve">Events/year</t>
  </si>
  <si>
    <t xml:space="preserve">Bottom-up annual B</t>
  </si>
  <si>
    <t xml:space="preserve">Bottom-up monthly B</t>
  </si>
  <si>
    <t xml:space="preserve">Basis / missing evidence</t>
  </si>
  <si>
    <t xml:space="preserve">Pumps</t>
  </si>
  <si>
    <t xml:space="preserve">Oil &amp; gas</t>
  </si>
  <si>
    <t xml:space="preserve">§2: quarterly frequency explicit; allocation splits illustrative</t>
  </si>
  <si>
    <t xml:space="preserve">Tankers</t>
  </si>
  <si>
    <t xml:space="preserve">§2: frequency UNKNOWN; annual assumed; allocation splits illustrative</t>
  </si>
  <si>
    <t xml:space="preserve">Depots</t>
  </si>
  <si>
    <t xml:space="preserve">Retail scales</t>
  </si>
  <si>
    <t xml:space="preserve">Retail/FMCG</t>
  </si>
  <si>
    <t xml:space="preserve">§2: annual explicit; allocation splits illustrative</t>
  </si>
  <si>
    <t xml:space="preserve">Scanners</t>
  </si>
  <si>
    <t xml:space="preserve">Electricity meters</t>
  </si>
  <si>
    <t xml:space="preserve">Power/utilities</t>
  </si>
  <si>
    <t xml:space="preserve">Telecom billing</t>
  </si>
  <si>
    <t xml:space="preserve">Telecom/banking/ICT</t>
  </si>
  <si>
    <t xml:space="preserve">§2: no volume/fee; zero bottom-up; allocation splits illustrative</t>
  </si>
  <si>
    <t xml:space="preserve">Banking ICT</t>
  </si>
  <si>
    <t xml:space="preserve">Manufacturing weighbridges</t>
  </si>
  <si>
    <t xml:space="preserve">Manufacturing</t>
  </si>
  <si>
    <t xml:space="preserve">Aviation</t>
  </si>
  <si>
    <t xml:space="preserve">Aviation/marine/bulk</t>
  </si>
  <si>
    <t xml:space="preserve">§2: no volume/fee; zero bottom-up; airport bowsers only, excludes road tankers; allocation splits illustrative</t>
  </si>
  <si>
    <t xml:space="preserve">Marine</t>
  </si>
  <si>
    <t xml:space="preserve">§2: no volume/fee; zero bottom-up; ships/bulk marine only; allocation splits illustrative</t>
  </si>
  <si>
    <t xml:space="preserve">Licensing</t>
  </si>
  <si>
    <t xml:space="preserve">Licensing/pattern</t>
  </si>
  <si>
    <t xml:space="preserve">§2 combined5000 assigned here only; frequency UNKNOWN annual assumed; allocation splits illustrative</t>
  </si>
  <si>
    <t xml:space="preserve">Pattern approval</t>
  </si>
  <si>
    <t xml:space="preserve">§2 combined bucket; no separate priced volume; zero avoids double count; allocation splits illustrative</t>
  </si>
  <si>
    <t xml:space="preserve">TOTAL</t>
  </si>
  <si>
    <t xml:space="preserve">Bottom-up / target</t>
  </si>
  <si>
    <t xml:space="preserve">Unbridged target B/month</t>
  </si>
  <si>
    <t xml:space="preserve">Allocation check =0</t>
  </si>
  <si>
    <t xml:space="preserve">Month index</t>
  </si>
  <si>
    <t xml:space="preserve">Model year</t>
  </si>
  <si>
    <t xml:space="preserve">Case target before VAT B</t>
  </si>
  <si>
    <t xml:space="preserve">Revenue base excluding VAT</t>
  </si>
  <si>
    <t xml:space="preserve">VAT excluded from base (informational)</t>
  </si>
  <si>
    <t xml:space="preserve">Pumps revenue</t>
  </si>
  <si>
    <t xml:space="preserve">Tankers revenue</t>
  </si>
  <si>
    <t xml:space="preserve">Depots revenue</t>
  </si>
  <si>
    <t xml:space="preserve">Retail scales revenue</t>
  </si>
  <si>
    <t xml:space="preserve">Scanners revenue</t>
  </si>
  <si>
    <t xml:space="preserve">Electricity meters revenue</t>
  </si>
  <si>
    <t xml:space="preserve">Telecom billing revenue</t>
  </si>
  <si>
    <t xml:space="preserve">Banking ICT revenue</t>
  </si>
  <si>
    <t xml:space="preserve">Manufacturing weighbridges revenue</t>
  </si>
  <si>
    <t xml:space="preserve">Aviation revenue</t>
  </si>
  <si>
    <t xml:space="preserve">Marine revenue</t>
  </si>
  <si>
    <t xml:space="preserve">Licensing revenue</t>
  </si>
  <si>
    <t xml:space="preserve">Pattern approval revenue</t>
  </si>
  <si>
    <t xml:space="preserve">Total stream revenue</t>
  </si>
  <si>
    <t xml:space="preserve">AR closing</t>
  </si>
  <si>
    <t xml:space="preserve">Change in AR</t>
  </si>
  <si>
    <t xml:space="preserve">Cash receipts</t>
  </si>
  <si>
    <t xml:space="preserve">Government allocation expense / cash paid</t>
  </si>
  <si>
    <t xml:space="preserve">Investor distribution entitlement</t>
  </si>
  <si>
    <t xml:space="preserve">CDS legal 50% of receipts (memo)</t>
  </si>
  <si>
    <t xml:space="preserve">OPEX reserve 20% receipts (memo)</t>
  </si>
  <si>
    <t xml:space="preserve">CDS distribution 30% receipts</t>
  </si>
  <si>
    <t xml:space="preserve">Personnel recurring OPEX</t>
  </si>
  <si>
    <t xml:space="preserve">Other fixed recurring OPEX</t>
  </si>
  <si>
    <t xml:space="preserve">Variable recurring OPEX</t>
  </si>
  <si>
    <t xml:space="preserve">Recurring OPEX total</t>
  </si>
  <si>
    <t xml:space="preserve">Launch expenses</t>
  </si>
  <si>
    <t xml:space="preserve">Total actual modeled OPEX</t>
  </si>
  <si>
    <t xml:space="preserve">Reserve less actual OPEX (memo)</t>
  </si>
  <si>
    <t xml:space="preserve">EBITDA after government allocation</t>
  </si>
  <si>
    <t xml:space="preserve">Initial capex</t>
  </si>
  <si>
    <t xml:space="preserve">Maintenance capex</t>
  </si>
  <si>
    <t xml:space="preserve">Total capex</t>
  </si>
  <si>
    <t xml:space="preserve">EBIT</t>
  </si>
  <si>
    <t xml:space="preserve">Cash tax / tax expense</t>
  </si>
  <si>
    <t xml:space="preserve">Net income before owner distributions</t>
  </si>
  <si>
    <t xml:space="preserve">AP closing</t>
  </si>
  <si>
    <t xml:space="preserve">Change in AP</t>
  </si>
  <si>
    <t xml:space="preserve">CFO = NI + DA - change AR + change AP</t>
  </si>
  <si>
    <t xml:space="preserve">CFI = capex outflow</t>
  </si>
  <si>
    <t xml:space="preserve">Investor capital contributed</t>
  </si>
  <si>
    <t xml:space="preserve">Owner distributions (investor + CDS)</t>
  </si>
  <si>
    <t xml:space="preserve">CFF = contributions - owner distributions</t>
  </si>
  <si>
    <t xml:space="preserve">Net cash flow</t>
  </si>
  <si>
    <t xml:space="preserve">Opening unfinanced cash</t>
  </si>
  <si>
    <t xml:space="preserve">Closing unfinanced cash</t>
  </si>
  <si>
    <t xml:space="preserve">Funding gap at period end</t>
  </si>
  <si>
    <t xml:space="preserve">PP&amp;E closing net</t>
  </si>
  <si>
    <t xml:space="preserve">Cumulative contributed capital</t>
  </si>
  <si>
    <t xml:space="preserve">Retained earnings after distributions</t>
  </si>
  <si>
    <t xml:space="preserve">Total assets (cash may be unfunded)</t>
  </si>
  <si>
    <t xml:space="preserve">Total liabilities + equity</t>
  </si>
  <si>
    <t xml:space="preserve">Balance sheet check</t>
  </si>
  <si>
    <t xml:space="preserve">Cash roll-forward check</t>
  </si>
  <si>
    <t xml:space="preserve">Allocation split check</t>
  </si>
  <si>
    <t xml:space="preserve">Investor net cash flow</t>
  </si>
  <si>
    <t xml:space="preserve">Investor cumulative net cash flow</t>
  </si>
  <si>
    <t xml:space="preserve">Investor cumulative distributions</t>
  </si>
  <si>
    <t xml:space="preserve">Gross share source entitlement</t>
  </si>
  <si>
    <t xml:space="preserve">Revenue stream tie check</t>
  </si>
  <si>
    <t xml:space="preserve">Investor CF after all committed funding reserved</t>
  </si>
  <si>
    <t xml:space="preserve">Cash receipt negative flag</t>
  </si>
  <si>
    <t xml:space="preserve">Metric</t>
  </si>
  <si>
    <t xml:space="preserve">Headline</t>
  </si>
  <si>
    <t xml:space="preserve">Ramp</t>
  </si>
  <si>
    <t xml:space="preserve">Downside</t>
  </si>
  <si>
    <t xml:space="preserve">Interpretation</t>
  </si>
  <si>
    <t xml:space="preserve">Total revenue B</t>
  </si>
  <si>
    <t xml:space="preserve">Investor contributions B</t>
  </si>
  <si>
    <t xml:space="preserve">Investor distributions B</t>
  </si>
  <si>
    <t xml:space="preserve">Net investor gain B</t>
  </si>
  <si>
    <t xml:space="preserve">MOIC x</t>
  </si>
  <si>
    <t xml:space="preserve">Net ROI</t>
  </si>
  <si>
    <t xml:space="preserve">Monthly IRR</t>
  </si>
  <si>
    <t xml:space="preserve">Effective annual IRR from monthly</t>
  </si>
  <si>
    <t xml:space="preserve">Monthly receipt timing; effective compounded annual rate, not monthly rate ×12</t>
  </si>
  <si>
    <t xml:space="preserve">Annual year-end IRR</t>
  </si>
  <si>
    <t xml:space="preserve">Year-end aggregation changes timing; source ~68% is not reproduced</t>
  </si>
  <si>
    <t xml:space="preserve">First whole payback month</t>
  </si>
  <si>
    <t xml:space="preserve">Interpolated payback months</t>
  </si>
  <si>
    <t xml:space="preserve">Linear interpolation within month; entitlement basis, not cash guarantee</t>
  </si>
  <si>
    <t xml:space="preserve">Committed-capital payback month</t>
  </si>
  <si>
    <t xml:space="preserve">Peak funding gap B</t>
  </si>
  <si>
    <t xml:space="preserve">Minimum project cash B</t>
  </si>
  <si>
    <t xml:space="preserve">Year 1 revenue B</t>
  </si>
  <si>
    <t xml:space="preserve">Year 1 investor payout B</t>
  </si>
  <si>
    <t xml:space="preserve">10Y government B</t>
  </si>
  <si>
    <t xml:space="preserve">10Y CDS distributions B</t>
  </si>
  <si>
    <t xml:space="preserve">10Y actual modeled OPEX B</t>
  </si>
  <si>
    <t xml:space="preserve">10Y OPEX reserve B</t>
  </si>
  <si>
    <t xml:space="preserve">10Y tax B</t>
  </si>
  <si>
    <t xml:space="preserve">Max absolute BS check B</t>
  </si>
  <si>
    <t xml:space="preserve">Max cash rollforward check B</t>
  </si>
  <si>
    <t xml:space="preserve">DSCR</t>
  </si>
  <si>
    <t xml:space="preserve">N/A — no debt service schedule</t>
  </si>
  <si>
    <t xml:space="preserve">Funding feasibility</t>
  </si>
  <si>
    <t xml:space="preserve">Audit check</t>
  </si>
  <si>
    <t xml:space="preserve">Value / status</t>
  </si>
  <si>
    <t xml:space="preserve">Expected / meaning</t>
  </si>
  <si>
    <t xml:space="preserve">Legal shares</t>
  </si>
  <si>
    <t xml:space="preserve">0</t>
  </si>
  <si>
    <t xml:space="preserve">CDS reserve + sweep</t>
  </si>
  <si>
    <t xml:space="preserve">Use vs funding</t>
  </si>
  <si>
    <t xml:space="preserve">Bottom-up monthly</t>
  </si>
  <si>
    <t xml:space="preserve">Quantity×fee×frequency; assumptions flagged</t>
  </si>
  <si>
    <t xml:space="preserve">Target monthly</t>
  </si>
  <si>
    <t xml:space="preserve">Source target, NOT validated</t>
  </si>
  <si>
    <t xml:space="preserve">Unbridged monthly</t>
  </si>
  <si>
    <t xml:space="preserve">Target less bottom-up; not a forecast bridge</t>
  </si>
  <si>
    <t xml:space="preserve">Bottom-up coverage</t>
  </si>
  <si>
    <t xml:space="preserve">Not a claim of addressable demand validation</t>
  </si>
  <si>
    <t xml:space="preserve">Working capital days supported</t>
  </si>
  <si>
    <t xml:space="preserve">0–30 days</t>
  </si>
  <si>
    <t xml:space="preserve">Annual revenue tie</t>
  </si>
  <si>
    <t xml:space="preserve">Annual cash tie</t>
  </si>
  <si>
    <t xml:space="preserve">Bucket split max absolute</t>
  </si>
  <si>
    <t xml:space="preserve">Scenario revenue hierarchy</t>
  </si>
  <si>
    <t xml:space="preserve">Headline &gt; ramp &gt; downside</t>
  </si>
  <si>
    <t xml:space="preserve">Source claimed ROI</t>
  </si>
  <si>
    <t xml:space="preserve">8.4x gross proceeds; correct net ROI on Returns row7</t>
  </si>
  <si>
    <t xml:space="preserve">Guarantee status</t>
  </si>
  <si>
    <t xml:space="preserve">NOT VERIFIED</t>
  </si>
  <si>
    <t xml:space="preserve">No guarantee cashflows credited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</si>
</sst>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–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10"/>
      <color rgb="FF000000"/>
      <name val="Aptos"/>
      <family val="0"/>
      <charset val="1"/>
    </font>
    <font>
      <sz val="10"/>
      <color rgb="FF0000FF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revenue and investor distributions (NGN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'Headline annual'!$C$1:$L$1</c:f>
              <c:strCache>
                <c:ptCount val="10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</c:strCache>
            </c:strRef>
          </c:cat>
          <c:val>
            <c:numRef>
              <c:f>'Headline annual'!$C$19:$L$19</c:f>
              <c:numCache>
                <c:formatCode>#,##0.00;\(#,##0.00\);\–</c:formatCode>
                <c:ptCount val="10"/>
                <c:pt idx="0">
                  <c:v>420</c:v>
                </c:pt>
                <c:pt idx="1">
                  <c:v>420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420</c:v>
                </c:pt>
                <c:pt idx="8">
                  <c:v>420</c:v>
                </c:pt>
                <c:pt idx="9">
                  <c:v>420</c:v>
                </c:pt>
              </c:numCache>
            </c:numRef>
          </c:val>
          <c:smooth val="1"/>
        </c:ser>
        <c:ser>
          <c:idx val="1"/>
          <c:order val="1"/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'Headline annual'!$C$1:$L$1</c:f>
              <c:strCache>
                <c:ptCount val="10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</c:strCache>
            </c:strRef>
          </c:cat>
          <c:val>
            <c:numRef>
              <c:f>'Headline annual'!$C$24:$L$24</c:f>
              <c:numCache>
                <c:formatCode>#,##0.00;\(#,##0.00\);\–</c:formatCode>
                <c:ptCount val="10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622344"/>
        <c:axId val="99537801"/>
      </c:lineChart>
      <c:catAx>
        <c:axId val="94622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37801"/>
        <c:crosses val="autoZero"/>
        <c:auto val="1"/>
        <c:lblAlgn val="ctr"/>
        <c:lblOffset val="100"/>
        <c:noMultiLvlLbl val="0"/>
      </c:catAx>
      <c:valAx>
        <c:axId val="99537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NGN 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622344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revenue and investor distributions (NGN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'Ramp annual'!$C$1:$L$1</c:f>
              <c:strCache>
                <c:ptCount val="10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</c:strCache>
            </c:strRef>
          </c:cat>
          <c:val>
            <c:numRef>
              <c:f>'Ramp annual'!$C$19:$L$19</c:f>
              <c:numCache>
                <c:formatCode>#,##0.00;\(#,##0.00\);\–</c:formatCode>
                <c:ptCount val="10"/>
                <c:pt idx="0">
                  <c:v>155</c:v>
                </c:pt>
                <c:pt idx="1">
                  <c:v>420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420</c:v>
                </c:pt>
                <c:pt idx="8">
                  <c:v>420</c:v>
                </c:pt>
                <c:pt idx="9">
                  <c:v>420</c:v>
                </c:pt>
              </c:numCache>
            </c:numRef>
          </c:val>
          <c:smooth val="1"/>
        </c:ser>
        <c:ser>
          <c:idx val="1"/>
          <c:order val="1"/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'Ramp annual'!$C$1:$L$1</c:f>
              <c:strCache>
                <c:ptCount val="10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</c:strCache>
            </c:strRef>
          </c:cat>
          <c:val>
            <c:numRef>
              <c:f>'Ramp annual'!$C$24:$L$24</c:f>
              <c:numCache>
                <c:formatCode>#,##0.00;\(#,##0.00\);\–</c:formatCode>
                <c:ptCount val="10"/>
                <c:pt idx="0">
                  <c:v>15.5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234600"/>
        <c:axId val="8562518"/>
      </c:lineChart>
      <c:catAx>
        <c:axId val="65234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62518"/>
        <c:crosses val="autoZero"/>
        <c:auto val="1"/>
        <c:lblAlgn val="ctr"/>
        <c:lblOffset val="100"/>
        <c:noMultiLvlLbl val="0"/>
      </c:catAx>
      <c:valAx>
        <c:axId val="8562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NGN 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234600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revenue and investor distributions (NGN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'Downside annual'!$C$1:$L$1</c:f>
              <c:strCache>
                <c:ptCount val="10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</c:strCache>
            </c:strRef>
          </c:cat>
          <c:val>
            <c:numRef>
              <c:f>'Downside annual'!$C$19:$L$19</c:f>
              <c:numCache>
                <c:formatCode>#,##0.00;\(#,##0.00\);\–</c:formatCode>
                <c:ptCount val="10"/>
                <c:pt idx="0">
                  <c:v>42</c:v>
                </c:pt>
                <c:pt idx="1">
                  <c:v>240</c:v>
                </c:pt>
                <c:pt idx="2">
                  <c:v>252</c:v>
                </c:pt>
                <c:pt idx="3">
                  <c:v>252</c:v>
                </c:pt>
                <c:pt idx="4">
                  <c:v>252</c:v>
                </c:pt>
                <c:pt idx="5">
                  <c:v>252</c:v>
                </c:pt>
                <c:pt idx="6">
                  <c:v>252</c:v>
                </c:pt>
                <c:pt idx="7">
                  <c:v>252</c:v>
                </c:pt>
                <c:pt idx="8">
                  <c:v>252</c:v>
                </c:pt>
                <c:pt idx="9">
                  <c:v>252</c:v>
                </c:pt>
              </c:numCache>
            </c:numRef>
          </c:val>
          <c:smooth val="1"/>
        </c:ser>
        <c:ser>
          <c:idx val="1"/>
          <c:order val="1"/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'Downside annual'!$C$1:$L$1</c:f>
              <c:strCache>
                <c:ptCount val="10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</c:strCache>
            </c:strRef>
          </c:cat>
          <c:val>
            <c:numRef>
              <c:f>'Downside annual'!$C$24:$L$24</c:f>
              <c:numCache>
                <c:formatCode>#,##0.00;\(#,##0.00\);\–</c:formatCode>
                <c:ptCount val="10"/>
                <c:pt idx="0">
                  <c:v>4.2</c:v>
                </c:pt>
                <c:pt idx="1">
                  <c:v>24</c:v>
                </c:pt>
                <c:pt idx="2">
                  <c:v>25.2</c:v>
                </c:pt>
                <c:pt idx="3">
                  <c:v>25.2</c:v>
                </c:pt>
                <c:pt idx="4">
                  <c:v>25.2</c:v>
                </c:pt>
                <c:pt idx="5">
                  <c:v>25.2</c:v>
                </c:pt>
                <c:pt idx="6">
                  <c:v>25.2</c:v>
                </c:pt>
                <c:pt idx="7">
                  <c:v>25.2</c:v>
                </c:pt>
                <c:pt idx="8">
                  <c:v>25.2</c:v>
                </c:pt>
                <c:pt idx="9">
                  <c:v>25.2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10958"/>
        <c:axId val="15051896"/>
      </c:lineChart>
      <c:catAx>
        <c:axId val="411109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51896"/>
        <c:crosses val="autoZero"/>
        <c:auto val="1"/>
        <c:lblAlgn val="ctr"/>
        <c:lblOffset val="100"/>
        <c:noMultiLvlLbl val="0"/>
      </c:catAx>
      <c:valAx>
        <c:axId val="15051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NGN 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1095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0</xdr:rowOff>
    </xdr:from>
    <xdr:to>
      <xdr:col>21</xdr:col>
      <xdr:colOff>507600</xdr:colOff>
      <xdr:row>16</xdr:row>
      <xdr:rowOff>32400</xdr:rowOff>
    </xdr:to>
    <xdr:graphicFrame>
      <xdr:nvGraphicFramePr>
        <xdr:cNvPr id="1" name="Chart 1"/>
        <xdr:cNvGraphicFramePr/>
      </xdr:nvGraphicFramePr>
      <xdr:xfrm>
        <a:off x="16047720" y="5904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0</xdr:rowOff>
    </xdr:from>
    <xdr:to>
      <xdr:col>21</xdr:col>
      <xdr:colOff>507600</xdr:colOff>
      <xdr:row>16</xdr:row>
      <xdr:rowOff>32400</xdr:rowOff>
    </xdr:to>
    <xdr:graphicFrame>
      <xdr:nvGraphicFramePr>
        <xdr:cNvPr id="2" name="Chart 1"/>
        <xdr:cNvGraphicFramePr/>
      </xdr:nvGraphicFramePr>
      <xdr:xfrm>
        <a:off x="16047720" y="5904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0</xdr:rowOff>
    </xdr:from>
    <xdr:to>
      <xdr:col>21</xdr:col>
      <xdr:colOff>507600</xdr:colOff>
      <xdr:row>16</xdr:row>
      <xdr:rowOff>32400</xdr:rowOff>
    </xdr:to>
    <xdr:graphicFrame>
      <xdr:nvGraphicFramePr>
        <xdr:cNvPr id="3" name="Chart 1"/>
        <xdr:cNvGraphicFramePr/>
      </xdr:nvGraphicFramePr>
      <xdr:xfrm>
        <a:off x="16047720" y="5904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3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45.75" hidden="false" customHeight="true" outlineLevel="0" collapsed="false">
      <c r="A2" s="2" t="s">
        <v>2</v>
      </c>
      <c r="B2" s="2" t="s">
        <v>3</v>
      </c>
    </row>
    <row r="3" customFormat="false" ht="45.75" hidden="false" customHeight="true" outlineLevel="0" collapsed="false">
      <c r="A3" s="2" t="s">
        <v>4</v>
      </c>
      <c r="B3" s="2" t="s">
        <v>5</v>
      </c>
    </row>
    <row r="4" customFormat="false" ht="45.75" hidden="false" customHeight="true" outlineLevel="0" collapsed="false">
      <c r="A4" s="2" t="s">
        <v>6</v>
      </c>
      <c r="B4" s="2" t="s">
        <v>7</v>
      </c>
    </row>
    <row r="5" customFormat="false" ht="45.75" hidden="false" customHeight="true" outlineLevel="0" collapsed="false">
      <c r="A5" s="2" t="s">
        <v>8</v>
      </c>
      <c r="B5" s="2" t="s">
        <v>9</v>
      </c>
    </row>
    <row r="6" customFormat="false" ht="45.75" hidden="false" customHeight="true" outlineLevel="0" collapsed="false">
      <c r="A6" s="2" t="s">
        <v>10</v>
      </c>
      <c r="B6" s="2" t="s">
        <v>11</v>
      </c>
    </row>
    <row r="7" customFormat="false" ht="45.75" hidden="false" customHeight="true" outlineLevel="0" collapsed="false">
      <c r="A7" s="2" t="s">
        <v>12</v>
      </c>
      <c r="B7" s="2" t="s">
        <v>13</v>
      </c>
    </row>
    <row r="8" customFormat="false" ht="45.75" hidden="false" customHeight="true" outlineLevel="0" collapsed="false">
      <c r="A8" s="2" t="s">
        <v>14</v>
      </c>
      <c r="B8" s="2" t="s">
        <v>15</v>
      </c>
    </row>
    <row r="9" customFormat="false" ht="45.75" hidden="false" customHeight="true" outlineLevel="0" collapsed="false">
      <c r="A9" s="2" t="s">
        <v>16</v>
      </c>
      <c r="B9" s="2" t="s">
        <v>17</v>
      </c>
    </row>
    <row r="10" customFormat="false" ht="45.75" hidden="false" customHeight="true" outlineLevel="0" collapsed="false">
      <c r="A10" s="2" t="s">
        <v>18</v>
      </c>
      <c r="B10" s="2" t="s">
        <v>19</v>
      </c>
    </row>
    <row r="11" customFormat="false" ht="45.75" hidden="false" customHeight="true" outlineLevel="0" collapsed="false">
      <c r="A11" s="2" t="s">
        <v>20</v>
      </c>
      <c r="B11" s="2" t="s">
        <v>21</v>
      </c>
    </row>
    <row r="12" customFormat="false" ht="45.75" hidden="false" customHeight="true" outlineLevel="0" collapsed="false">
      <c r="A12" s="2" t="s">
        <v>22</v>
      </c>
      <c r="B12" s="2" t="s">
        <v>23</v>
      </c>
    </row>
    <row r="13" customFormat="false" ht="45.75" hidden="false" customHeight="true" outlineLevel="0" collapsed="false">
      <c r="A13" s="2" t="s">
        <v>24</v>
      </c>
      <c r="B13" s="2" t="s">
        <v>25</v>
      </c>
    </row>
    <row r="14" customFormat="false" ht="45.75" hidden="false" customHeight="true" outlineLevel="0" collapsed="false">
      <c r="A14" s="2" t="s">
        <v>26</v>
      </c>
      <c r="B14" s="2" t="s">
        <v>27</v>
      </c>
    </row>
    <row r="15" customFormat="false" ht="45.75" hidden="false" customHeight="true" outlineLevel="0" collapsed="false">
      <c r="A15" s="2" t="s">
        <v>28</v>
      </c>
      <c r="B15" s="2" t="s">
        <v>29</v>
      </c>
    </row>
    <row r="16" customFormat="false" ht="45.75" hidden="false" customHeight="true" outlineLevel="0" collapsed="false">
      <c r="A16" s="2" t="s">
        <v>30</v>
      </c>
      <c r="B16" s="2" t="s">
        <v>31</v>
      </c>
    </row>
    <row r="17" customFormat="false" ht="45.75" hidden="false" customHeight="true" outlineLevel="0" collapsed="false">
      <c r="A17" s="2" t="s">
        <v>32</v>
      </c>
      <c r="B17" s="2" t="s">
        <v>33</v>
      </c>
    </row>
    <row r="18" customFormat="false" ht="45.75" hidden="false" customHeight="true" outlineLevel="0" collapsed="false">
      <c r="A18" s="2" t="s">
        <v>34</v>
      </c>
      <c r="B18" s="2" t="s">
        <v>35</v>
      </c>
    </row>
    <row r="19" customFormat="false" ht="45.75" hidden="false" customHeight="true" outlineLevel="0" collapsed="false">
      <c r="A19" s="2" t="s">
        <v>36</v>
      </c>
      <c r="B19" s="2" t="s">
        <v>37</v>
      </c>
    </row>
    <row r="20" customFormat="false" ht="45.75" hidden="false" customHeight="true" outlineLevel="0" collapsed="false">
      <c r="A20" s="2" t="s">
        <v>38</v>
      </c>
      <c r="B20" s="2" t="s">
        <v>39</v>
      </c>
    </row>
    <row r="21" customFormat="false" ht="45.75" hidden="false" customHeight="true" outlineLevel="0" collapsed="false">
      <c r="A21" s="2" t="s">
        <v>40</v>
      </c>
      <c r="B21" s="2" t="s">
        <v>41</v>
      </c>
    </row>
    <row r="22" customFormat="false" ht="45.75" hidden="false" customHeight="true" outlineLevel="0" collapsed="false">
      <c r="A22" s="2" t="s">
        <v>42</v>
      </c>
      <c r="B22" s="2" t="s">
        <v>43</v>
      </c>
    </row>
    <row r="23" customFormat="false" ht="45.75" hidden="false" customHeight="true" outlineLevel="0" collapsed="false">
      <c r="A23" s="2" t="s">
        <v>44</v>
      </c>
      <c r="B23" s="2" t="s">
        <v>45</v>
      </c>
    </row>
    <row r="24" customFormat="false" ht="45.75" hidden="false" customHeight="true" outlineLevel="0" collapsed="false">
      <c r="A24" s="2" t="s">
        <v>46</v>
      </c>
      <c r="B24" s="2" t="s">
        <v>47</v>
      </c>
    </row>
    <row r="25" customFormat="false" ht="45.75" hidden="false" customHeight="true" outlineLevel="0" collapsed="false">
      <c r="A25" s="2" t="s">
        <v>48</v>
      </c>
      <c r="B25" s="2" t="s">
        <v>49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31.5" hidden="false" customHeight="true" outlineLevel="0" collapsed="false">
      <c r="A1" s="1" t="s">
        <v>50</v>
      </c>
      <c r="B1" s="1" t="s">
        <v>51</v>
      </c>
      <c r="C1" s="1" t="s">
        <v>52</v>
      </c>
    </row>
    <row r="2" customFormat="false" ht="15" hidden="false" customHeight="false" outlineLevel="0" collapsed="false">
      <c r="A2" s="2" t="s">
        <v>53</v>
      </c>
      <c r="B2" s="3" t="n">
        <v>12</v>
      </c>
      <c r="C2" s="2" t="s">
        <v>54</v>
      </c>
    </row>
    <row r="3" customFormat="false" ht="15" hidden="false" customHeight="false" outlineLevel="0" collapsed="false">
      <c r="A3" s="2" t="s">
        <v>55</v>
      </c>
      <c r="B3" s="3" t="n">
        <v>120</v>
      </c>
      <c r="C3" s="2" t="s">
        <v>56</v>
      </c>
    </row>
    <row r="4" customFormat="false" ht="15" hidden="false" customHeight="false" outlineLevel="0" collapsed="false">
      <c r="A4" s="2" t="s">
        <v>57</v>
      </c>
      <c r="B4" s="4" t="n">
        <v>0.4</v>
      </c>
      <c r="C4" s="2" t="s">
        <v>58</v>
      </c>
    </row>
    <row r="5" customFormat="false" ht="15" hidden="false" customHeight="false" outlineLevel="0" collapsed="false">
      <c r="A5" s="2" t="s">
        <v>59</v>
      </c>
      <c r="B5" s="4" t="n">
        <v>0.1</v>
      </c>
      <c r="C5" s="2" t="s">
        <v>58</v>
      </c>
    </row>
    <row r="6" customFormat="false" ht="15" hidden="false" customHeight="false" outlineLevel="0" collapsed="false">
      <c r="A6" s="2" t="s">
        <v>60</v>
      </c>
      <c r="B6" s="4" t="n">
        <v>0.5</v>
      </c>
      <c r="C6" s="2" t="s">
        <v>61</v>
      </c>
    </row>
    <row r="7" customFormat="false" ht="15" hidden="false" customHeight="false" outlineLevel="0" collapsed="false">
      <c r="A7" s="2" t="s">
        <v>62</v>
      </c>
      <c r="B7" s="4" t="n">
        <v>0.2</v>
      </c>
      <c r="C7" s="2" t="s">
        <v>63</v>
      </c>
    </row>
    <row r="8" customFormat="false" ht="15" hidden="false" customHeight="false" outlineLevel="0" collapsed="false">
      <c r="A8" s="2" t="s">
        <v>64</v>
      </c>
      <c r="B8" s="4" t="n">
        <v>0.3</v>
      </c>
      <c r="C8" s="2" t="s">
        <v>65</v>
      </c>
    </row>
    <row r="9" customFormat="false" ht="15" hidden="false" customHeight="false" outlineLevel="0" collapsed="false">
      <c r="A9" s="2" t="s">
        <v>66</v>
      </c>
      <c r="B9" s="3" t="n">
        <v>0</v>
      </c>
      <c r="C9" s="2" t="s">
        <v>67</v>
      </c>
    </row>
    <row r="10" customFormat="false" ht="15" hidden="false" customHeight="false" outlineLevel="0" collapsed="false">
      <c r="A10" s="2" t="s">
        <v>68</v>
      </c>
      <c r="B10" s="4" t="n">
        <v>0.075</v>
      </c>
      <c r="C10" s="2" t="s">
        <v>69</v>
      </c>
    </row>
    <row r="11" customFormat="false" ht="15" hidden="false" customHeight="false" outlineLevel="0" collapsed="false">
      <c r="A11" s="2" t="s">
        <v>70</v>
      </c>
      <c r="B11" s="4" t="n">
        <v>0.3</v>
      </c>
      <c r="C11" s="2" t="s">
        <v>71</v>
      </c>
    </row>
    <row r="12" customFormat="false" ht="15" hidden="false" customHeight="false" outlineLevel="0" collapsed="false">
      <c r="A12" s="2" t="s">
        <v>72</v>
      </c>
      <c r="B12" s="3" t="n">
        <v>800</v>
      </c>
      <c r="C12" s="2" t="s">
        <v>73</v>
      </c>
    </row>
    <row r="13" customFormat="false" ht="15" hidden="false" customHeight="false" outlineLevel="0" collapsed="false">
      <c r="A13" s="2" t="s">
        <v>74</v>
      </c>
      <c r="B13" s="3" t="n">
        <v>500000</v>
      </c>
      <c r="C13" s="2" t="s">
        <v>75</v>
      </c>
    </row>
    <row r="14" customFormat="false" ht="15" hidden="false" customHeight="false" outlineLevel="0" collapsed="false">
      <c r="A14" s="2" t="s">
        <v>76</v>
      </c>
      <c r="B14" s="3" t="n">
        <v>0.15</v>
      </c>
      <c r="C14" s="2" t="s">
        <v>77</v>
      </c>
    </row>
    <row r="15" customFormat="false" ht="15" hidden="false" customHeight="false" outlineLevel="0" collapsed="false">
      <c r="A15" s="2" t="s">
        <v>78</v>
      </c>
      <c r="B15" s="4" t="n">
        <v>0.08</v>
      </c>
      <c r="C15" s="2" t="s">
        <v>77</v>
      </c>
    </row>
    <row r="16" customFormat="false" ht="15" hidden="false" customHeight="false" outlineLevel="0" collapsed="false">
      <c r="A16" s="2" t="s">
        <v>79</v>
      </c>
      <c r="B16" s="3" t="n">
        <v>0</v>
      </c>
      <c r="C16" s="2" t="s">
        <v>80</v>
      </c>
    </row>
    <row r="17" customFormat="false" ht="15" hidden="false" customHeight="false" outlineLevel="0" collapsed="false">
      <c r="A17" s="2" t="s">
        <v>81</v>
      </c>
      <c r="B17" s="3" t="n">
        <v>0</v>
      </c>
      <c r="C17" s="2" t="s">
        <v>82</v>
      </c>
    </row>
    <row r="18" customFormat="false" ht="15" hidden="false" customHeight="false" outlineLevel="0" collapsed="false">
      <c r="A18" s="2" t="s">
        <v>83</v>
      </c>
      <c r="B18" s="3" t="n">
        <v>30</v>
      </c>
      <c r="C18" s="2" t="s">
        <v>84</v>
      </c>
    </row>
    <row r="19" customFormat="false" ht="15" hidden="false" customHeight="false" outlineLevel="0" collapsed="false">
      <c r="A19" s="2" t="s">
        <v>85</v>
      </c>
      <c r="B19" s="3" t="n">
        <v>12</v>
      </c>
      <c r="C19" s="2" t="s">
        <v>86</v>
      </c>
    </row>
    <row r="20" customFormat="false" ht="15" hidden="false" customHeight="false" outlineLevel="0" collapsed="false">
      <c r="A20" s="2" t="s">
        <v>87</v>
      </c>
      <c r="B20" s="3" t="n">
        <v>60</v>
      </c>
      <c r="C20" s="2" t="s">
        <v>88</v>
      </c>
    </row>
    <row r="21" customFormat="false" ht="15" hidden="false" customHeight="false" outlineLevel="0" collapsed="false">
      <c r="A21" s="2" t="s">
        <v>89</v>
      </c>
      <c r="B21" s="4" t="n">
        <v>0.01</v>
      </c>
      <c r="C21" s="2" t="s">
        <v>90</v>
      </c>
    </row>
    <row r="22" customFormat="false" ht="15" hidden="false" customHeight="false" outlineLevel="0" collapsed="false">
      <c r="A22" s="2" t="s">
        <v>91</v>
      </c>
      <c r="B22" s="3" t="n">
        <v>25</v>
      </c>
      <c r="C22" s="2" t="s">
        <v>92</v>
      </c>
    </row>
    <row r="23" customFormat="false" ht="15" hidden="false" customHeight="false" outlineLevel="0" collapsed="false">
      <c r="A23" s="2" t="s">
        <v>93</v>
      </c>
      <c r="B23" s="3" t="n">
        <v>25</v>
      </c>
      <c r="C23" s="2" t="s">
        <v>94</v>
      </c>
    </row>
    <row r="24" customFormat="false" ht="15" hidden="false" customHeight="false" outlineLevel="0" collapsed="false">
      <c r="A24" s="2" t="s">
        <v>95</v>
      </c>
      <c r="B24" s="3" t="n">
        <v>9</v>
      </c>
      <c r="C24" s="2" t="s">
        <v>96</v>
      </c>
    </row>
    <row r="25" customFormat="false" ht="15" hidden="false" customHeight="false" outlineLevel="0" collapsed="false">
      <c r="A25" s="2" t="s">
        <v>97</v>
      </c>
      <c r="B25" s="3" t="n">
        <v>6</v>
      </c>
      <c r="C25" s="2" t="s">
        <v>98</v>
      </c>
    </row>
    <row r="26" customFormat="false" ht="15" hidden="false" customHeight="false" outlineLevel="0" collapsed="false">
      <c r="A26" s="2" t="s">
        <v>99</v>
      </c>
      <c r="B26" s="3" t="n">
        <v>9</v>
      </c>
      <c r="C26" s="2" t="s">
        <v>98</v>
      </c>
    </row>
    <row r="27" customFormat="false" ht="15" hidden="false" customHeight="false" outlineLevel="0" collapsed="false">
      <c r="A27" s="2" t="s">
        <v>100</v>
      </c>
      <c r="B27" s="3" t="n">
        <v>12</v>
      </c>
      <c r="C27" s="2" t="s">
        <v>98</v>
      </c>
    </row>
    <row r="28" customFormat="false" ht="15" hidden="false" customHeight="false" outlineLevel="0" collapsed="false">
      <c r="A28" s="2" t="s">
        <v>101</v>
      </c>
      <c r="B28" s="3" t="n">
        <v>15</v>
      </c>
      <c r="C28" s="2" t="s">
        <v>102</v>
      </c>
    </row>
    <row r="29" customFormat="false" ht="15" hidden="false" customHeight="false" outlineLevel="0" collapsed="false">
      <c r="A29" s="2" t="s">
        <v>103</v>
      </c>
      <c r="B29" s="3" t="n">
        <v>25</v>
      </c>
      <c r="C29" s="2" t="s">
        <v>102</v>
      </c>
    </row>
    <row r="30" customFormat="false" ht="15" hidden="false" customHeight="false" outlineLevel="0" collapsed="false">
      <c r="A30" s="2" t="s">
        <v>104</v>
      </c>
      <c r="B30" s="4" t="n">
        <v>0.6</v>
      </c>
      <c r="C30" s="2" t="s">
        <v>105</v>
      </c>
    </row>
    <row r="31" customFormat="false" ht="15" hidden="false" customHeight="false" outlineLevel="0" collapsed="false">
      <c r="A31" s="2" t="s">
        <v>106</v>
      </c>
      <c r="B31" s="3" t="n">
        <v>3</v>
      </c>
      <c r="C31" s="2" t="s">
        <v>105</v>
      </c>
    </row>
    <row r="32" customFormat="false" ht="15" hidden="false" customHeight="false" outlineLevel="0" collapsed="false">
      <c r="A32" s="2" t="s">
        <v>107</v>
      </c>
      <c r="B32" s="3" t="n">
        <v>1000000000</v>
      </c>
      <c r="C32" s="2" t="s">
        <v>108</v>
      </c>
    </row>
    <row r="33" customFormat="false" ht="15" hidden="false" customHeight="false" outlineLevel="0" collapsed="false">
      <c r="A33" s="2" t="s">
        <v>109</v>
      </c>
      <c r="B33" s="3" t="n">
        <v>1E-006</v>
      </c>
      <c r="C33" s="2" t="s">
        <v>110</v>
      </c>
    </row>
    <row r="34" customFormat="false" ht="15" hidden="false" customHeight="false" outlineLevel="0" collapsed="false">
      <c r="A34" s="2" t="s">
        <v>111</v>
      </c>
      <c r="B34" s="3" t="n">
        <v>0</v>
      </c>
      <c r="C34" s="2" t="s">
        <v>112</v>
      </c>
    </row>
    <row r="35" customFormat="false" ht="15" hidden="false" customHeight="false" outlineLevel="0" collapsed="false">
      <c r="A35" s="2" t="s">
        <v>113</v>
      </c>
      <c r="B35" s="3" t="n">
        <v>1</v>
      </c>
      <c r="C35" s="2" t="s">
        <v>112</v>
      </c>
    </row>
  </sheetData>
  <dataValidations count="3">
    <dataValidation allowBlank="false" error="Use 0–30 days only." errorStyle="stop" errorTitle="Unsupported working-capital lag" operator="between" showDropDown="false" showErrorMessage="true" showInputMessage="false" sqref="B16" type="decimal">
      <formula1>0</formula1>
      <formula2>30</formula2>
    </dataValidation>
    <dataValidation allowBlank="false" error="Use 0–30 days only." errorStyle="stop" errorTitle="Unsupported working-capital lag" operator="between" showDropDown="false" showErrorMessage="true" showInputMessage="false" sqref="B17" type="decimal">
      <formula1>0</formula1>
      <formula2>30</formula2>
    </dataValidation>
    <dataValidation allowBlank="false" errorStyle="stop" operator="between" showDropDown="false" showErrorMessage="false" showInputMessage="false" sqref="B9" type="list">
      <formula1>"0,1"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16"/>
    <col collapsed="false" customWidth="true" hidden="false" outlineLevel="0" max="4" min="4" style="0" width="80"/>
  </cols>
  <sheetData>
    <row r="1" customFormat="false" ht="31.5" hidden="false" customHeight="true" outlineLevel="0" collapsed="false">
      <c r="A1" s="1" t="s">
        <v>114</v>
      </c>
      <c r="B1" s="1" t="s">
        <v>115</v>
      </c>
      <c r="C1" s="1" t="s">
        <v>116</v>
      </c>
      <c r="D1" s="1" t="s">
        <v>117</v>
      </c>
    </row>
    <row r="2" customFormat="false" ht="15" hidden="false" customHeight="false" outlineLevel="0" collapsed="false">
      <c r="A2" s="2" t="s">
        <v>118</v>
      </c>
      <c r="B2" s="3" t="n">
        <v>25</v>
      </c>
      <c r="C2" s="3" t="n">
        <v>1</v>
      </c>
      <c r="D2" s="2" t="s">
        <v>119</v>
      </c>
    </row>
    <row r="3" customFormat="false" ht="15" hidden="false" customHeight="false" outlineLevel="0" collapsed="false">
      <c r="A3" s="2" t="s">
        <v>120</v>
      </c>
      <c r="B3" s="3" t="n">
        <v>10</v>
      </c>
      <c r="C3" s="3" t="n">
        <v>1</v>
      </c>
      <c r="D3" s="2" t="s">
        <v>119</v>
      </c>
    </row>
    <row r="4" customFormat="false" ht="15" hidden="false" customHeight="false" outlineLevel="0" collapsed="false">
      <c r="A4" s="2" t="s">
        <v>121</v>
      </c>
      <c r="B4" s="3" t="n">
        <v>8</v>
      </c>
      <c r="C4" s="3" t="n">
        <v>1</v>
      </c>
      <c r="D4" s="2" t="s">
        <v>119</v>
      </c>
    </row>
    <row r="5" customFormat="false" ht="15" hidden="false" customHeight="false" outlineLevel="0" collapsed="false">
      <c r="A5" s="2" t="s">
        <v>122</v>
      </c>
      <c r="B5" s="3" t="n">
        <v>4</v>
      </c>
      <c r="C5" s="3" t="n">
        <v>0</v>
      </c>
      <c r="D5" s="2" t="s">
        <v>119</v>
      </c>
    </row>
    <row r="6" customFormat="false" ht="15" hidden="false" customHeight="false" outlineLevel="0" collapsed="false">
      <c r="A6" s="2" t="s">
        <v>123</v>
      </c>
      <c r="B6" s="3" t="n">
        <v>3</v>
      </c>
      <c r="C6" s="3" t="n">
        <v>0</v>
      </c>
      <c r="D6" s="2" t="s">
        <v>119</v>
      </c>
    </row>
    <row r="7" customFormat="false" ht="15" hidden="false" customHeight="false" outlineLevel="0" collapsed="false">
      <c r="A7" s="2" t="s">
        <v>124</v>
      </c>
      <c r="B7" s="5" t="n">
        <f aca="false">SUM(B2:B6)</f>
        <v>50</v>
      </c>
      <c r="C7" s="5" t="n">
        <f aca="false">SUMPRODUCT(B2:B6,C2:C6)</f>
        <v>43</v>
      </c>
      <c r="D7" s="2" t="s">
        <v>125</v>
      </c>
    </row>
    <row r="8" customFormat="false" ht="15" hidden="false" customHeight="false" outlineLevel="0" collapsed="false">
      <c r="A8" s="2" t="s">
        <v>126</v>
      </c>
      <c r="B8" s="5" t="n">
        <f aca="false">B7-C7</f>
        <v>7</v>
      </c>
      <c r="C8" s="2"/>
      <c r="D8" s="2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24"/>
    <col collapsed="false" customWidth="true" hidden="false" outlineLevel="0" max="10" min="3" style="0" width="16"/>
    <col collapsed="false" customWidth="true" hidden="false" outlineLevel="0" max="11" min="11" style="0" width="100"/>
  </cols>
  <sheetData>
    <row r="1" customFormat="false" ht="31.5" hidden="false" customHeight="true" outlineLevel="0" collapsed="false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</row>
    <row r="2" customFormat="false" ht="15" hidden="false" customHeight="false" outlineLevel="0" collapsed="false">
      <c r="A2" s="2" t="s">
        <v>138</v>
      </c>
      <c r="B2" s="2" t="s">
        <v>139</v>
      </c>
      <c r="C2" s="3" t="n">
        <v>12</v>
      </c>
      <c r="D2" s="4" t="n">
        <v>0.666666666666667</v>
      </c>
      <c r="E2" s="5" t="n">
        <f aca="false">C2*D2</f>
        <v>8</v>
      </c>
      <c r="F2" s="3" t="n">
        <v>20000</v>
      </c>
      <c r="G2" s="3" t="n">
        <v>100000</v>
      </c>
      <c r="H2" s="3" t="n">
        <v>4</v>
      </c>
      <c r="I2" s="6" t="n">
        <f aca="false">F2*G2*H2/Inputs!$B$32</f>
        <v>8</v>
      </c>
      <c r="J2" s="6" t="n">
        <f aca="false">I2/Inputs!$B$2</f>
        <v>0.666666666666667</v>
      </c>
      <c r="K2" s="2" t="s">
        <v>140</v>
      </c>
    </row>
    <row r="3" customFormat="false" ht="15" hidden="false" customHeight="false" outlineLevel="0" collapsed="false">
      <c r="A3" s="2" t="s">
        <v>141</v>
      </c>
      <c r="B3" s="2" t="s">
        <v>139</v>
      </c>
      <c r="C3" s="3" t="n">
        <v>12</v>
      </c>
      <c r="D3" s="4" t="n">
        <v>0.25</v>
      </c>
      <c r="E3" s="5" t="n">
        <f aca="false">C3*D3</f>
        <v>3</v>
      </c>
      <c r="F3" s="3" t="n">
        <v>10000</v>
      </c>
      <c r="G3" s="3" t="n">
        <v>200000</v>
      </c>
      <c r="H3" s="3" t="n">
        <v>1</v>
      </c>
      <c r="I3" s="6" t="n">
        <f aca="false">F3*G3*H3/Inputs!$B$32</f>
        <v>2</v>
      </c>
      <c r="J3" s="6" t="n">
        <f aca="false">I3/Inputs!$B$2</f>
        <v>0.166666666666667</v>
      </c>
      <c r="K3" s="2" t="s">
        <v>142</v>
      </c>
    </row>
    <row r="4" customFormat="false" ht="15" hidden="false" customHeight="false" outlineLevel="0" collapsed="false">
      <c r="A4" s="2" t="s">
        <v>143</v>
      </c>
      <c r="B4" s="2" t="s">
        <v>139</v>
      </c>
      <c r="C4" s="3" t="n">
        <v>12</v>
      </c>
      <c r="D4" s="4" t="n">
        <v>0.0833333333333333</v>
      </c>
      <c r="E4" s="5" t="n">
        <f aca="false">C4*D4</f>
        <v>1</v>
      </c>
      <c r="F4" s="3" t="n">
        <v>200</v>
      </c>
      <c r="G4" s="3" t="n">
        <v>5000000</v>
      </c>
      <c r="H4" s="3" t="n">
        <v>1</v>
      </c>
      <c r="I4" s="6" t="n">
        <f aca="false">F4*G4*H4/Inputs!$B$32</f>
        <v>1</v>
      </c>
      <c r="J4" s="6" t="n">
        <f aca="false">I4/Inputs!$B$2</f>
        <v>0.0833333333333333</v>
      </c>
      <c r="K4" s="2" t="s">
        <v>142</v>
      </c>
    </row>
    <row r="5" customFormat="false" ht="15" hidden="false" customHeight="false" outlineLevel="0" collapsed="false">
      <c r="A5" s="2" t="s">
        <v>144</v>
      </c>
      <c r="B5" s="2" t="s">
        <v>145</v>
      </c>
      <c r="C5" s="3" t="n">
        <v>6</v>
      </c>
      <c r="D5" s="4" t="n">
        <v>0.75</v>
      </c>
      <c r="E5" s="5" t="n">
        <f aca="false">C5*D5</f>
        <v>4.5</v>
      </c>
      <c r="F5" s="3" t="n">
        <v>150000</v>
      </c>
      <c r="G5" s="3" t="n">
        <v>40000</v>
      </c>
      <c r="H5" s="3" t="n">
        <v>1</v>
      </c>
      <c r="I5" s="6" t="n">
        <f aca="false">F5*G5*H5/Inputs!$B$32</f>
        <v>6</v>
      </c>
      <c r="J5" s="6" t="n">
        <f aca="false">I5/Inputs!$B$2</f>
        <v>0.5</v>
      </c>
      <c r="K5" s="2" t="s">
        <v>146</v>
      </c>
    </row>
    <row r="6" customFormat="false" ht="15" hidden="false" customHeight="false" outlineLevel="0" collapsed="false">
      <c r="A6" s="2" t="s">
        <v>147</v>
      </c>
      <c r="B6" s="2" t="s">
        <v>145</v>
      </c>
      <c r="C6" s="3" t="n">
        <v>6</v>
      </c>
      <c r="D6" s="4" t="n">
        <v>0.25</v>
      </c>
      <c r="E6" s="5" t="n">
        <f aca="false">C6*D6</f>
        <v>1.5</v>
      </c>
      <c r="F6" s="3" t="n">
        <v>20000</v>
      </c>
      <c r="G6" s="3" t="n">
        <v>100000</v>
      </c>
      <c r="H6" s="3" t="n">
        <v>1</v>
      </c>
      <c r="I6" s="6" t="n">
        <f aca="false">F6*G6*H6/Inputs!$B$32</f>
        <v>2</v>
      </c>
      <c r="J6" s="6" t="n">
        <f aca="false">I6/Inputs!$B$2</f>
        <v>0.166666666666667</v>
      </c>
      <c r="K6" s="2" t="s">
        <v>142</v>
      </c>
    </row>
    <row r="7" customFormat="false" ht="15" hidden="false" customHeight="false" outlineLevel="0" collapsed="false">
      <c r="A7" s="2" t="s">
        <v>148</v>
      </c>
      <c r="B7" s="2" t="s">
        <v>149</v>
      </c>
      <c r="C7" s="3" t="n">
        <v>5</v>
      </c>
      <c r="D7" s="4" t="n">
        <v>1</v>
      </c>
      <c r="E7" s="5" t="n">
        <f aca="false">C7*D7</f>
        <v>5</v>
      </c>
      <c r="F7" s="3" t="n">
        <v>500000</v>
      </c>
      <c r="G7" s="3" t="n">
        <v>10000</v>
      </c>
      <c r="H7" s="3" t="n">
        <v>1</v>
      </c>
      <c r="I7" s="6" t="n">
        <f aca="false">F7*G7*H7/Inputs!$B$32</f>
        <v>5</v>
      </c>
      <c r="J7" s="6" t="n">
        <f aca="false">I7/Inputs!$B$2</f>
        <v>0.416666666666667</v>
      </c>
      <c r="K7" s="2" t="s">
        <v>146</v>
      </c>
    </row>
    <row r="8" customFormat="false" ht="15" hidden="false" customHeight="false" outlineLevel="0" collapsed="false">
      <c r="A8" s="2" t="s">
        <v>150</v>
      </c>
      <c r="B8" s="2" t="s">
        <v>151</v>
      </c>
      <c r="C8" s="3" t="n">
        <v>4</v>
      </c>
      <c r="D8" s="4" t="n">
        <v>0.625</v>
      </c>
      <c r="E8" s="5" t="n">
        <f aca="false">C8*D8</f>
        <v>2.5</v>
      </c>
      <c r="F8" s="3" t="n">
        <v>0</v>
      </c>
      <c r="G8" s="3" t="n">
        <v>0</v>
      </c>
      <c r="H8" s="3" t="n">
        <v>1</v>
      </c>
      <c r="I8" s="6" t="n">
        <f aca="false">F8*G8*H8/Inputs!$B$32</f>
        <v>0</v>
      </c>
      <c r="J8" s="6" t="n">
        <f aca="false">I8/Inputs!$B$2</f>
        <v>0</v>
      </c>
      <c r="K8" s="2" t="s">
        <v>152</v>
      </c>
    </row>
    <row r="9" customFormat="false" ht="15" hidden="false" customHeight="false" outlineLevel="0" collapsed="false">
      <c r="A9" s="2" t="s">
        <v>153</v>
      </c>
      <c r="B9" s="2" t="s">
        <v>151</v>
      </c>
      <c r="C9" s="3" t="n">
        <v>4</v>
      </c>
      <c r="D9" s="4" t="n">
        <v>0.375</v>
      </c>
      <c r="E9" s="5" t="n">
        <f aca="false">C9*D9</f>
        <v>1.5</v>
      </c>
      <c r="F9" s="3" t="n">
        <v>0</v>
      </c>
      <c r="G9" s="3" t="n">
        <v>0</v>
      </c>
      <c r="H9" s="3" t="n">
        <v>1</v>
      </c>
      <c r="I9" s="6" t="n">
        <f aca="false">F9*G9*H9/Inputs!$B$32</f>
        <v>0</v>
      </c>
      <c r="J9" s="6" t="n">
        <f aca="false">I9/Inputs!$B$2</f>
        <v>0</v>
      </c>
      <c r="K9" s="2" t="s">
        <v>152</v>
      </c>
    </row>
    <row r="10" customFormat="false" ht="15" hidden="false" customHeight="false" outlineLevel="0" collapsed="false">
      <c r="A10" s="2" t="s">
        <v>154</v>
      </c>
      <c r="B10" s="2" t="s">
        <v>155</v>
      </c>
      <c r="C10" s="3" t="n">
        <v>3</v>
      </c>
      <c r="D10" s="4" t="n">
        <v>1</v>
      </c>
      <c r="E10" s="5" t="n">
        <f aca="false">C10*D10</f>
        <v>3</v>
      </c>
      <c r="F10" s="3" t="n">
        <v>2000</v>
      </c>
      <c r="G10" s="3" t="n">
        <v>1500000</v>
      </c>
      <c r="H10" s="3" t="n">
        <v>1</v>
      </c>
      <c r="I10" s="6" t="n">
        <f aca="false">F10*G10*H10/Inputs!$B$32</f>
        <v>3</v>
      </c>
      <c r="J10" s="6" t="n">
        <f aca="false">I10/Inputs!$B$2</f>
        <v>0.25</v>
      </c>
      <c r="K10" s="2" t="s">
        <v>146</v>
      </c>
    </row>
    <row r="11" customFormat="false" ht="15" hidden="false" customHeight="false" outlineLevel="0" collapsed="false">
      <c r="A11" s="2" t="s">
        <v>156</v>
      </c>
      <c r="B11" s="2" t="s">
        <v>157</v>
      </c>
      <c r="C11" s="3" t="n">
        <v>2</v>
      </c>
      <c r="D11" s="4" t="n">
        <v>0.5</v>
      </c>
      <c r="E11" s="5" t="n">
        <f aca="false">C11*D11</f>
        <v>1</v>
      </c>
      <c r="F11" s="3" t="n">
        <v>0</v>
      </c>
      <c r="G11" s="3" t="n">
        <v>0</v>
      </c>
      <c r="H11" s="3" t="n">
        <v>1</v>
      </c>
      <c r="I11" s="6" t="n">
        <f aca="false">F11*G11*H11/Inputs!$B$32</f>
        <v>0</v>
      </c>
      <c r="J11" s="6" t="n">
        <f aca="false">I11/Inputs!$B$2</f>
        <v>0</v>
      </c>
      <c r="K11" s="2" t="s">
        <v>158</v>
      </c>
    </row>
    <row r="12" customFormat="false" ht="15" hidden="false" customHeight="false" outlineLevel="0" collapsed="false">
      <c r="A12" s="2" t="s">
        <v>159</v>
      </c>
      <c r="B12" s="2" t="s">
        <v>157</v>
      </c>
      <c r="C12" s="3" t="n">
        <v>2</v>
      </c>
      <c r="D12" s="4" t="n">
        <v>0.5</v>
      </c>
      <c r="E12" s="5" t="n">
        <f aca="false">C12*D12</f>
        <v>1</v>
      </c>
      <c r="F12" s="3" t="n">
        <v>0</v>
      </c>
      <c r="G12" s="3" t="n">
        <v>0</v>
      </c>
      <c r="H12" s="3" t="n">
        <v>1</v>
      </c>
      <c r="I12" s="6" t="n">
        <f aca="false">F12*G12*H12/Inputs!$B$32</f>
        <v>0</v>
      </c>
      <c r="J12" s="6" t="n">
        <f aca="false">I12/Inputs!$B$2</f>
        <v>0</v>
      </c>
      <c r="K12" s="2" t="s">
        <v>160</v>
      </c>
    </row>
    <row r="13" customFormat="false" ht="15" hidden="false" customHeight="false" outlineLevel="0" collapsed="false">
      <c r="A13" s="2" t="s">
        <v>161</v>
      </c>
      <c r="B13" s="2" t="s">
        <v>162</v>
      </c>
      <c r="C13" s="3" t="n">
        <v>3</v>
      </c>
      <c r="D13" s="4" t="n">
        <v>0.666666666666667</v>
      </c>
      <c r="E13" s="5" t="n">
        <f aca="false">C13*D13</f>
        <v>2</v>
      </c>
      <c r="F13" s="3" t="n">
        <v>5000</v>
      </c>
      <c r="G13" s="3" t="n">
        <v>600000</v>
      </c>
      <c r="H13" s="3" t="n">
        <v>1</v>
      </c>
      <c r="I13" s="6" t="n">
        <f aca="false">F13*G13*H13/Inputs!$B$32</f>
        <v>3</v>
      </c>
      <c r="J13" s="6" t="n">
        <f aca="false">I13/Inputs!$B$2</f>
        <v>0.25</v>
      </c>
      <c r="K13" s="2" t="s">
        <v>163</v>
      </c>
    </row>
    <row r="14" customFormat="false" ht="15" hidden="false" customHeight="false" outlineLevel="0" collapsed="false">
      <c r="A14" s="2" t="s">
        <v>164</v>
      </c>
      <c r="B14" s="2" t="s">
        <v>162</v>
      </c>
      <c r="C14" s="3" t="n">
        <v>3</v>
      </c>
      <c r="D14" s="4" t="n">
        <v>0.333333333333333</v>
      </c>
      <c r="E14" s="5" t="n">
        <f aca="false">C14*D14</f>
        <v>1</v>
      </c>
      <c r="F14" s="3" t="n">
        <v>0</v>
      </c>
      <c r="G14" s="3" t="n">
        <v>0</v>
      </c>
      <c r="H14" s="3" t="n">
        <v>1</v>
      </c>
      <c r="I14" s="6" t="n">
        <f aca="false">F14*G14*H14/Inputs!$B$32</f>
        <v>0</v>
      </c>
      <c r="J14" s="6" t="n">
        <f aca="false">I14/Inputs!$B$2</f>
        <v>0</v>
      </c>
      <c r="K14" s="2" t="s">
        <v>165</v>
      </c>
    </row>
    <row r="15" customFormat="false" ht="15" hidden="false" customHeight="false" outlineLevel="0" collapsed="false">
      <c r="A15" s="2" t="s">
        <v>166</v>
      </c>
      <c r="B15" s="2"/>
      <c r="C15" s="2"/>
      <c r="D15" s="2"/>
      <c r="E15" s="5" t="n">
        <f aca="false">SUM(E2:E14)</f>
        <v>35</v>
      </c>
      <c r="F15" s="2"/>
      <c r="G15" s="2"/>
      <c r="H15" s="2"/>
      <c r="I15" s="5" t="n">
        <f aca="false">SUM(I2:I14)</f>
        <v>30</v>
      </c>
      <c r="J15" s="5" t="n">
        <f aca="false">SUM(J2:J14)</f>
        <v>2.5</v>
      </c>
      <c r="K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2" t="s">
        <v>167</v>
      </c>
      <c r="B17" s="2"/>
      <c r="C17" s="2"/>
      <c r="D17" s="2"/>
      <c r="E17" s="5" t="n">
        <f aca="false">J15/E15</f>
        <v>0.0714285714285714</v>
      </c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" t="s">
        <v>168</v>
      </c>
      <c r="B18" s="2"/>
      <c r="C18" s="2"/>
      <c r="D18" s="2"/>
      <c r="E18" s="5" t="n">
        <f aca="false">E15-J15</f>
        <v>32.5</v>
      </c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2" t="s">
        <v>139</v>
      </c>
      <c r="B21" s="2" t="s">
        <v>169</v>
      </c>
      <c r="C21" s="2"/>
      <c r="D21" s="2"/>
      <c r="E21" s="6" t="n">
        <f aca="false">SUMIF(B2:B14,A21,D2:D14)-Inputs!$B$35</f>
        <v>0</v>
      </c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2" t="s">
        <v>145</v>
      </c>
      <c r="B22" s="2" t="s">
        <v>169</v>
      </c>
      <c r="C22" s="2"/>
      <c r="D22" s="2"/>
      <c r="E22" s="6" t="n">
        <f aca="false">SUMIF(B2:B14,A22,D2:D14)-Inputs!$B$35</f>
        <v>0</v>
      </c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2" t="s">
        <v>149</v>
      </c>
      <c r="B23" s="2" t="s">
        <v>169</v>
      </c>
      <c r="C23" s="2"/>
      <c r="D23" s="2"/>
      <c r="E23" s="6" t="n">
        <f aca="false">SUMIF(B2:B14,A23,D2:D14)-Inputs!$B$35</f>
        <v>0</v>
      </c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2" t="s">
        <v>151</v>
      </c>
      <c r="B24" s="2" t="s">
        <v>169</v>
      </c>
      <c r="C24" s="2"/>
      <c r="D24" s="2"/>
      <c r="E24" s="6" t="n">
        <f aca="false">SUMIF(B2:B14,A24,D2:D14)-Inputs!$B$35</f>
        <v>0</v>
      </c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2" t="s">
        <v>155</v>
      </c>
      <c r="B25" s="2" t="s">
        <v>169</v>
      </c>
      <c r="C25" s="2"/>
      <c r="D25" s="2"/>
      <c r="E25" s="6" t="n">
        <f aca="false">SUMIF(B2:B14,A25,D2:D14)-Inputs!$B$35</f>
        <v>0</v>
      </c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2" t="s">
        <v>157</v>
      </c>
      <c r="B26" s="2" t="s">
        <v>169</v>
      </c>
      <c r="C26" s="2"/>
      <c r="D26" s="2"/>
      <c r="E26" s="6" t="n">
        <f aca="false">SUMIF(B2:B14,A26,D2:D14)-Inputs!$B$35</f>
        <v>0</v>
      </c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 t="s">
        <v>162</v>
      </c>
      <c r="B27" s="2" t="s">
        <v>169</v>
      </c>
      <c r="C27" s="2"/>
      <c r="D27" s="2"/>
      <c r="E27" s="6" t="n">
        <f aca="false">SUMIF(B2:B14,A27,D2:D14)-Inputs!$B$35</f>
        <v>0</v>
      </c>
      <c r="F27" s="2"/>
      <c r="G27" s="2"/>
      <c r="H27" s="2"/>
      <c r="I27" s="2"/>
      <c r="J27" s="2"/>
      <c r="K27" s="2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R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122" min="2" style="0" width="16"/>
  </cols>
  <sheetData>
    <row r="1" customFormat="false" ht="31.5" hidden="false" customHeight="true" outlineLevel="0" collapsed="false">
      <c r="A1" s="7" t="s">
        <v>170</v>
      </c>
      <c r="B1" s="8" t="n">
        <f aca="false">Inputs!$B$34</f>
        <v>0</v>
      </c>
      <c r="C1" s="8" t="n">
        <f aca="false">B1+Inputs!$B$35</f>
        <v>1</v>
      </c>
      <c r="D1" s="8" t="n">
        <f aca="false">C1+Inputs!$B$35</f>
        <v>2</v>
      </c>
      <c r="E1" s="8" t="n">
        <f aca="false">D1+Inputs!$B$35</f>
        <v>3</v>
      </c>
      <c r="F1" s="8" t="n">
        <f aca="false">E1+Inputs!$B$35</f>
        <v>4</v>
      </c>
      <c r="G1" s="8" t="n">
        <f aca="false">F1+Inputs!$B$35</f>
        <v>5</v>
      </c>
      <c r="H1" s="8" t="n">
        <f aca="false">G1+Inputs!$B$35</f>
        <v>6</v>
      </c>
      <c r="I1" s="8" t="n">
        <f aca="false">H1+Inputs!$B$35</f>
        <v>7</v>
      </c>
      <c r="J1" s="8" t="n">
        <f aca="false">I1+Inputs!$B$35</f>
        <v>8</v>
      </c>
      <c r="K1" s="8" t="n">
        <f aca="false">J1+Inputs!$B$35</f>
        <v>9</v>
      </c>
      <c r="L1" s="8" t="n">
        <f aca="false">K1+Inputs!$B$35</f>
        <v>10</v>
      </c>
      <c r="M1" s="8" t="n">
        <f aca="false">L1+Inputs!$B$35</f>
        <v>11</v>
      </c>
      <c r="N1" s="8" t="n">
        <f aca="false">M1+Inputs!$B$35</f>
        <v>12</v>
      </c>
      <c r="O1" s="8" t="n">
        <f aca="false">N1+Inputs!$B$35</f>
        <v>13</v>
      </c>
      <c r="P1" s="8" t="n">
        <f aca="false">O1+Inputs!$B$35</f>
        <v>14</v>
      </c>
      <c r="Q1" s="8" t="n">
        <f aca="false">P1+Inputs!$B$35</f>
        <v>15</v>
      </c>
      <c r="R1" s="8" t="n">
        <f aca="false">Q1+Inputs!$B$35</f>
        <v>16</v>
      </c>
      <c r="S1" s="8" t="n">
        <f aca="false">R1+Inputs!$B$35</f>
        <v>17</v>
      </c>
      <c r="T1" s="8" t="n">
        <f aca="false">S1+Inputs!$B$35</f>
        <v>18</v>
      </c>
      <c r="U1" s="8" t="n">
        <f aca="false">T1+Inputs!$B$35</f>
        <v>19</v>
      </c>
      <c r="V1" s="8" t="n">
        <f aca="false">U1+Inputs!$B$35</f>
        <v>20</v>
      </c>
      <c r="W1" s="8" t="n">
        <f aca="false">V1+Inputs!$B$35</f>
        <v>21</v>
      </c>
      <c r="X1" s="8" t="n">
        <f aca="false">W1+Inputs!$B$35</f>
        <v>22</v>
      </c>
      <c r="Y1" s="8" t="n">
        <f aca="false">X1+Inputs!$B$35</f>
        <v>23</v>
      </c>
      <c r="Z1" s="8" t="n">
        <f aca="false">Y1+Inputs!$B$35</f>
        <v>24</v>
      </c>
      <c r="AA1" s="8" t="n">
        <f aca="false">Z1+Inputs!$B$35</f>
        <v>25</v>
      </c>
      <c r="AB1" s="8" t="n">
        <f aca="false">AA1+Inputs!$B$35</f>
        <v>26</v>
      </c>
      <c r="AC1" s="8" t="n">
        <f aca="false">AB1+Inputs!$B$35</f>
        <v>27</v>
      </c>
      <c r="AD1" s="8" t="n">
        <f aca="false">AC1+Inputs!$B$35</f>
        <v>28</v>
      </c>
      <c r="AE1" s="8" t="n">
        <f aca="false">AD1+Inputs!$B$35</f>
        <v>29</v>
      </c>
      <c r="AF1" s="8" t="n">
        <f aca="false">AE1+Inputs!$B$35</f>
        <v>30</v>
      </c>
      <c r="AG1" s="8" t="n">
        <f aca="false">AF1+Inputs!$B$35</f>
        <v>31</v>
      </c>
      <c r="AH1" s="8" t="n">
        <f aca="false">AG1+Inputs!$B$35</f>
        <v>32</v>
      </c>
      <c r="AI1" s="8" t="n">
        <f aca="false">AH1+Inputs!$B$35</f>
        <v>33</v>
      </c>
      <c r="AJ1" s="8" t="n">
        <f aca="false">AI1+Inputs!$B$35</f>
        <v>34</v>
      </c>
      <c r="AK1" s="8" t="n">
        <f aca="false">AJ1+Inputs!$B$35</f>
        <v>35</v>
      </c>
      <c r="AL1" s="8" t="n">
        <f aca="false">AK1+Inputs!$B$35</f>
        <v>36</v>
      </c>
      <c r="AM1" s="8" t="n">
        <f aca="false">AL1+Inputs!$B$35</f>
        <v>37</v>
      </c>
      <c r="AN1" s="8" t="n">
        <f aca="false">AM1+Inputs!$B$35</f>
        <v>38</v>
      </c>
      <c r="AO1" s="8" t="n">
        <f aca="false">AN1+Inputs!$B$35</f>
        <v>39</v>
      </c>
      <c r="AP1" s="8" t="n">
        <f aca="false">AO1+Inputs!$B$35</f>
        <v>40</v>
      </c>
      <c r="AQ1" s="8" t="n">
        <f aca="false">AP1+Inputs!$B$35</f>
        <v>41</v>
      </c>
      <c r="AR1" s="8" t="n">
        <f aca="false">AQ1+Inputs!$B$35</f>
        <v>42</v>
      </c>
      <c r="AS1" s="8" t="n">
        <f aca="false">AR1+Inputs!$B$35</f>
        <v>43</v>
      </c>
      <c r="AT1" s="8" t="n">
        <f aca="false">AS1+Inputs!$B$35</f>
        <v>44</v>
      </c>
      <c r="AU1" s="8" t="n">
        <f aca="false">AT1+Inputs!$B$35</f>
        <v>45</v>
      </c>
      <c r="AV1" s="8" t="n">
        <f aca="false">AU1+Inputs!$B$35</f>
        <v>46</v>
      </c>
      <c r="AW1" s="8" t="n">
        <f aca="false">AV1+Inputs!$B$35</f>
        <v>47</v>
      </c>
      <c r="AX1" s="8" t="n">
        <f aca="false">AW1+Inputs!$B$35</f>
        <v>48</v>
      </c>
      <c r="AY1" s="8" t="n">
        <f aca="false">AX1+Inputs!$B$35</f>
        <v>49</v>
      </c>
      <c r="AZ1" s="8" t="n">
        <f aca="false">AY1+Inputs!$B$35</f>
        <v>50</v>
      </c>
      <c r="BA1" s="8" t="n">
        <f aca="false">AZ1+Inputs!$B$35</f>
        <v>51</v>
      </c>
      <c r="BB1" s="8" t="n">
        <f aca="false">BA1+Inputs!$B$35</f>
        <v>52</v>
      </c>
      <c r="BC1" s="8" t="n">
        <f aca="false">BB1+Inputs!$B$35</f>
        <v>53</v>
      </c>
      <c r="BD1" s="8" t="n">
        <f aca="false">BC1+Inputs!$B$35</f>
        <v>54</v>
      </c>
      <c r="BE1" s="8" t="n">
        <f aca="false">BD1+Inputs!$B$35</f>
        <v>55</v>
      </c>
      <c r="BF1" s="8" t="n">
        <f aca="false">BE1+Inputs!$B$35</f>
        <v>56</v>
      </c>
      <c r="BG1" s="8" t="n">
        <f aca="false">BF1+Inputs!$B$35</f>
        <v>57</v>
      </c>
      <c r="BH1" s="8" t="n">
        <f aca="false">BG1+Inputs!$B$35</f>
        <v>58</v>
      </c>
      <c r="BI1" s="8" t="n">
        <f aca="false">BH1+Inputs!$B$35</f>
        <v>59</v>
      </c>
      <c r="BJ1" s="8" t="n">
        <f aca="false">BI1+Inputs!$B$35</f>
        <v>60</v>
      </c>
      <c r="BK1" s="8" t="n">
        <f aca="false">BJ1+Inputs!$B$35</f>
        <v>61</v>
      </c>
      <c r="BL1" s="8" t="n">
        <f aca="false">BK1+Inputs!$B$35</f>
        <v>62</v>
      </c>
      <c r="BM1" s="8" t="n">
        <f aca="false">BL1+Inputs!$B$35</f>
        <v>63</v>
      </c>
      <c r="BN1" s="8" t="n">
        <f aca="false">BM1+Inputs!$B$35</f>
        <v>64</v>
      </c>
      <c r="BO1" s="8" t="n">
        <f aca="false">BN1+Inputs!$B$35</f>
        <v>65</v>
      </c>
      <c r="BP1" s="8" t="n">
        <f aca="false">BO1+Inputs!$B$35</f>
        <v>66</v>
      </c>
      <c r="BQ1" s="8" t="n">
        <f aca="false">BP1+Inputs!$B$35</f>
        <v>67</v>
      </c>
      <c r="BR1" s="8" t="n">
        <f aca="false">BQ1+Inputs!$B$35</f>
        <v>68</v>
      </c>
      <c r="BS1" s="8" t="n">
        <f aca="false">BR1+Inputs!$B$35</f>
        <v>69</v>
      </c>
      <c r="BT1" s="8" t="n">
        <f aca="false">BS1+Inputs!$B$35</f>
        <v>70</v>
      </c>
      <c r="BU1" s="8" t="n">
        <f aca="false">BT1+Inputs!$B$35</f>
        <v>71</v>
      </c>
      <c r="BV1" s="8" t="n">
        <f aca="false">BU1+Inputs!$B$35</f>
        <v>72</v>
      </c>
      <c r="BW1" s="8" t="n">
        <f aca="false">BV1+Inputs!$B$35</f>
        <v>73</v>
      </c>
      <c r="BX1" s="8" t="n">
        <f aca="false">BW1+Inputs!$B$35</f>
        <v>74</v>
      </c>
      <c r="BY1" s="8" t="n">
        <f aca="false">BX1+Inputs!$B$35</f>
        <v>75</v>
      </c>
      <c r="BZ1" s="8" t="n">
        <f aca="false">BY1+Inputs!$B$35</f>
        <v>76</v>
      </c>
      <c r="CA1" s="8" t="n">
        <f aca="false">BZ1+Inputs!$B$35</f>
        <v>77</v>
      </c>
      <c r="CB1" s="8" t="n">
        <f aca="false">CA1+Inputs!$B$35</f>
        <v>78</v>
      </c>
      <c r="CC1" s="8" t="n">
        <f aca="false">CB1+Inputs!$B$35</f>
        <v>79</v>
      </c>
      <c r="CD1" s="8" t="n">
        <f aca="false">CC1+Inputs!$B$35</f>
        <v>80</v>
      </c>
      <c r="CE1" s="8" t="n">
        <f aca="false">CD1+Inputs!$B$35</f>
        <v>81</v>
      </c>
      <c r="CF1" s="8" t="n">
        <f aca="false">CE1+Inputs!$B$35</f>
        <v>82</v>
      </c>
      <c r="CG1" s="8" t="n">
        <f aca="false">CF1+Inputs!$B$35</f>
        <v>83</v>
      </c>
      <c r="CH1" s="8" t="n">
        <f aca="false">CG1+Inputs!$B$35</f>
        <v>84</v>
      </c>
      <c r="CI1" s="8" t="n">
        <f aca="false">CH1+Inputs!$B$35</f>
        <v>85</v>
      </c>
      <c r="CJ1" s="8" t="n">
        <f aca="false">CI1+Inputs!$B$35</f>
        <v>86</v>
      </c>
      <c r="CK1" s="8" t="n">
        <f aca="false">CJ1+Inputs!$B$35</f>
        <v>87</v>
      </c>
      <c r="CL1" s="8" t="n">
        <f aca="false">CK1+Inputs!$B$35</f>
        <v>88</v>
      </c>
      <c r="CM1" s="8" t="n">
        <f aca="false">CL1+Inputs!$B$35</f>
        <v>89</v>
      </c>
      <c r="CN1" s="8" t="n">
        <f aca="false">CM1+Inputs!$B$35</f>
        <v>90</v>
      </c>
      <c r="CO1" s="8" t="n">
        <f aca="false">CN1+Inputs!$B$35</f>
        <v>91</v>
      </c>
      <c r="CP1" s="8" t="n">
        <f aca="false">CO1+Inputs!$B$35</f>
        <v>92</v>
      </c>
      <c r="CQ1" s="8" t="n">
        <f aca="false">CP1+Inputs!$B$35</f>
        <v>93</v>
      </c>
      <c r="CR1" s="8" t="n">
        <f aca="false">CQ1+Inputs!$B$35</f>
        <v>94</v>
      </c>
      <c r="CS1" s="8" t="n">
        <f aca="false">CR1+Inputs!$B$35</f>
        <v>95</v>
      </c>
      <c r="CT1" s="8" t="n">
        <f aca="false">CS1+Inputs!$B$35</f>
        <v>96</v>
      </c>
      <c r="CU1" s="8" t="n">
        <f aca="false">CT1+Inputs!$B$35</f>
        <v>97</v>
      </c>
      <c r="CV1" s="8" t="n">
        <f aca="false">CU1+Inputs!$B$35</f>
        <v>98</v>
      </c>
      <c r="CW1" s="8" t="n">
        <f aca="false">CV1+Inputs!$B$35</f>
        <v>99</v>
      </c>
      <c r="CX1" s="8" t="n">
        <f aca="false">CW1+Inputs!$B$35</f>
        <v>100</v>
      </c>
      <c r="CY1" s="8" t="n">
        <f aca="false">CX1+Inputs!$B$35</f>
        <v>101</v>
      </c>
      <c r="CZ1" s="8" t="n">
        <f aca="false">CY1+Inputs!$B$35</f>
        <v>102</v>
      </c>
      <c r="DA1" s="8" t="n">
        <f aca="false">CZ1+Inputs!$B$35</f>
        <v>103</v>
      </c>
      <c r="DB1" s="8" t="n">
        <f aca="false">DA1+Inputs!$B$35</f>
        <v>104</v>
      </c>
      <c r="DC1" s="8" t="n">
        <f aca="false">DB1+Inputs!$B$35</f>
        <v>105</v>
      </c>
      <c r="DD1" s="8" t="n">
        <f aca="false">DC1+Inputs!$B$35</f>
        <v>106</v>
      </c>
      <c r="DE1" s="8" t="n">
        <f aca="false">DD1+Inputs!$B$35</f>
        <v>107</v>
      </c>
      <c r="DF1" s="8" t="n">
        <f aca="false">DE1+Inputs!$B$35</f>
        <v>108</v>
      </c>
      <c r="DG1" s="8" t="n">
        <f aca="false">DF1+Inputs!$B$35</f>
        <v>109</v>
      </c>
      <c r="DH1" s="8" t="n">
        <f aca="false">DG1+Inputs!$B$35</f>
        <v>110</v>
      </c>
      <c r="DI1" s="8" t="n">
        <f aca="false">DH1+Inputs!$B$35</f>
        <v>111</v>
      </c>
      <c r="DJ1" s="8" t="n">
        <f aca="false">DI1+Inputs!$B$35</f>
        <v>112</v>
      </c>
      <c r="DK1" s="8" t="n">
        <f aca="false">DJ1+Inputs!$B$35</f>
        <v>113</v>
      </c>
      <c r="DL1" s="8" t="n">
        <f aca="false">DK1+Inputs!$B$35</f>
        <v>114</v>
      </c>
      <c r="DM1" s="8" t="n">
        <f aca="false">DL1+Inputs!$B$35</f>
        <v>115</v>
      </c>
      <c r="DN1" s="8" t="n">
        <f aca="false">DM1+Inputs!$B$35</f>
        <v>116</v>
      </c>
      <c r="DO1" s="8" t="n">
        <f aca="false">DN1+Inputs!$B$35</f>
        <v>117</v>
      </c>
      <c r="DP1" s="8" t="n">
        <f aca="false">DO1+Inputs!$B$35</f>
        <v>118</v>
      </c>
      <c r="DQ1" s="8" t="n">
        <f aca="false">DP1+Inputs!$B$35</f>
        <v>119</v>
      </c>
      <c r="DR1" s="8" t="n">
        <f aca="false">DQ1+Inputs!$B$35</f>
        <v>120</v>
      </c>
    </row>
    <row r="2" customFormat="false" ht="15" hidden="false" customHeight="false" outlineLevel="0" collapsed="false">
      <c r="A2" s="9" t="s">
        <v>171</v>
      </c>
      <c r="B2" s="10" t="n">
        <f aca="false">ROUNDUP(B$1/Inputs!$B$2,Inputs!$B$34)</f>
        <v>0</v>
      </c>
      <c r="C2" s="10" t="n">
        <f aca="false">ROUNDUP(C$1/Inputs!$B$2,Inputs!$B$34)</f>
        <v>1</v>
      </c>
      <c r="D2" s="10" t="n">
        <f aca="false">ROUNDUP(D$1/Inputs!$B$2,Inputs!$B$34)</f>
        <v>1</v>
      </c>
      <c r="E2" s="10" t="n">
        <f aca="false">ROUNDUP(E$1/Inputs!$B$2,Inputs!$B$34)</f>
        <v>1</v>
      </c>
      <c r="F2" s="10" t="n">
        <f aca="false">ROUNDUP(F$1/Inputs!$B$2,Inputs!$B$34)</f>
        <v>1</v>
      </c>
      <c r="G2" s="10" t="n">
        <f aca="false">ROUNDUP(G$1/Inputs!$B$2,Inputs!$B$34)</f>
        <v>1</v>
      </c>
      <c r="H2" s="10" t="n">
        <f aca="false">ROUNDUP(H$1/Inputs!$B$2,Inputs!$B$34)</f>
        <v>1</v>
      </c>
      <c r="I2" s="10" t="n">
        <f aca="false">ROUNDUP(I$1/Inputs!$B$2,Inputs!$B$34)</f>
        <v>1</v>
      </c>
      <c r="J2" s="10" t="n">
        <f aca="false">ROUNDUP(J$1/Inputs!$B$2,Inputs!$B$34)</f>
        <v>1</v>
      </c>
      <c r="K2" s="10" t="n">
        <f aca="false">ROUNDUP(K$1/Inputs!$B$2,Inputs!$B$34)</f>
        <v>1</v>
      </c>
      <c r="L2" s="10" t="n">
        <f aca="false">ROUNDUP(L$1/Inputs!$B$2,Inputs!$B$34)</f>
        <v>1</v>
      </c>
      <c r="M2" s="10" t="n">
        <f aca="false">ROUNDUP(M$1/Inputs!$B$2,Inputs!$B$34)</f>
        <v>1</v>
      </c>
      <c r="N2" s="10" t="n">
        <f aca="false">ROUNDUP(N$1/Inputs!$B$2,Inputs!$B$34)</f>
        <v>1</v>
      </c>
      <c r="O2" s="10" t="n">
        <f aca="false">ROUNDUP(O$1/Inputs!$B$2,Inputs!$B$34)</f>
        <v>2</v>
      </c>
      <c r="P2" s="10" t="n">
        <f aca="false">ROUNDUP(P$1/Inputs!$B$2,Inputs!$B$34)</f>
        <v>2</v>
      </c>
      <c r="Q2" s="10" t="n">
        <f aca="false">ROUNDUP(Q$1/Inputs!$B$2,Inputs!$B$34)</f>
        <v>2</v>
      </c>
      <c r="R2" s="10" t="n">
        <f aca="false">ROUNDUP(R$1/Inputs!$B$2,Inputs!$B$34)</f>
        <v>2</v>
      </c>
      <c r="S2" s="10" t="n">
        <f aca="false">ROUNDUP(S$1/Inputs!$B$2,Inputs!$B$34)</f>
        <v>2</v>
      </c>
      <c r="T2" s="10" t="n">
        <f aca="false">ROUNDUP(T$1/Inputs!$B$2,Inputs!$B$34)</f>
        <v>2</v>
      </c>
      <c r="U2" s="10" t="n">
        <f aca="false">ROUNDUP(U$1/Inputs!$B$2,Inputs!$B$34)</f>
        <v>2</v>
      </c>
      <c r="V2" s="10" t="n">
        <f aca="false">ROUNDUP(V$1/Inputs!$B$2,Inputs!$B$34)</f>
        <v>2</v>
      </c>
      <c r="W2" s="10" t="n">
        <f aca="false">ROUNDUP(W$1/Inputs!$B$2,Inputs!$B$34)</f>
        <v>2</v>
      </c>
      <c r="X2" s="10" t="n">
        <f aca="false">ROUNDUP(X$1/Inputs!$B$2,Inputs!$B$34)</f>
        <v>2</v>
      </c>
      <c r="Y2" s="10" t="n">
        <f aca="false">ROUNDUP(Y$1/Inputs!$B$2,Inputs!$B$34)</f>
        <v>2</v>
      </c>
      <c r="Z2" s="10" t="n">
        <f aca="false">ROUNDUP(Z$1/Inputs!$B$2,Inputs!$B$34)</f>
        <v>2</v>
      </c>
      <c r="AA2" s="10" t="n">
        <f aca="false">ROUNDUP(AA$1/Inputs!$B$2,Inputs!$B$34)</f>
        <v>3</v>
      </c>
      <c r="AB2" s="10" t="n">
        <f aca="false">ROUNDUP(AB$1/Inputs!$B$2,Inputs!$B$34)</f>
        <v>3</v>
      </c>
      <c r="AC2" s="10" t="n">
        <f aca="false">ROUNDUP(AC$1/Inputs!$B$2,Inputs!$B$34)</f>
        <v>3</v>
      </c>
      <c r="AD2" s="10" t="n">
        <f aca="false">ROUNDUP(AD$1/Inputs!$B$2,Inputs!$B$34)</f>
        <v>3</v>
      </c>
      <c r="AE2" s="10" t="n">
        <f aca="false">ROUNDUP(AE$1/Inputs!$B$2,Inputs!$B$34)</f>
        <v>3</v>
      </c>
      <c r="AF2" s="10" t="n">
        <f aca="false">ROUNDUP(AF$1/Inputs!$B$2,Inputs!$B$34)</f>
        <v>3</v>
      </c>
      <c r="AG2" s="10" t="n">
        <f aca="false">ROUNDUP(AG$1/Inputs!$B$2,Inputs!$B$34)</f>
        <v>3</v>
      </c>
      <c r="AH2" s="10" t="n">
        <f aca="false">ROUNDUP(AH$1/Inputs!$B$2,Inputs!$B$34)</f>
        <v>3</v>
      </c>
      <c r="AI2" s="10" t="n">
        <f aca="false">ROUNDUP(AI$1/Inputs!$B$2,Inputs!$B$34)</f>
        <v>3</v>
      </c>
      <c r="AJ2" s="10" t="n">
        <f aca="false">ROUNDUP(AJ$1/Inputs!$B$2,Inputs!$B$34)</f>
        <v>3</v>
      </c>
      <c r="AK2" s="10" t="n">
        <f aca="false">ROUNDUP(AK$1/Inputs!$B$2,Inputs!$B$34)</f>
        <v>3</v>
      </c>
      <c r="AL2" s="10" t="n">
        <f aca="false">ROUNDUP(AL$1/Inputs!$B$2,Inputs!$B$34)</f>
        <v>3</v>
      </c>
      <c r="AM2" s="10" t="n">
        <f aca="false">ROUNDUP(AM$1/Inputs!$B$2,Inputs!$B$34)</f>
        <v>4</v>
      </c>
      <c r="AN2" s="10" t="n">
        <f aca="false">ROUNDUP(AN$1/Inputs!$B$2,Inputs!$B$34)</f>
        <v>4</v>
      </c>
      <c r="AO2" s="10" t="n">
        <f aca="false">ROUNDUP(AO$1/Inputs!$B$2,Inputs!$B$34)</f>
        <v>4</v>
      </c>
      <c r="AP2" s="10" t="n">
        <f aca="false">ROUNDUP(AP$1/Inputs!$B$2,Inputs!$B$34)</f>
        <v>4</v>
      </c>
      <c r="AQ2" s="10" t="n">
        <f aca="false">ROUNDUP(AQ$1/Inputs!$B$2,Inputs!$B$34)</f>
        <v>4</v>
      </c>
      <c r="AR2" s="10" t="n">
        <f aca="false">ROUNDUP(AR$1/Inputs!$B$2,Inputs!$B$34)</f>
        <v>4</v>
      </c>
      <c r="AS2" s="10" t="n">
        <f aca="false">ROUNDUP(AS$1/Inputs!$B$2,Inputs!$B$34)</f>
        <v>4</v>
      </c>
      <c r="AT2" s="10" t="n">
        <f aca="false">ROUNDUP(AT$1/Inputs!$B$2,Inputs!$B$34)</f>
        <v>4</v>
      </c>
      <c r="AU2" s="10" t="n">
        <f aca="false">ROUNDUP(AU$1/Inputs!$B$2,Inputs!$B$34)</f>
        <v>4</v>
      </c>
      <c r="AV2" s="10" t="n">
        <f aca="false">ROUNDUP(AV$1/Inputs!$B$2,Inputs!$B$34)</f>
        <v>4</v>
      </c>
      <c r="AW2" s="10" t="n">
        <f aca="false">ROUNDUP(AW$1/Inputs!$B$2,Inputs!$B$34)</f>
        <v>4</v>
      </c>
      <c r="AX2" s="10" t="n">
        <f aca="false">ROUNDUP(AX$1/Inputs!$B$2,Inputs!$B$34)</f>
        <v>4</v>
      </c>
      <c r="AY2" s="10" t="n">
        <f aca="false">ROUNDUP(AY$1/Inputs!$B$2,Inputs!$B$34)</f>
        <v>5</v>
      </c>
      <c r="AZ2" s="10" t="n">
        <f aca="false">ROUNDUP(AZ$1/Inputs!$B$2,Inputs!$B$34)</f>
        <v>5</v>
      </c>
      <c r="BA2" s="10" t="n">
        <f aca="false">ROUNDUP(BA$1/Inputs!$B$2,Inputs!$B$34)</f>
        <v>5</v>
      </c>
      <c r="BB2" s="10" t="n">
        <f aca="false">ROUNDUP(BB$1/Inputs!$B$2,Inputs!$B$34)</f>
        <v>5</v>
      </c>
      <c r="BC2" s="10" t="n">
        <f aca="false">ROUNDUP(BC$1/Inputs!$B$2,Inputs!$B$34)</f>
        <v>5</v>
      </c>
      <c r="BD2" s="10" t="n">
        <f aca="false">ROUNDUP(BD$1/Inputs!$B$2,Inputs!$B$34)</f>
        <v>5</v>
      </c>
      <c r="BE2" s="10" t="n">
        <f aca="false">ROUNDUP(BE$1/Inputs!$B$2,Inputs!$B$34)</f>
        <v>5</v>
      </c>
      <c r="BF2" s="10" t="n">
        <f aca="false">ROUNDUP(BF$1/Inputs!$B$2,Inputs!$B$34)</f>
        <v>5</v>
      </c>
      <c r="BG2" s="10" t="n">
        <f aca="false">ROUNDUP(BG$1/Inputs!$B$2,Inputs!$B$34)</f>
        <v>5</v>
      </c>
      <c r="BH2" s="10" t="n">
        <f aca="false">ROUNDUP(BH$1/Inputs!$B$2,Inputs!$B$34)</f>
        <v>5</v>
      </c>
      <c r="BI2" s="10" t="n">
        <f aca="false">ROUNDUP(BI$1/Inputs!$B$2,Inputs!$B$34)</f>
        <v>5</v>
      </c>
      <c r="BJ2" s="10" t="n">
        <f aca="false">ROUNDUP(BJ$1/Inputs!$B$2,Inputs!$B$34)</f>
        <v>5</v>
      </c>
      <c r="BK2" s="10" t="n">
        <f aca="false">ROUNDUP(BK$1/Inputs!$B$2,Inputs!$B$34)</f>
        <v>6</v>
      </c>
      <c r="BL2" s="10" t="n">
        <f aca="false">ROUNDUP(BL$1/Inputs!$B$2,Inputs!$B$34)</f>
        <v>6</v>
      </c>
      <c r="BM2" s="10" t="n">
        <f aca="false">ROUNDUP(BM$1/Inputs!$B$2,Inputs!$B$34)</f>
        <v>6</v>
      </c>
      <c r="BN2" s="10" t="n">
        <f aca="false">ROUNDUP(BN$1/Inputs!$B$2,Inputs!$B$34)</f>
        <v>6</v>
      </c>
      <c r="BO2" s="10" t="n">
        <f aca="false">ROUNDUP(BO$1/Inputs!$B$2,Inputs!$B$34)</f>
        <v>6</v>
      </c>
      <c r="BP2" s="10" t="n">
        <f aca="false">ROUNDUP(BP$1/Inputs!$B$2,Inputs!$B$34)</f>
        <v>6</v>
      </c>
      <c r="BQ2" s="10" t="n">
        <f aca="false">ROUNDUP(BQ$1/Inputs!$B$2,Inputs!$B$34)</f>
        <v>6</v>
      </c>
      <c r="BR2" s="10" t="n">
        <f aca="false">ROUNDUP(BR$1/Inputs!$B$2,Inputs!$B$34)</f>
        <v>6</v>
      </c>
      <c r="BS2" s="10" t="n">
        <f aca="false">ROUNDUP(BS$1/Inputs!$B$2,Inputs!$B$34)</f>
        <v>6</v>
      </c>
      <c r="BT2" s="10" t="n">
        <f aca="false">ROUNDUP(BT$1/Inputs!$B$2,Inputs!$B$34)</f>
        <v>6</v>
      </c>
      <c r="BU2" s="10" t="n">
        <f aca="false">ROUNDUP(BU$1/Inputs!$B$2,Inputs!$B$34)</f>
        <v>6</v>
      </c>
      <c r="BV2" s="10" t="n">
        <f aca="false">ROUNDUP(BV$1/Inputs!$B$2,Inputs!$B$34)</f>
        <v>6</v>
      </c>
      <c r="BW2" s="10" t="n">
        <f aca="false">ROUNDUP(BW$1/Inputs!$B$2,Inputs!$B$34)</f>
        <v>7</v>
      </c>
      <c r="BX2" s="10" t="n">
        <f aca="false">ROUNDUP(BX$1/Inputs!$B$2,Inputs!$B$34)</f>
        <v>7</v>
      </c>
      <c r="BY2" s="10" t="n">
        <f aca="false">ROUNDUP(BY$1/Inputs!$B$2,Inputs!$B$34)</f>
        <v>7</v>
      </c>
      <c r="BZ2" s="10" t="n">
        <f aca="false">ROUNDUP(BZ$1/Inputs!$B$2,Inputs!$B$34)</f>
        <v>7</v>
      </c>
      <c r="CA2" s="10" t="n">
        <f aca="false">ROUNDUP(CA$1/Inputs!$B$2,Inputs!$B$34)</f>
        <v>7</v>
      </c>
      <c r="CB2" s="10" t="n">
        <f aca="false">ROUNDUP(CB$1/Inputs!$B$2,Inputs!$B$34)</f>
        <v>7</v>
      </c>
      <c r="CC2" s="10" t="n">
        <f aca="false">ROUNDUP(CC$1/Inputs!$B$2,Inputs!$B$34)</f>
        <v>7</v>
      </c>
      <c r="CD2" s="10" t="n">
        <f aca="false">ROUNDUP(CD$1/Inputs!$B$2,Inputs!$B$34)</f>
        <v>7</v>
      </c>
      <c r="CE2" s="10" t="n">
        <f aca="false">ROUNDUP(CE$1/Inputs!$B$2,Inputs!$B$34)</f>
        <v>7</v>
      </c>
      <c r="CF2" s="10" t="n">
        <f aca="false">ROUNDUP(CF$1/Inputs!$B$2,Inputs!$B$34)</f>
        <v>7</v>
      </c>
      <c r="CG2" s="10" t="n">
        <f aca="false">ROUNDUP(CG$1/Inputs!$B$2,Inputs!$B$34)</f>
        <v>7</v>
      </c>
      <c r="CH2" s="10" t="n">
        <f aca="false">ROUNDUP(CH$1/Inputs!$B$2,Inputs!$B$34)</f>
        <v>7</v>
      </c>
      <c r="CI2" s="10" t="n">
        <f aca="false">ROUNDUP(CI$1/Inputs!$B$2,Inputs!$B$34)</f>
        <v>8</v>
      </c>
      <c r="CJ2" s="10" t="n">
        <f aca="false">ROUNDUP(CJ$1/Inputs!$B$2,Inputs!$B$34)</f>
        <v>8</v>
      </c>
      <c r="CK2" s="10" t="n">
        <f aca="false">ROUNDUP(CK$1/Inputs!$B$2,Inputs!$B$34)</f>
        <v>8</v>
      </c>
      <c r="CL2" s="10" t="n">
        <f aca="false">ROUNDUP(CL$1/Inputs!$B$2,Inputs!$B$34)</f>
        <v>8</v>
      </c>
      <c r="CM2" s="10" t="n">
        <f aca="false">ROUNDUP(CM$1/Inputs!$B$2,Inputs!$B$34)</f>
        <v>8</v>
      </c>
      <c r="CN2" s="10" t="n">
        <f aca="false">ROUNDUP(CN$1/Inputs!$B$2,Inputs!$B$34)</f>
        <v>8</v>
      </c>
      <c r="CO2" s="10" t="n">
        <f aca="false">ROUNDUP(CO$1/Inputs!$B$2,Inputs!$B$34)</f>
        <v>8</v>
      </c>
      <c r="CP2" s="10" t="n">
        <f aca="false">ROUNDUP(CP$1/Inputs!$B$2,Inputs!$B$34)</f>
        <v>8</v>
      </c>
      <c r="CQ2" s="10" t="n">
        <f aca="false">ROUNDUP(CQ$1/Inputs!$B$2,Inputs!$B$34)</f>
        <v>8</v>
      </c>
      <c r="CR2" s="10" t="n">
        <f aca="false">ROUNDUP(CR$1/Inputs!$B$2,Inputs!$B$34)</f>
        <v>8</v>
      </c>
      <c r="CS2" s="10" t="n">
        <f aca="false">ROUNDUP(CS$1/Inputs!$B$2,Inputs!$B$34)</f>
        <v>8</v>
      </c>
      <c r="CT2" s="10" t="n">
        <f aca="false">ROUNDUP(CT$1/Inputs!$B$2,Inputs!$B$34)</f>
        <v>8</v>
      </c>
      <c r="CU2" s="10" t="n">
        <f aca="false">ROUNDUP(CU$1/Inputs!$B$2,Inputs!$B$34)</f>
        <v>9</v>
      </c>
      <c r="CV2" s="10" t="n">
        <f aca="false">ROUNDUP(CV$1/Inputs!$B$2,Inputs!$B$34)</f>
        <v>9</v>
      </c>
      <c r="CW2" s="10" t="n">
        <f aca="false">ROUNDUP(CW$1/Inputs!$B$2,Inputs!$B$34)</f>
        <v>9</v>
      </c>
      <c r="CX2" s="10" t="n">
        <f aca="false">ROUNDUP(CX$1/Inputs!$B$2,Inputs!$B$34)</f>
        <v>9</v>
      </c>
      <c r="CY2" s="10" t="n">
        <f aca="false">ROUNDUP(CY$1/Inputs!$B$2,Inputs!$B$34)</f>
        <v>9</v>
      </c>
      <c r="CZ2" s="10" t="n">
        <f aca="false">ROUNDUP(CZ$1/Inputs!$B$2,Inputs!$B$34)</f>
        <v>9</v>
      </c>
      <c r="DA2" s="10" t="n">
        <f aca="false">ROUNDUP(DA$1/Inputs!$B$2,Inputs!$B$34)</f>
        <v>9</v>
      </c>
      <c r="DB2" s="10" t="n">
        <f aca="false">ROUNDUP(DB$1/Inputs!$B$2,Inputs!$B$34)</f>
        <v>9</v>
      </c>
      <c r="DC2" s="10" t="n">
        <f aca="false">ROUNDUP(DC$1/Inputs!$B$2,Inputs!$B$34)</f>
        <v>9</v>
      </c>
      <c r="DD2" s="10" t="n">
        <f aca="false">ROUNDUP(DD$1/Inputs!$B$2,Inputs!$B$34)</f>
        <v>9</v>
      </c>
      <c r="DE2" s="10" t="n">
        <f aca="false">ROUNDUP(DE$1/Inputs!$B$2,Inputs!$B$34)</f>
        <v>9</v>
      </c>
      <c r="DF2" s="10" t="n">
        <f aca="false">ROUNDUP(DF$1/Inputs!$B$2,Inputs!$B$34)</f>
        <v>9</v>
      </c>
      <c r="DG2" s="10" t="n">
        <f aca="false">ROUNDUP(DG$1/Inputs!$B$2,Inputs!$B$34)</f>
        <v>10</v>
      </c>
      <c r="DH2" s="10" t="n">
        <f aca="false">ROUNDUP(DH$1/Inputs!$B$2,Inputs!$B$34)</f>
        <v>10</v>
      </c>
      <c r="DI2" s="10" t="n">
        <f aca="false">ROUNDUP(DI$1/Inputs!$B$2,Inputs!$B$34)</f>
        <v>10</v>
      </c>
      <c r="DJ2" s="10" t="n">
        <f aca="false">ROUNDUP(DJ$1/Inputs!$B$2,Inputs!$B$34)</f>
        <v>10</v>
      </c>
      <c r="DK2" s="10" t="n">
        <f aca="false">ROUNDUP(DK$1/Inputs!$B$2,Inputs!$B$34)</f>
        <v>10</v>
      </c>
      <c r="DL2" s="10" t="n">
        <f aca="false">ROUNDUP(DL$1/Inputs!$B$2,Inputs!$B$34)</f>
        <v>10</v>
      </c>
      <c r="DM2" s="10" t="n">
        <f aca="false">ROUNDUP(DM$1/Inputs!$B$2,Inputs!$B$34)</f>
        <v>10</v>
      </c>
      <c r="DN2" s="10" t="n">
        <f aca="false">ROUNDUP(DN$1/Inputs!$B$2,Inputs!$B$34)</f>
        <v>10</v>
      </c>
      <c r="DO2" s="10" t="n">
        <f aca="false">ROUNDUP(DO$1/Inputs!$B$2,Inputs!$B$34)</f>
        <v>10</v>
      </c>
      <c r="DP2" s="10" t="n">
        <f aca="false">ROUNDUP(DP$1/Inputs!$B$2,Inputs!$B$34)</f>
        <v>10</v>
      </c>
      <c r="DQ2" s="10" t="n">
        <f aca="false">ROUNDUP(DQ$1/Inputs!$B$2,Inputs!$B$34)</f>
        <v>10</v>
      </c>
      <c r="DR2" s="10" t="n">
        <f aca="false">ROUNDUP(DR$1/Inputs!$B$2,Inputs!$B$34)</f>
        <v>10</v>
      </c>
    </row>
    <row r="3" customFormat="false" ht="15" hidden="false" customHeight="false" outlineLevel="0" collapsed="false">
      <c r="A3" s="9" t="s">
        <v>172</v>
      </c>
      <c r="B3" s="10" t="n">
        <f aca="false">IF(B$1=Inputs!$B$34,Inputs!$B$34,Streams!$E$15)</f>
        <v>0</v>
      </c>
      <c r="C3" s="10" t="n">
        <f aca="false">IF(C$1=Inputs!$B$34,Inputs!$B$34,Streams!$E$15)</f>
        <v>35</v>
      </c>
      <c r="D3" s="10" t="n">
        <f aca="false">IF(D$1=Inputs!$B$34,Inputs!$B$34,Streams!$E$15)</f>
        <v>35</v>
      </c>
      <c r="E3" s="10" t="n">
        <f aca="false">IF(E$1=Inputs!$B$34,Inputs!$B$34,Streams!$E$15)</f>
        <v>35</v>
      </c>
      <c r="F3" s="10" t="n">
        <f aca="false">IF(F$1=Inputs!$B$34,Inputs!$B$34,Streams!$E$15)</f>
        <v>35</v>
      </c>
      <c r="G3" s="10" t="n">
        <f aca="false">IF(G$1=Inputs!$B$34,Inputs!$B$34,Streams!$E$15)</f>
        <v>35</v>
      </c>
      <c r="H3" s="10" t="n">
        <f aca="false">IF(H$1=Inputs!$B$34,Inputs!$B$34,Streams!$E$15)</f>
        <v>35</v>
      </c>
      <c r="I3" s="10" t="n">
        <f aca="false">IF(I$1=Inputs!$B$34,Inputs!$B$34,Streams!$E$15)</f>
        <v>35</v>
      </c>
      <c r="J3" s="10" t="n">
        <f aca="false">IF(J$1=Inputs!$B$34,Inputs!$B$34,Streams!$E$15)</f>
        <v>35</v>
      </c>
      <c r="K3" s="10" t="n">
        <f aca="false">IF(K$1=Inputs!$B$34,Inputs!$B$34,Streams!$E$15)</f>
        <v>35</v>
      </c>
      <c r="L3" s="10" t="n">
        <f aca="false">IF(L$1=Inputs!$B$34,Inputs!$B$34,Streams!$E$15)</f>
        <v>35</v>
      </c>
      <c r="M3" s="10" t="n">
        <f aca="false">IF(M$1=Inputs!$B$34,Inputs!$B$34,Streams!$E$15)</f>
        <v>35</v>
      </c>
      <c r="N3" s="10" t="n">
        <f aca="false">IF(N$1=Inputs!$B$34,Inputs!$B$34,Streams!$E$15)</f>
        <v>35</v>
      </c>
      <c r="O3" s="10" t="n">
        <f aca="false">IF(O$1=Inputs!$B$34,Inputs!$B$34,Streams!$E$15)</f>
        <v>35</v>
      </c>
      <c r="P3" s="10" t="n">
        <f aca="false">IF(P$1=Inputs!$B$34,Inputs!$B$34,Streams!$E$15)</f>
        <v>35</v>
      </c>
      <c r="Q3" s="10" t="n">
        <f aca="false">IF(Q$1=Inputs!$B$34,Inputs!$B$34,Streams!$E$15)</f>
        <v>35</v>
      </c>
      <c r="R3" s="10" t="n">
        <f aca="false">IF(R$1=Inputs!$B$34,Inputs!$B$34,Streams!$E$15)</f>
        <v>35</v>
      </c>
      <c r="S3" s="10" t="n">
        <f aca="false">IF(S$1=Inputs!$B$34,Inputs!$B$34,Streams!$E$15)</f>
        <v>35</v>
      </c>
      <c r="T3" s="10" t="n">
        <f aca="false">IF(T$1=Inputs!$B$34,Inputs!$B$34,Streams!$E$15)</f>
        <v>35</v>
      </c>
      <c r="U3" s="10" t="n">
        <f aca="false">IF(U$1=Inputs!$B$34,Inputs!$B$34,Streams!$E$15)</f>
        <v>35</v>
      </c>
      <c r="V3" s="10" t="n">
        <f aca="false">IF(V$1=Inputs!$B$34,Inputs!$B$34,Streams!$E$15)</f>
        <v>35</v>
      </c>
      <c r="W3" s="10" t="n">
        <f aca="false">IF(W$1=Inputs!$B$34,Inputs!$B$34,Streams!$E$15)</f>
        <v>35</v>
      </c>
      <c r="X3" s="10" t="n">
        <f aca="false">IF(X$1=Inputs!$B$34,Inputs!$B$34,Streams!$E$15)</f>
        <v>35</v>
      </c>
      <c r="Y3" s="10" t="n">
        <f aca="false">IF(Y$1=Inputs!$B$34,Inputs!$B$34,Streams!$E$15)</f>
        <v>35</v>
      </c>
      <c r="Z3" s="10" t="n">
        <f aca="false">IF(Z$1=Inputs!$B$34,Inputs!$B$34,Streams!$E$15)</f>
        <v>35</v>
      </c>
      <c r="AA3" s="10" t="n">
        <f aca="false">IF(AA$1=Inputs!$B$34,Inputs!$B$34,Streams!$E$15)</f>
        <v>35</v>
      </c>
      <c r="AB3" s="10" t="n">
        <f aca="false">IF(AB$1=Inputs!$B$34,Inputs!$B$34,Streams!$E$15)</f>
        <v>35</v>
      </c>
      <c r="AC3" s="10" t="n">
        <f aca="false">IF(AC$1=Inputs!$B$34,Inputs!$B$34,Streams!$E$15)</f>
        <v>35</v>
      </c>
      <c r="AD3" s="10" t="n">
        <f aca="false">IF(AD$1=Inputs!$B$34,Inputs!$B$34,Streams!$E$15)</f>
        <v>35</v>
      </c>
      <c r="AE3" s="10" t="n">
        <f aca="false">IF(AE$1=Inputs!$B$34,Inputs!$B$34,Streams!$E$15)</f>
        <v>35</v>
      </c>
      <c r="AF3" s="10" t="n">
        <f aca="false">IF(AF$1=Inputs!$B$34,Inputs!$B$34,Streams!$E$15)</f>
        <v>35</v>
      </c>
      <c r="AG3" s="10" t="n">
        <f aca="false">IF(AG$1=Inputs!$B$34,Inputs!$B$34,Streams!$E$15)</f>
        <v>35</v>
      </c>
      <c r="AH3" s="10" t="n">
        <f aca="false">IF(AH$1=Inputs!$B$34,Inputs!$B$34,Streams!$E$15)</f>
        <v>35</v>
      </c>
      <c r="AI3" s="10" t="n">
        <f aca="false">IF(AI$1=Inputs!$B$34,Inputs!$B$34,Streams!$E$15)</f>
        <v>35</v>
      </c>
      <c r="AJ3" s="10" t="n">
        <f aca="false">IF(AJ$1=Inputs!$B$34,Inputs!$B$34,Streams!$E$15)</f>
        <v>35</v>
      </c>
      <c r="AK3" s="10" t="n">
        <f aca="false">IF(AK$1=Inputs!$B$34,Inputs!$B$34,Streams!$E$15)</f>
        <v>35</v>
      </c>
      <c r="AL3" s="10" t="n">
        <f aca="false">IF(AL$1=Inputs!$B$34,Inputs!$B$34,Streams!$E$15)</f>
        <v>35</v>
      </c>
      <c r="AM3" s="10" t="n">
        <f aca="false">IF(AM$1=Inputs!$B$34,Inputs!$B$34,Streams!$E$15)</f>
        <v>35</v>
      </c>
      <c r="AN3" s="10" t="n">
        <f aca="false">IF(AN$1=Inputs!$B$34,Inputs!$B$34,Streams!$E$15)</f>
        <v>35</v>
      </c>
      <c r="AO3" s="10" t="n">
        <f aca="false">IF(AO$1=Inputs!$B$34,Inputs!$B$34,Streams!$E$15)</f>
        <v>35</v>
      </c>
      <c r="AP3" s="10" t="n">
        <f aca="false">IF(AP$1=Inputs!$B$34,Inputs!$B$34,Streams!$E$15)</f>
        <v>35</v>
      </c>
      <c r="AQ3" s="10" t="n">
        <f aca="false">IF(AQ$1=Inputs!$B$34,Inputs!$B$34,Streams!$E$15)</f>
        <v>35</v>
      </c>
      <c r="AR3" s="10" t="n">
        <f aca="false">IF(AR$1=Inputs!$B$34,Inputs!$B$34,Streams!$E$15)</f>
        <v>35</v>
      </c>
      <c r="AS3" s="10" t="n">
        <f aca="false">IF(AS$1=Inputs!$B$34,Inputs!$B$34,Streams!$E$15)</f>
        <v>35</v>
      </c>
      <c r="AT3" s="10" t="n">
        <f aca="false">IF(AT$1=Inputs!$B$34,Inputs!$B$34,Streams!$E$15)</f>
        <v>35</v>
      </c>
      <c r="AU3" s="10" t="n">
        <f aca="false">IF(AU$1=Inputs!$B$34,Inputs!$B$34,Streams!$E$15)</f>
        <v>35</v>
      </c>
      <c r="AV3" s="10" t="n">
        <f aca="false">IF(AV$1=Inputs!$B$34,Inputs!$B$34,Streams!$E$15)</f>
        <v>35</v>
      </c>
      <c r="AW3" s="10" t="n">
        <f aca="false">IF(AW$1=Inputs!$B$34,Inputs!$B$34,Streams!$E$15)</f>
        <v>35</v>
      </c>
      <c r="AX3" s="10" t="n">
        <f aca="false">IF(AX$1=Inputs!$B$34,Inputs!$B$34,Streams!$E$15)</f>
        <v>35</v>
      </c>
      <c r="AY3" s="10" t="n">
        <f aca="false">IF(AY$1=Inputs!$B$34,Inputs!$B$34,Streams!$E$15)</f>
        <v>35</v>
      </c>
      <c r="AZ3" s="10" t="n">
        <f aca="false">IF(AZ$1=Inputs!$B$34,Inputs!$B$34,Streams!$E$15)</f>
        <v>35</v>
      </c>
      <c r="BA3" s="10" t="n">
        <f aca="false">IF(BA$1=Inputs!$B$34,Inputs!$B$34,Streams!$E$15)</f>
        <v>35</v>
      </c>
      <c r="BB3" s="10" t="n">
        <f aca="false">IF(BB$1=Inputs!$B$34,Inputs!$B$34,Streams!$E$15)</f>
        <v>35</v>
      </c>
      <c r="BC3" s="10" t="n">
        <f aca="false">IF(BC$1=Inputs!$B$34,Inputs!$B$34,Streams!$E$15)</f>
        <v>35</v>
      </c>
      <c r="BD3" s="10" t="n">
        <f aca="false">IF(BD$1=Inputs!$B$34,Inputs!$B$34,Streams!$E$15)</f>
        <v>35</v>
      </c>
      <c r="BE3" s="10" t="n">
        <f aca="false">IF(BE$1=Inputs!$B$34,Inputs!$B$34,Streams!$E$15)</f>
        <v>35</v>
      </c>
      <c r="BF3" s="10" t="n">
        <f aca="false">IF(BF$1=Inputs!$B$34,Inputs!$B$34,Streams!$E$15)</f>
        <v>35</v>
      </c>
      <c r="BG3" s="10" t="n">
        <f aca="false">IF(BG$1=Inputs!$B$34,Inputs!$B$34,Streams!$E$15)</f>
        <v>35</v>
      </c>
      <c r="BH3" s="10" t="n">
        <f aca="false">IF(BH$1=Inputs!$B$34,Inputs!$B$34,Streams!$E$15)</f>
        <v>35</v>
      </c>
      <c r="BI3" s="10" t="n">
        <f aca="false">IF(BI$1=Inputs!$B$34,Inputs!$B$34,Streams!$E$15)</f>
        <v>35</v>
      </c>
      <c r="BJ3" s="10" t="n">
        <f aca="false">IF(BJ$1=Inputs!$B$34,Inputs!$B$34,Streams!$E$15)</f>
        <v>35</v>
      </c>
      <c r="BK3" s="10" t="n">
        <f aca="false">IF(BK$1=Inputs!$B$34,Inputs!$B$34,Streams!$E$15)</f>
        <v>35</v>
      </c>
      <c r="BL3" s="10" t="n">
        <f aca="false">IF(BL$1=Inputs!$B$34,Inputs!$B$34,Streams!$E$15)</f>
        <v>35</v>
      </c>
      <c r="BM3" s="10" t="n">
        <f aca="false">IF(BM$1=Inputs!$B$34,Inputs!$B$34,Streams!$E$15)</f>
        <v>35</v>
      </c>
      <c r="BN3" s="10" t="n">
        <f aca="false">IF(BN$1=Inputs!$B$34,Inputs!$B$34,Streams!$E$15)</f>
        <v>35</v>
      </c>
      <c r="BO3" s="10" t="n">
        <f aca="false">IF(BO$1=Inputs!$B$34,Inputs!$B$34,Streams!$E$15)</f>
        <v>35</v>
      </c>
      <c r="BP3" s="10" t="n">
        <f aca="false">IF(BP$1=Inputs!$B$34,Inputs!$B$34,Streams!$E$15)</f>
        <v>35</v>
      </c>
      <c r="BQ3" s="10" t="n">
        <f aca="false">IF(BQ$1=Inputs!$B$34,Inputs!$B$34,Streams!$E$15)</f>
        <v>35</v>
      </c>
      <c r="BR3" s="10" t="n">
        <f aca="false">IF(BR$1=Inputs!$B$34,Inputs!$B$34,Streams!$E$15)</f>
        <v>35</v>
      </c>
      <c r="BS3" s="10" t="n">
        <f aca="false">IF(BS$1=Inputs!$B$34,Inputs!$B$34,Streams!$E$15)</f>
        <v>35</v>
      </c>
      <c r="BT3" s="10" t="n">
        <f aca="false">IF(BT$1=Inputs!$B$34,Inputs!$B$34,Streams!$E$15)</f>
        <v>35</v>
      </c>
      <c r="BU3" s="10" t="n">
        <f aca="false">IF(BU$1=Inputs!$B$34,Inputs!$B$34,Streams!$E$15)</f>
        <v>35</v>
      </c>
      <c r="BV3" s="10" t="n">
        <f aca="false">IF(BV$1=Inputs!$B$34,Inputs!$B$34,Streams!$E$15)</f>
        <v>35</v>
      </c>
      <c r="BW3" s="10" t="n">
        <f aca="false">IF(BW$1=Inputs!$B$34,Inputs!$B$34,Streams!$E$15)</f>
        <v>35</v>
      </c>
      <c r="BX3" s="10" t="n">
        <f aca="false">IF(BX$1=Inputs!$B$34,Inputs!$B$34,Streams!$E$15)</f>
        <v>35</v>
      </c>
      <c r="BY3" s="10" t="n">
        <f aca="false">IF(BY$1=Inputs!$B$34,Inputs!$B$34,Streams!$E$15)</f>
        <v>35</v>
      </c>
      <c r="BZ3" s="10" t="n">
        <f aca="false">IF(BZ$1=Inputs!$B$34,Inputs!$B$34,Streams!$E$15)</f>
        <v>35</v>
      </c>
      <c r="CA3" s="10" t="n">
        <f aca="false">IF(CA$1=Inputs!$B$34,Inputs!$B$34,Streams!$E$15)</f>
        <v>35</v>
      </c>
      <c r="CB3" s="10" t="n">
        <f aca="false">IF(CB$1=Inputs!$B$34,Inputs!$B$34,Streams!$E$15)</f>
        <v>35</v>
      </c>
      <c r="CC3" s="10" t="n">
        <f aca="false">IF(CC$1=Inputs!$B$34,Inputs!$B$34,Streams!$E$15)</f>
        <v>35</v>
      </c>
      <c r="CD3" s="10" t="n">
        <f aca="false">IF(CD$1=Inputs!$B$34,Inputs!$B$34,Streams!$E$15)</f>
        <v>35</v>
      </c>
      <c r="CE3" s="10" t="n">
        <f aca="false">IF(CE$1=Inputs!$B$34,Inputs!$B$34,Streams!$E$15)</f>
        <v>35</v>
      </c>
      <c r="CF3" s="10" t="n">
        <f aca="false">IF(CF$1=Inputs!$B$34,Inputs!$B$34,Streams!$E$15)</f>
        <v>35</v>
      </c>
      <c r="CG3" s="10" t="n">
        <f aca="false">IF(CG$1=Inputs!$B$34,Inputs!$B$34,Streams!$E$15)</f>
        <v>35</v>
      </c>
      <c r="CH3" s="10" t="n">
        <f aca="false">IF(CH$1=Inputs!$B$34,Inputs!$B$34,Streams!$E$15)</f>
        <v>35</v>
      </c>
      <c r="CI3" s="10" t="n">
        <f aca="false">IF(CI$1=Inputs!$B$34,Inputs!$B$34,Streams!$E$15)</f>
        <v>35</v>
      </c>
      <c r="CJ3" s="10" t="n">
        <f aca="false">IF(CJ$1=Inputs!$B$34,Inputs!$B$34,Streams!$E$15)</f>
        <v>35</v>
      </c>
      <c r="CK3" s="10" t="n">
        <f aca="false">IF(CK$1=Inputs!$B$34,Inputs!$B$34,Streams!$E$15)</f>
        <v>35</v>
      </c>
      <c r="CL3" s="10" t="n">
        <f aca="false">IF(CL$1=Inputs!$B$34,Inputs!$B$34,Streams!$E$15)</f>
        <v>35</v>
      </c>
      <c r="CM3" s="10" t="n">
        <f aca="false">IF(CM$1=Inputs!$B$34,Inputs!$B$34,Streams!$E$15)</f>
        <v>35</v>
      </c>
      <c r="CN3" s="10" t="n">
        <f aca="false">IF(CN$1=Inputs!$B$34,Inputs!$B$34,Streams!$E$15)</f>
        <v>35</v>
      </c>
      <c r="CO3" s="10" t="n">
        <f aca="false">IF(CO$1=Inputs!$B$34,Inputs!$B$34,Streams!$E$15)</f>
        <v>35</v>
      </c>
      <c r="CP3" s="10" t="n">
        <f aca="false">IF(CP$1=Inputs!$B$34,Inputs!$B$34,Streams!$E$15)</f>
        <v>35</v>
      </c>
      <c r="CQ3" s="10" t="n">
        <f aca="false">IF(CQ$1=Inputs!$B$34,Inputs!$B$34,Streams!$E$15)</f>
        <v>35</v>
      </c>
      <c r="CR3" s="10" t="n">
        <f aca="false">IF(CR$1=Inputs!$B$34,Inputs!$B$34,Streams!$E$15)</f>
        <v>35</v>
      </c>
      <c r="CS3" s="10" t="n">
        <f aca="false">IF(CS$1=Inputs!$B$34,Inputs!$B$34,Streams!$E$15)</f>
        <v>35</v>
      </c>
      <c r="CT3" s="10" t="n">
        <f aca="false">IF(CT$1=Inputs!$B$34,Inputs!$B$34,Streams!$E$15)</f>
        <v>35</v>
      </c>
      <c r="CU3" s="10" t="n">
        <f aca="false">IF(CU$1=Inputs!$B$34,Inputs!$B$34,Streams!$E$15)</f>
        <v>35</v>
      </c>
      <c r="CV3" s="10" t="n">
        <f aca="false">IF(CV$1=Inputs!$B$34,Inputs!$B$34,Streams!$E$15)</f>
        <v>35</v>
      </c>
      <c r="CW3" s="10" t="n">
        <f aca="false">IF(CW$1=Inputs!$B$34,Inputs!$B$34,Streams!$E$15)</f>
        <v>35</v>
      </c>
      <c r="CX3" s="10" t="n">
        <f aca="false">IF(CX$1=Inputs!$B$34,Inputs!$B$34,Streams!$E$15)</f>
        <v>35</v>
      </c>
      <c r="CY3" s="10" t="n">
        <f aca="false">IF(CY$1=Inputs!$B$34,Inputs!$B$34,Streams!$E$15)</f>
        <v>35</v>
      </c>
      <c r="CZ3" s="10" t="n">
        <f aca="false">IF(CZ$1=Inputs!$B$34,Inputs!$B$34,Streams!$E$15)</f>
        <v>35</v>
      </c>
      <c r="DA3" s="10" t="n">
        <f aca="false">IF(DA$1=Inputs!$B$34,Inputs!$B$34,Streams!$E$15)</f>
        <v>35</v>
      </c>
      <c r="DB3" s="10" t="n">
        <f aca="false">IF(DB$1=Inputs!$B$34,Inputs!$B$34,Streams!$E$15)</f>
        <v>35</v>
      </c>
      <c r="DC3" s="10" t="n">
        <f aca="false">IF(DC$1=Inputs!$B$34,Inputs!$B$34,Streams!$E$15)</f>
        <v>35</v>
      </c>
      <c r="DD3" s="10" t="n">
        <f aca="false">IF(DD$1=Inputs!$B$34,Inputs!$B$34,Streams!$E$15)</f>
        <v>35</v>
      </c>
      <c r="DE3" s="10" t="n">
        <f aca="false">IF(DE$1=Inputs!$B$34,Inputs!$B$34,Streams!$E$15)</f>
        <v>35</v>
      </c>
      <c r="DF3" s="10" t="n">
        <f aca="false">IF(DF$1=Inputs!$B$34,Inputs!$B$34,Streams!$E$15)</f>
        <v>35</v>
      </c>
      <c r="DG3" s="10" t="n">
        <f aca="false">IF(DG$1=Inputs!$B$34,Inputs!$B$34,Streams!$E$15)</f>
        <v>35</v>
      </c>
      <c r="DH3" s="10" t="n">
        <f aca="false">IF(DH$1=Inputs!$B$34,Inputs!$B$34,Streams!$E$15)</f>
        <v>35</v>
      </c>
      <c r="DI3" s="10" t="n">
        <f aca="false">IF(DI$1=Inputs!$B$34,Inputs!$B$34,Streams!$E$15)</f>
        <v>35</v>
      </c>
      <c r="DJ3" s="10" t="n">
        <f aca="false">IF(DJ$1=Inputs!$B$34,Inputs!$B$34,Streams!$E$15)</f>
        <v>35</v>
      </c>
      <c r="DK3" s="10" t="n">
        <f aca="false">IF(DK$1=Inputs!$B$34,Inputs!$B$34,Streams!$E$15)</f>
        <v>35</v>
      </c>
      <c r="DL3" s="10" t="n">
        <f aca="false">IF(DL$1=Inputs!$B$34,Inputs!$B$34,Streams!$E$15)</f>
        <v>35</v>
      </c>
      <c r="DM3" s="10" t="n">
        <f aca="false">IF(DM$1=Inputs!$B$34,Inputs!$B$34,Streams!$E$15)</f>
        <v>35</v>
      </c>
      <c r="DN3" s="10" t="n">
        <f aca="false">IF(DN$1=Inputs!$B$34,Inputs!$B$34,Streams!$E$15)</f>
        <v>35</v>
      </c>
      <c r="DO3" s="10" t="n">
        <f aca="false">IF(DO$1=Inputs!$B$34,Inputs!$B$34,Streams!$E$15)</f>
        <v>35</v>
      </c>
      <c r="DP3" s="10" t="n">
        <f aca="false">IF(DP$1=Inputs!$B$34,Inputs!$B$34,Streams!$E$15)</f>
        <v>35</v>
      </c>
      <c r="DQ3" s="10" t="n">
        <f aca="false">IF(DQ$1=Inputs!$B$34,Inputs!$B$34,Streams!$E$15)</f>
        <v>35</v>
      </c>
      <c r="DR3" s="10" t="n">
        <f aca="false">IF(DR$1=Inputs!$B$34,Inputs!$B$34,Streams!$E$15)</f>
        <v>35</v>
      </c>
    </row>
    <row r="4" customFormat="false" ht="15" hidden="false" customHeight="false" outlineLevel="0" collapsed="false">
      <c r="A4" s="9" t="s">
        <v>173</v>
      </c>
      <c r="B4" s="10" t="n">
        <f aca="false">B3/(Inputs!$B$35+Inputs!$B$9*Inputs!$B$10)</f>
        <v>0</v>
      </c>
      <c r="C4" s="10" t="n">
        <f aca="false">C3/(Inputs!$B$35+Inputs!$B$9*Inputs!$B$10)</f>
        <v>35</v>
      </c>
      <c r="D4" s="10" t="n">
        <f aca="false">D3/(Inputs!$B$35+Inputs!$B$9*Inputs!$B$10)</f>
        <v>35</v>
      </c>
      <c r="E4" s="10" t="n">
        <f aca="false">E3/(Inputs!$B$35+Inputs!$B$9*Inputs!$B$10)</f>
        <v>35</v>
      </c>
      <c r="F4" s="10" t="n">
        <f aca="false">F3/(Inputs!$B$35+Inputs!$B$9*Inputs!$B$10)</f>
        <v>35</v>
      </c>
      <c r="G4" s="10" t="n">
        <f aca="false">G3/(Inputs!$B$35+Inputs!$B$9*Inputs!$B$10)</f>
        <v>35</v>
      </c>
      <c r="H4" s="10" t="n">
        <f aca="false">H3/(Inputs!$B$35+Inputs!$B$9*Inputs!$B$10)</f>
        <v>35</v>
      </c>
      <c r="I4" s="10" t="n">
        <f aca="false">I3/(Inputs!$B$35+Inputs!$B$9*Inputs!$B$10)</f>
        <v>35</v>
      </c>
      <c r="J4" s="10" t="n">
        <f aca="false">J3/(Inputs!$B$35+Inputs!$B$9*Inputs!$B$10)</f>
        <v>35</v>
      </c>
      <c r="K4" s="10" t="n">
        <f aca="false">K3/(Inputs!$B$35+Inputs!$B$9*Inputs!$B$10)</f>
        <v>35</v>
      </c>
      <c r="L4" s="10" t="n">
        <f aca="false">L3/(Inputs!$B$35+Inputs!$B$9*Inputs!$B$10)</f>
        <v>35</v>
      </c>
      <c r="M4" s="10" t="n">
        <f aca="false">M3/(Inputs!$B$35+Inputs!$B$9*Inputs!$B$10)</f>
        <v>35</v>
      </c>
      <c r="N4" s="10" t="n">
        <f aca="false">N3/(Inputs!$B$35+Inputs!$B$9*Inputs!$B$10)</f>
        <v>35</v>
      </c>
      <c r="O4" s="10" t="n">
        <f aca="false">O3/(Inputs!$B$35+Inputs!$B$9*Inputs!$B$10)</f>
        <v>35</v>
      </c>
      <c r="P4" s="10" t="n">
        <f aca="false">P3/(Inputs!$B$35+Inputs!$B$9*Inputs!$B$10)</f>
        <v>35</v>
      </c>
      <c r="Q4" s="10" t="n">
        <f aca="false">Q3/(Inputs!$B$35+Inputs!$B$9*Inputs!$B$10)</f>
        <v>35</v>
      </c>
      <c r="R4" s="10" t="n">
        <f aca="false">R3/(Inputs!$B$35+Inputs!$B$9*Inputs!$B$10)</f>
        <v>35</v>
      </c>
      <c r="S4" s="10" t="n">
        <f aca="false">S3/(Inputs!$B$35+Inputs!$B$9*Inputs!$B$10)</f>
        <v>35</v>
      </c>
      <c r="T4" s="10" t="n">
        <f aca="false">T3/(Inputs!$B$35+Inputs!$B$9*Inputs!$B$10)</f>
        <v>35</v>
      </c>
      <c r="U4" s="10" t="n">
        <f aca="false">U3/(Inputs!$B$35+Inputs!$B$9*Inputs!$B$10)</f>
        <v>35</v>
      </c>
      <c r="V4" s="10" t="n">
        <f aca="false">V3/(Inputs!$B$35+Inputs!$B$9*Inputs!$B$10)</f>
        <v>35</v>
      </c>
      <c r="W4" s="10" t="n">
        <f aca="false">W3/(Inputs!$B$35+Inputs!$B$9*Inputs!$B$10)</f>
        <v>35</v>
      </c>
      <c r="X4" s="10" t="n">
        <f aca="false">X3/(Inputs!$B$35+Inputs!$B$9*Inputs!$B$10)</f>
        <v>35</v>
      </c>
      <c r="Y4" s="10" t="n">
        <f aca="false">Y3/(Inputs!$B$35+Inputs!$B$9*Inputs!$B$10)</f>
        <v>35</v>
      </c>
      <c r="Z4" s="10" t="n">
        <f aca="false">Z3/(Inputs!$B$35+Inputs!$B$9*Inputs!$B$10)</f>
        <v>35</v>
      </c>
      <c r="AA4" s="10" t="n">
        <f aca="false">AA3/(Inputs!$B$35+Inputs!$B$9*Inputs!$B$10)</f>
        <v>35</v>
      </c>
      <c r="AB4" s="10" t="n">
        <f aca="false">AB3/(Inputs!$B$35+Inputs!$B$9*Inputs!$B$10)</f>
        <v>35</v>
      </c>
      <c r="AC4" s="10" t="n">
        <f aca="false">AC3/(Inputs!$B$35+Inputs!$B$9*Inputs!$B$10)</f>
        <v>35</v>
      </c>
      <c r="AD4" s="10" t="n">
        <f aca="false">AD3/(Inputs!$B$35+Inputs!$B$9*Inputs!$B$10)</f>
        <v>35</v>
      </c>
      <c r="AE4" s="10" t="n">
        <f aca="false">AE3/(Inputs!$B$35+Inputs!$B$9*Inputs!$B$10)</f>
        <v>35</v>
      </c>
      <c r="AF4" s="10" t="n">
        <f aca="false">AF3/(Inputs!$B$35+Inputs!$B$9*Inputs!$B$10)</f>
        <v>35</v>
      </c>
      <c r="AG4" s="10" t="n">
        <f aca="false">AG3/(Inputs!$B$35+Inputs!$B$9*Inputs!$B$10)</f>
        <v>35</v>
      </c>
      <c r="AH4" s="10" t="n">
        <f aca="false">AH3/(Inputs!$B$35+Inputs!$B$9*Inputs!$B$10)</f>
        <v>35</v>
      </c>
      <c r="AI4" s="10" t="n">
        <f aca="false">AI3/(Inputs!$B$35+Inputs!$B$9*Inputs!$B$10)</f>
        <v>35</v>
      </c>
      <c r="AJ4" s="10" t="n">
        <f aca="false">AJ3/(Inputs!$B$35+Inputs!$B$9*Inputs!$B$10)</f>
        <v>35</v>
      </c>
      <c r="AK4" s="10" t="n">
        <f aca="false">AK3/(Inputs!$B$35+Inputs!$B$9*Inputs!$B$10)</f>
        <v>35</v>
      </c>
      <c r="AL4" s="10" t="n">
        <f aca="false">AL3/(Inputs!$B$35+Inputs!$B$9*Inputs!$B$10)</f>
        <v>35</v>
      </c>
      <c r="AM4" s="10" t="n">
        <f aca="false">AM3/(Inputs!$B$35+Inputs!$B$9*Inputs!$B$10)</f>
        <v>35</v>
      </c>
      <c r="AN4" s="10" t="n">
        <f aca="false">AN3/(Inputs!$B$35+Inputs!$B$9*Inputs!$B$10)</f>
        <v>35</v>
      </c>
      <c r="AO4" s="10" t="n">
        <f aca="false">AO3/(Inputs!$B$35+Inputs!$B$9*Inputs!$B$10)</f>
        <v>35</v>
      </c>
      <c r="AP4" s="10" t="n">
        <f aca="false">AP3/(Inputs!$B$35+Inputs!$B$9*Inputs!$B$10)</f>
        <v>35</v>
      </c>
      <c r="AQ4" s="10" t="n">
        <f aca="false">AQ3/(Inputs!$B$35+Inputs!$B$9*Inputs!$B$10)</f>
        <v>35</v>
      </c>
      <c r="AR4" s="10" t="n">
        <f aca="false">AR3/(Inputs!$B$35+Inputs!$B$9*Inputs!$B$10)</f>
        <v>35</v>
      </c>
      <c r="AS4" s="10" t="n">
        <f aca="false">AS3/(Inputs!$B$35+Inputs!$B$9*Inputs!$B$10)</f>
        <v>35</v>
      </c>
      <c r="AT4" s="10" t="n">
        <f aca="false">AT3/(Inputs!$B$35+Inputs!$B$9*Inputs!$B$10)</f>
        <v>35</v>
      </c>
      <c r="AU4" s="10" t="n">
        <f aca="false">AU3/(Inputs!$B$35+Inputs!$B$9*Inputs!$B$10)</f>
        <v>35</v>
      </c>
      <c r="AV4" s="10" t="n">
        <f aca="false">AV3/(Inputs!$B$35+Inputs!$B$9*Inputs!$B$10)</f>
        <v>35</v>
      </c>
      <c r="AW4" s="10" t="n">
        <f aca="false">AW3/(Inputs!$B$35+Inputs!$B$9*Inputs!$B$10)</f>
        <v>35</v>
      </c>
      <c r="AX4" s="10" t="n">
        <f aca="false">AX3/(Inputs!$B$35+Inputs!$B$9*Inputs!$B$10)</f>
        <v>35</v>
      </c>
      <c r="AY4" s="10" t="n">
        <f aca="false">AY3/(Inputs!$B$35+Inputs!$B$9*Inputs!$B$10)</f>
        <v>35</v>
      </c>
      <c r="AZ4" s="10" t="n">
        <f aca="false">AZ3/(Inputs!$B$35+Inputs!$B$9*Inputs!$B$10)</f>
        <v>35</v>
      </c>
      <c r="BA4" s="10" t="n">
        <f aca="false">BA3/(Inputs!$B$35+Inputs!$B$9*Inputs!$B$10)</f>
        <v>35</v>
      </c>
      <c r="BB4" s="10" t="n">
        <f aca="false">BB3/(Inputs!$B$35+Inputs!$B$9*Inputs!$B$10)</f>
        <v>35</v>
      </c>
      <c r="BC4" s="10" t="n">
        <f aca="false">BC3/(Inputs!$B$35+Inputs!$B$9*Inputs!$B$10)</f>
        <v>35</v>
      </c>
      <c r="BD4" s="10" t="n">
        <f aca="false">BD3/(Inputs!$B$35+Inputs!$B$9*Inputs!$B$10)</f>
        <v>35</v>
      </c>
      <c r="BE4" s="10" t="n">
        <f aca="false">BE3/(Inputs!$B$35+Inputs!$B$9*Inputs!$B$10)</f>
        <v>35</v>
      </c>
      <c r="BF4" s="10" t="n">
        <f aca="false">BF3/(Inputs!$B$35+Inputs!$B$9*Inputs!$B$10)</f>
        <v>35</v>
      </c>
      <c r="BG4" s="10" t="n">
        <f aca="false">BG3/(Inputs!$B$35+Inputs!$B$9*Inputs!$B$10)</f>
        <v>35</v>
      </c>
      <c r="BH4" s="10" t="n">
        <f aca="false">BH3/(Inputs!$B$35+Inputs!$B$9*Inputs!$B$10)</f>
        <v>35</v>
      </c>
      <c r="BI4" s="10" t="n">
        <f aca="false">BI3/(Inputs!$B$35+Inputs!$B$9*Inputs!$B$10)</f>
        <v>35</v>
      </c>
      <c r="BJ4" s="10" t="n">
        <f aca="false">BJ3/(Inputs!$B$35+Inputs!$B$9*Inputs!$B$10)</f>
        <v>35</v>
      </c>
      <c r="BK4" s="10" t="n">
        <f aca="false">BK3/(Inputs!$B$35+Inputs!$B$9*Inputs!$B$10)</f>
        <v>35</v>
      </c>
      <c r="BL4" s="10" t="n">
        <f aca="false">BL3/(Inputs!$B$35+Inputs!$B$9*Inputs!$B$10)</f>
        <v>35</v>
      </c>
      <c r="BM4" s="10" t="n">
        <f aca="false">BM3/(Inputs!$B$35+Inputs!$B$9*Inputs!$B$10)</f>
        <v>35</v>
      </c>
      <c r="BN4" s="10" t="n">
        <f aca="false">BN3/(Inputs!$B$35+Inputs!$B$9*Inputs!$B$10)</f>
        <v>35</v>
      </c>
      <c r="BO4" s="10" t="n">
        <f aca="false">BO3/(Inputs!$B$35+Inputs!$B$9*Inputs!$B$10)</f>
        <v>35</v>
      </c>
      <c r="BP4" s="10" t="n">
        <f aca="false">BP3/(Inputs!$B$35+Inputs!$B$9*Inputs!$B$10)</f>
        <v>35</v>
      </c>
      <c r="BQ4" s="10" t="n">
        <f aca="false">BQ3/(Inputs!$B$35+Inputs!$B$9*Inputs!$B$10)</f>
        <v>35</v>
      </c>
      <c r="BR4" s="10" t="n">
        <f aca="false">BR3/(Inputs!$B$35+Inputs!$B$9*Inputs!$B$10)</f>
        <v>35</v>
      </c>
      <c r="BS4" s="10" t="n">
        <f aca="false">BS3/(Inputs!$B$35+Inputs!$B$9*Inputs!$B$10)</f>
        <v>35</v>
      </c>
      <c r="BT4" s="10" t="n">
        <f aca="false">BT3/(Inputs!$B$35+Inputs!$B$9*Inputs!$B$10)</f>
        <v>35</v>
      </c>
      <c r="BU4" s="10" t="n">
        <f aca="false">BU3/(Inputs!$B$35+Inputs!$B$9*Inputs!$B$10)</f>
        <v>35</v>
      </c>
      <c r="BV4" s="10" t="n">
        <f aca="false">BV3/(Inputs!$B$35+Inputs!$B$9*Inputs!$B$10)</f>
        <v>35</v>
      </c>
      <c r="BW4" s="10" t="n">
        <f aca="false">BW3/(Inputs!$B$35+Inputs!$B$9*Inputs!$B$10)</f>
        <v>35</v>
      </c>
      <c r="BX4" s="10" t="n">
        <f aca="false">BX3/(Inputs!$B$35+Inputs!$B$9*Inputs!$B$10)</f>
        <v>35</v>
      </c>
      <c r="BY4" s="10" t="n">
        <f aca="false">BY3/(Inputs!$B$35+Inputs!$B$9*Inputs!$B$10)</f>
        <v>35</v>
      </c>
      <c r="BZ4" s="10" t="n">
        <f aca="false">BZ3/(Inputs!$B$35+Inputs!$B$9*Inputs!$B$10)</f>
        <v>35</v>
      </c>
      <c r="CA4" s="10" t="n">
        <f aca="false">CA3/(Inputs!$B$35+Inputs!$B$9*Inputs!$B$10)</f>
        <v>35</v>
      </c>
      <c r="CB4" s="10" t="n">
        <f aca="false">CB3/(Inputs!$B$35+Inputs!$B$9*Inputs!$B$10)</f>
        <v>35</v>
      </c>
      <c r="CC4" s="10" t="n">
        <f aca="false">CC3/(Inputs!$B$35+Inputs!$B$9*Inputs!$B$10)</f>
        <v>35</v>
      </c>
      <c r="CD4" s="10" t="n">
        <f aca="false">CD3/(Inputs!$B$35+Inputs!$B$9*Inputs!$B$10)</f>
        <v>35</v>
      </c>
      <c r="CE4" s="10" t="n">
        <f aca="false">CE3/(Inputs!$B$35+Inputs!$B$9*Inputs!$B$10)</f>
        <v>35</v>
      </c>
      <c r="CF4" s="10" t="n">
        <f aca="false">CF3/(Inputs!$B$35+Inputs!$B$9*Inputs!$B$10)</f>
        <v>35</v>
      </c>
      <c r="CG4" s="10" t="n">
        <f aca="false">CG3/(Inputs!$B$35+Inputs!$B$9*Inputs!$B$10)</f>
        <v>35</v>
      </c>
      <c r="CH4" s="10" t="n">
        <f aca="false">CH3/(Inputs!$B$35+Inputs!$B$9*Inputs!$B$10)</f>
        <v>35</v>
      </c>
      <c r="CI4" s="10" t="n">
        <f aca="false">CI3/(Inputs!$B$35+Inputs!$B$9*Inputs!$B$10)</f>
        <v>35</v>
      </c>
      <c r="CJ4" s="10" t="n">
        <f aca="false">CJ3/(Inputs!$B$35+Inputs!$B$9*Inputs!$B$10)</f>
        <v>35</v>
      </c>
      <c r="CK4" s="10" t="n">
        <f aca="false">CK3/(Inputs!$B$35+Inputs!$B$9*Inputs!$B$10)</f>
        <v>35</v>
      </c>
      <c r="CL4" s="10" t="n">
        <f aca="false">CL3/(Inputs!$B$35+Inputs!$B$9*Inputs!$B$10)</f>
        <v>35</v>
      </c>
      <c r="CM4" s="10" t="n">
        <f aca="false">CM3/(Inputs!$B$35+Inputs!$B$9*Inputs!$B$10)</f>
        <v>35</v>
      </c>
      <c r="CN4" s="10" t="n">
        <f aca="false">CN3/(Inputs!$B$35+Inputs!$B$9*Inputs!$B$10)</f>
        <v>35</v>
      </c>
      <c r="CO4" s="10" t="n">
        <f aca="false">CO3/(Inputs!$B$35+Inputs!$B$9*Inputs!$B$10)</f>
        <v>35</v>
      </c>
      <c r="CP4" s="10" t="n">
        <f aca="false">CP3/(Inputs!$B$35+Inputs!$B$9*Inputs!$B$10)</f>
        <v>35</v>
      </c>
      <c r="CQ4" s="10" t="n">
        <f aca="false">CQ3/(Inputs!$B$35+Inputs!$B$9*Inputs!$B$10)</f>
        <v>35</v>
      </c>
      <c r="CR4" s="10" t="n">
        <f aca="false">CR3/(Inputs!$B$35+Inputs!$B$9*Inputs!$B$10)</f>
        <v>35</v>
      </c>
      <c r="CS4" s="10" t="n">
        <f aca="false">CS3/(Inputs!$B$35+Inputs!$B$9*Inputs!$B$10)</f>
        <v>35</v>
      </c>
      <c r="CT4" s="10" t="n">
        <f aca="false">CT3/(Inputs!$B$35+Inputs!$B$9*Inputs!$B$10)</f>
        <v>35</v>
      </c>
      <c r="CU4" s="10" t="n">
        <f aca="false">CU3/(Inputs!$B$35+Inputs!$B$9*Inputs!$B$10)</f>
        <v>35</v>
      </c>
      <c r="CV4" s="10" t="n">
        <f aca="false">CV3/(Inputs!$B$35+Inputs!$B$9*Inputs!$B$10)</f>
        <v>35</v>
      </c>
      <c r="CW4" s="10" t="n">
        <f aca="false">CW3/(Inputs!$B$35+Inputs!$B$9*Inputs!$B$10)</f>
        <v>35</v>
      </c>
      <c r="CX4" s="10" t="n">
        <f aca="false">CX3/(Inputs!$B$35+Inputs!$B$9*Inputs!$B$10)</f>
        <v>35</v>
      </c>
      <c r="CY4" s="10" t="n">
        <f aca="false">CY3/(Inputs!$B$35+Inputs!$B$9*Inputs!$B$10)</f>
        <v>35</v>
      </c>
      <c r="CZ4" s="10" t="n">
        <f aca="false">CZ3/(Inputs!$B$35+Inputs!$B$9*Inputs!$B$10)</f>
        <v>35</v>
      </c>
      <c r="DA4" s="10" t="n">
        <f aca="false">DA3/(Inputs!$B$35+Inputs!$B$9*Inputs!$B$10)</f>
        <v>35</v>
      </c>
      <c r="DB4" s="10" t="n">
        <f aca="false">DB3/(Inputs!$B$35+Inputs!$B$9*Inputs!$B$10)</f>
        <v>35</v>
      </c>
      <c r="DC4" s="10" t="n">
        <f aca="false">DC3/(Inputs!$B$35+Inputs!$B$9*Inputs!$B$10)</f>
        <v>35</v>
      </c>
      <c r="DD4" s="10" t="n">
        <f aca="false">DD3/(Inputs!$B$35+Inputs!$B$9*Inputs!$B$10)</f>
        <v>35</v>
      </c>
      <c r="DE4" s="10" t="n">
        <f aca="false">DE3/(Inputs!$B$35+Inputs!$B$9*Inputs!$B$10)</f>
        <v>35</v>
      </c>
      <c r="DF4" s="10" t="n">
        <f aca="false">DF3/(Inputs!$B$35+Inputs!$B$9*Inputs!$B$10)</f>
        <v>35</v>
      </c>
      <c r="DG4" s="10" t="n">
        <f aca="false">DG3/(Inputs!$B$35+Inputs!$B$9*Inputs!$B$10)</f>
        <v>35</v>
      </c>
      <c r="DH4" s="10" t="n">
        <f aca="false">DH3/(Inputs!$B$35+Inputs!$B$9*Inputs!$B$10)</f>
        <v>35</v>
      </c>
      <c r="DI4" s="10" t="n">
        <f aca="false">DI3/(Inputs!$B$35+Inputs!$B$9*Inputs!$B$10)</f>
        <v>35</v>
      </c>
      <c r="DJ4" s="10" t="n">
        <f aca="false">DJ3/(Inputs!$B$35+Inputs!$B$9*Inputs!$B$10)</f>
        <v>35</v>
      </c>
      <c r="DK4" s="10" t="n">
        <f aca="false">DK3/(Inputs!$B$35+Inputs!$B$9*Inputs!$B$10)</f>
        <v>35</v>
      </c>
      <c r="DL4" s="10" t="n">
        <f aca="false">DL3/(Inputs!$B$35+Inputs!$B$9*Inputs!$B$10)</f>
        <v>35</v>
      </c>
      <c r="DM4" s="10" t="n">
        <f aca="false">DM3/(Inputs!$B$35+Inputs!$B$9*Inputs!$B$10)</f>
        <v>35</v>
      </c>
      <c r="DN4" s="10" t="n">
        <f aca="false">DN3/(Inputs!$B$35+Inputs!$B$9*Inputs!$B$10)</f>
        <v>35</v>
      </c>
      <c r="DO4" s="10" t="n">
        <f aca="false">DO3/(Inputs!$B$35+Inputs!$B$9*Inputs!$B$10)</f>
        <v>35</v>
      </c>
      <c r="DP4" s="10" t="n">
        <f aca="false">DP3/(Inputs!$B$35+Inputs!$B$9*Inputs!$B$10)</f>
        <v>35</v>
      </c>
      <c r="DQ4" s="10" t="n">
        <f aca="false">DQ3/(Inputs!$B$35+Inputs!$B$9*Inputs!$B$10)</f>
        <v>35</v>
      </c>
      <c r="DR4" s="10" t="n">
        <f aca="false">DR3/(Inputs!$B$35+Inputs!$B$9*Inputs!$B$10)</f>
        <v>35</v>
      </c>
    </row>
    <row r="5" customFormat="false" ht="15" hidden="false" customHeight="false" outlineLevel="0" collapsed="false">
      <c r="A5" s="9" t="s">
        <v>174</v>
      </c>
      <c r="B5" s="11" t="n">
        <f aca="false">B3-B4</f>
        <v>0</v>
      </c>
      <c r="C5" s="11" t="n">
        <f aca="false">C3-C4</f>
        <v>0</v>
      </c>
      <c r="D5" s="11" t="n">
        <f aca="false">D3-D4</f>
        <v>0</v>
      </c>
      <c r="E5" s="11" t="n">
        <f aca="false">E3-E4</f>
        <v>0</v>
      </c>
      <c r="F5" s="11" t="n">
        <f aca="false">F3-F4</f>
        <v>0</v>
      </c>
      <c r="G5" s="11" t="n">
        <f aca="false">G3-G4</f>
        <v>0</v>
      </c>
      <c r="H5" s="11" t="n">
        <f aca="false">H3-H4</f>
        <v>0</v>
      </c>
      <c r="I5" s="11" t="n">
        <f aca="false">I3-I4</f>
        <v>0</v>
      </c>
      <c r="J5" s="11" t="n">
        <f aca="false">J3-J4</f>
        <v>0</v>
      </c>
      <c r="K5" s="11" t="n">
        <f aca="false">K3-K4</f>
        <v>0</v>
      </c>
      <c r="L5" s="11" t="n">
        <f aca="false">L3-L4</f>
        <v>0</v>
      </c>
      <c r="M5" s="11" t="n">
        <f aca="false">M3-M4</f>
        <v>0</v>
      </c>
      <c r="N5" s="11" t="n">
        <f aca="false">N3-N4</f>
        <v>0</v>
      </c>
      <c r="O5" s="11" t="n">
        <f aca="false">O3-O4</f>
        <v>0</v>
      </c>
      <c r="P5" s="11" t="n">
        <f aca="false">P3-P4</f>
        <v>0</v>
      </c>
      <c r="Q5" s="11" t="n">
        <f aca="false">Q3-Q4</f>
        <v>0</v>
      </c>
      <c r="R5" s="11" t="n">
        <f aca="false">R3-R4</f>
        <v>0</v>
      </c>
      <c r="S5" s="11" t="n">
        <f aca="false">S3-S4</f>
        <v>0</v>
      </c>
      <c r="T5" s="11" t="n">
        <f aca="false">T3-T4</f>
        <v>0</v>
      </c>
      <c r="U5" s="11" t="n">
        <f aca="false">U3-U4</f>
        <v>0</v>
      </c>
      <c r="V5" s="11" t="n">
        <f aca="false">V3-V4</f>
        <v>0</v>
      </c>
      <c r="W5" s="11" t="n">
        <f aca="false">W3-W4</f>
        <v>0</v>
      </c>
      <c r="X5" s="11" t="n">
        <f aca="false">X3-X4</f>
        <v>0</v>
      </c>
      <c r="Y5" s="11" t="n">
        <f aca="false">Y3-Y4</f>
        <v>0</v>
      </c>
      <c r="Z5" s="11" t="n">
        <f aca="false">Z3-Z4</f>
        <v>0</v>
      </c>
      <c r="AA5" s="11" t="n">
        <f aca="false">AA3-AA4</f>
        <v>0</v>
      </c>
      <c r="AB5" s="11" t="n">
        <f aca="false">AB3-AB4</f>
        <v>0</v>
      </c>
      <c r="AC5" s="11" t="n">
        <f aca="false">AC3-AC4</f>
        <v>0</v>
      </c>
      <c r="AD5" s="11" t="n">
        <f aca="false">AD3-AD4</f>
        <v>0</v>
      </c>
      <c r="AE5" s="11" t="n">
        <f aca="false">AE3-AE4</f>
        <v>0</v>
      </c>
      <c r="AF5" s="11" t="n">
        <f aca="false">AF3-AF4</f>
        <v>0</v>
      </c>
      <c r="AG5" s="11" t="n">
        <f aca="false">AG3-AG4</f>
        <v>0</v>
      </c>
      <c r="AH5" s="11" t="n">
        <f aca="false">AH3-AH4</f>
        <v>0</v>
      </c>
      <c r="AI5" s="11" t="n">
        <f aca="false">AI3-AI4</f>
        <v>0</v>
      </c>
      <c r="AJ5" s="11" t="n">
        <f aca="false">AJ3-AJ4</f>
        <v>0</v>
      </c>
      <c r="AK5" s="11" t="n">
        <f aca="false">AK3-AK4</f>
        <v>0</v>
      </c>
      <c r="AL5" s="11" t="n">
        <f aca="false">AL3-AL4</f>
        <v>0</v>
      </c>
      <c r="AM5" s="11" t="n">
        <f aca="false">AM3-AM4</f>
        <v>0</v>
      </c>
      <c r="AN5" s="11" t="n">
        <f aca="false">AN3-AN4</f>
        <v>0</v>
      </c>
      <c r="AO5" s="11" t="n">
        <f aca="false">AO3-AO4</f>
        <v>0</v>
      </c>
      <c r="AP5" s="11" t="n">
        <f aca="false">AP3-AP4</f>
        <v>0</v>
      </c>
      <c r="AQ5" s="11" t="n">
        <f aca="false">AQ3-AQ4</f>
        <v>0</v>
      </c>
      <c r="AR5" s="11" t="n">
        <f aca="false">AR3-AR4</f>
        <v>0</v>
      </c>
      <c r="AS5" s="11" t="n">
        <f aca="false">AS3-AS4</f>
        <v>0</v>
      </c>
      <c r="AT5" s="11" t="n">
        <f aca="false">AT3-AT4</f>
        <v>0</v>
      </c>
      <c r="AU5" s="11" t="n">
        <f aca="false">AU3-AU4</f>
        <v>0</v>
      </c>
      <c r="AV5" s="11" t="n">
        <f aca="false">AV3-AV4</f>
        <v>0</v>
      </c>
      <c r="AW5" s="11" t="n">
        <f aca="false">AW3-AW4</f>
        <v>0</v>
      </c>
      <c r="AX5" s="11" t="n">
        <f aca="false">AX3-AX4</f>
        <v>0</v>
      </c>
      <c r="AY5" s="11" t="n">
        <f aca="false">AY3-AY4</f>
        <v>0</v>
      </c>
      <c r="AZ5" s="11" t="n">
        <f aca="false">AZ3-AZ4</f>
        <v>0</v>
      </c>
      <c r="BA5" s="11" t="n">
        <f aca="false">BA3-BA4</f>
        <v>0</v>
      </c>
      <c r="BB5" s="11" t="n">
        <f aca="false">BB3-BB4</f>
        <v>0</v>
      </c>
      <c r="BC5" s="11" t="n">
        <f aca="false">BC3-BC4</f>
        <v>0</v>
      </c>
      <c r="BD5" s="11" t="n">
        <f aca="false">BD3-BD4</f>
        <v>0</v>
      </c>
      <c r="BE5" s="11" t="n">
        <f aca="false">BE3-BE4</f>
        <v>0</v>
      </c>
      <c r="BF5" s="11" t="n">
        <f aca="false">BF3-BF4</f>
        <v>0</v>
      </c>
      <c r="BG5" s="11" t="n">
        <f aca="false">BG3-BG4</f>
        <v>0</v>
      </c>
      <c r="BH5" s="11" t="n">
        <f aca="false">BH3-BH4</f>
        <v>0</v>
      </c>
      <c r="BI5" s="11" t="n">
        <f aca="false">BI3-BI4</f>
        <v>0</v>
      </c>
      <c r="BJ5" s="11" t="n">
        <f aca="false">BJ3-BJ4</f>
        <v>0</v>
      </c>
      <c r="BK5" s="11" t="n">
        <f aca="false">BK3-BK4</f>
        <v>0</v>
      </c>
      <c r="BL5" s="11" t="n">
        <f aca="false">BL3-BL4</f>
        <v>0</v>
      </c>
      <c r="BM5" s="11" t="n">
        <f aca="false">BM3-BM4</f>
        <v>0</v>
      </c>
      <c r="BN5" s="11" t="n">
        <f aca="false">BN3-BN4</f>
        <v>0</v>
      </c>
      <c r="BO5" s="11" t="n">
        <f aca="false">BO3-BO4</f>
        <v>0</v>
      </c>
      <c r="BP5" s="11" t="n">
        <f aca="false">BP3-BP4</f>
        <v>0</v>
      </c>
      <c r="BQ5" s="11" t="n">
        <f aca="false">BQ3-BQ4</f>
        <v>0</v>
      </c>
      <c r="BR5" s="11" t="n">
        <f aca="false">BR3-BR4</f>
        <v>0</v>
      </c>
      <c r="BS5" s="11" t="n">
        <f aca="false">BS3-BS4</f>
        <v>0</v>
      </c>
      <c r="BT5" s="11" t="n">
        <f aca="false">BT3-BT4</f>
        <v>0</v>
      </c>
      <c r="BU5" s="11" t="n">
        <f aca="false">BU3-BU4</f>
        <v>0</v>
      </c>
      <c r="BV5" s="11" t="n">
        <f aca="false">BV3-BV4</f>
        <v>0</v>
      </c>
      <c r="BW5" s="11" t="n">
        <f aca="false">BW3-BW4</f>
        <v>0</v>
      </c>
      <c r="BX5" s="11" t="n">
        <f aca="false">BX3-BX4</f>
        <v>0</v>
      </c>
      <c r="BY5" s="11" t="n">
        <f aca="false">BY3-BY4</f>
        <v>0</v>
      </c>
      <c r="BZ5" s="11" t="n">
        <f aca="false">BZ3-BZ4</f>
        <v>0</v>
      </c>
      <c r="CA5" s="11" t="n">
        <f aca="false">CA3-CA4</f>
        <v>0</v>
      </c>
      <c r="CB5" s="11" t="n">
        <f aca="false">CB3-CB4</f>
        <v>0</v>
      </c>
      <c r="CC5" s="11" t="n">
        <f aca="false">CC3-CC4</f>
        <v>0</v>
      </c>
      <c r="CD5" s="11" t="n">
        <f aca="false">CD3-CD4</f>
        <v>0</v>
      </c>
      <c r="CE5" s="11" t="n">
        <f aca="false">CE3-CE4</f>
        <v>0</v>
      </c>
      <c r="CF5" s="11" t="n">
        <f aca="false">CF3-CF4</f>
        <v>0</v>
      </c>
      <c r="CG5" s="11" t="n">
        <f aca="false">CG3-CG4</f>
        <v>0</v>
      </c>
      <c r="CH5" s="11" t="n">
        <f aca="false">CH3-CH4</f>
        <v>0</v>
      </c>
      <c r="CI5" s="11" t="n">
        <f aca="false">CI3-CI4</f>
        <v>0</v>
      </c>
      <c r="CJ5" s="11" t="n">
        <f aca="false">CJ3-CJ4</f>
        <v>0</v>
      </c>
      <c r="CK5" s="11" t="n">
        <f aca="false">CK3-CK4</f>
        <v>0</v>
      </c>
      <c r="CL5" s="11" t="n">
        <f aca="false">CL3-CL4</f>
        <v>0</v>
      </c>
      <c r="CM5" s="11" t="n">
        <f aca="false">CM3-CM4</f>
        <v>0</v>
      </c>
      <c r="CN5" s="11" t="n">
        <f aca="false">CN3-CN4</f>
        <v>0</v>
      </c>
      <c r="CO5" s="11" t="n">
        <f aca="false">CO3-CO4</f>
        <v>0</v>
      </c>
      <c r="CP5" s="11" t="n">
        <f aca="false">CP3-CP4</f>
        <v>0</v>
      </c>
      <c r="CQ5" s="11" t="n">
        <f aca="false">CQ3-CQ4</f>
        <v>0</v>
      </c>
      <c r="CR5" s="11" t="n">
        <f aca="false">CR3-CR4</f>
        <v>0</v>
      </c>
      <c r="CS5" s="11" t="n">
        <f aca="false">CS3-CS4</f>
        <v>0</v>
      </c>
      <c r="CT5" s="11" t="n">
        <f aca="false">CT3-CT4</f>
        <v>0</v>
      </c>
      <c r="CU5" s="11" t="n">
        <f aca="false">CU3-CU4</f>
        <v>0</v>
      </c>
      <c r="CV5" s="11" t="n">
        <f aca="false">CV3-CV4</f>
        <v>0</v>
      </c>
      <c r="CW5" s="11" t="n">
        <f aca="false">CW3-CW4</f>
        <v>0</v>
      </c>
      <c r="CX5" s="11" t="n">
        <f aca="false">CX3-CX4</f>
        <v>0</v>
      </c>
      <c r="CY5" s="11" t="n">
        <f aca="false">CY3-CY4</f>
        <v>0</v>
      </c>
      <c r="CZ5" s="11" t="n">
        <f aca="false">CZ3-CZ4</f>
        <v>0</v>
      </c>
      <c r="DA5" s="11" t="n">
        <f aca="false">DA3-DA4</f>
        <v>0</v>
      </c>
      <c r="DB5" s="11" t="n">
        <f aca="false">DB3-DB4</f>
        <v>0</v>
      </c>
      <c r="DC5" s="11" t="n">
        <f aca="false">DC3-DC4</f>
        <v>0</v>
      </c>
      <c r="DD5" s="11" t="n">
        <f aca="false">DD3-DD4</f>
        <v>0</v>
      </c>
      <c r="DE5" s="11" t="n">
        <f aca="false">DE3-DE4</f>
        <v>0</v>
      </c>
      <c r="DF5" s="11" t="n">
        <f aca="false">DF3-DF4</f>
        <v>0</v>
      </c>
      <c r="DG5" s="11" t="n">
        <f aca="false">DG3-DG4</f>
        <v>0</v>
      </c>
      <c r="DH5" s="11" t="n">
        <f aca="false">DH3-DH4</f>
        <v>0</v>
      </c>
      <c r="DI5" s="11" t="n">
        <f aca="false">DI3-DI4</f>
        <v>0</v>
      </c>
      <c r="DJ5" s="11" t="n">
        <f aca="false">DJ3-DJ4</f>
        <v>0</v>
      </c>
      <c r="DK5" s="11" t="n">
        <f aca="false">DK3-DK4</f>
        <v>0</v>
      </c>
      <c r="DL5" s="11" t="n">
        <f aca="false">DL3-DL4</f>
        <v>0</v>
      </c>
      <c r="DM5" s="11" t="n">
        <f aca="false">DM3-DM4</f>
        <v>0</v>
      </c>
      <c r="DN5" s="11" t="n">
        <f aca="false">DN3-DN4</f>
        <v>0</v>
      </c>
      <c r="DO5" s="11" t="n">
        <f aca="false">DO3-DO4</f>
        <v>0</v>
      </c>
      <c r="DP5" s="11" t="n">
        <f aca="false">DP3-DP4</f>
        <v>0</v>
      </c>
      <c r="DQ5" s="11" t="n">
        <f aca="false">DQ3-DQ4</f>
        <v>0</v>
      </c>
      <c r="DR5" s="11" t="n">
        <f aca="false">DR3-DR4</f>
        <v>0</v>
      </c>
    </row>
    <row r="6" customFormat="false" ht="15" hidden="false" customHeight="false" outlineLevel="0" collapsed="false">
      <c r="A6" s="9" t="s">
        <v>175</v>
      </c>
      <c r="B6" s="10" t="n">
        <f aca="false">B4*Streams!$E$2/Streams!$E$15</f>
        <v>0</v>
      </c>
      <c r="C6" s="10" t="n">
        <f aca="false">C4*Streams!$E$2/Streams!$E$15</f>
        <v>8</v>
      </c>
      <c r="D6" s="10" t="n">
        <f aca="false">D4*Streams!$E$2/Streams!$E$15</f>
        <v>8</v>
      </c>
      <c r="E6" s="10" t="n">
        <f aca="false">E4*Streams!$E$2/Streams!$E$15</f>
        <v>8</v>
      </c>
      <c r="F6" s="10" t="n">
        <f aca="false">F4*Streams!$E$2/Streams!$E$15</f>
        <v>8</v>
      </c>
      <c r="G6" s="10" t="n">
        <f aca="false">G4*Streams!$E$2/Streams!$E$15</f>
        <v>8</v>
      </c>
      <c r="H6" s="10" t="n">
        <f aca="false">H4*Streams!$E$2/Streams!$E$15</f>
        <v>8</v>
      </c>
      <c r="I6" s="10" t="n">
        <f aca="false">I4*Streams!$E$2/Streams!$E$15</f>
        <v>8</v>
      </c>
      <c r="J6" s="10" t="n">
        <f aca="false">J4*Streams!$E$2/Streams!$E$15</f>
        <v>8</v>
      </c>
      <c r="K6" s="10" t="n">
        <f aca="false">K4*Streams!$E$2/Streams!$E$15</f>
        <v>8</v>
      </c>
      <c r="L6" s="10" t="n">
        <f aca="false">L4*Streams!$E$2/Streams!$E$15</f>
        <v>8</v>
      </c>
      <c r="M6" s="10" t="n">
        <f aca="false">M4*Streams!$E$2/Streams!$E$15</f>
        <v>8</v>
      </c>
      <c r="N6" s="10" t="n">
        <f aca="false">N4*Streams!$E$2/Streams!$E$15</f>
        <v>8</v>
      </c>
      <c r="O6" s="10" t="n">
        <f aca="false">O4*Streams!$E$2/Streams!$E$15</f>
        <v>8</v>
      </c>
      <c r="P6" s="10" t="n">
        <f aca="false">P4*Streams!$E$2/Streams!$E$15</f>
        <v>8</v>
      </c>
      <c r="Q6" s="10" t="n">
        <f aca="false">Q4*Streams!$E$2/Streams!$E$15</f>
        <v>8</v>
      </c>
      <c r="R6" s="10" t="n">
        <f aca="false">R4*Streams!$E$2/Streams!$E$15</f>
        <v>8</v>
      </c>
      <c r="S6" s="10" t="n">
        <f aca="false">S4*Streams!$E$2/Streams!$E$15</f>
        <v>8</v>
      </c>
      <c r="T6" s="10" t="n">
        <f aca="false">T4*Streams!$E$2/Streams!$E$15</f>
        <v>8</v>
      </c>
      <c r="U6" s="10" t="n">
        <f aca="false">U4*Streams!$E$2/Streams!$E$15</f>
        <v>8</v>
      </c>
      <c r="V6" s="10" t="n">
        <f aca="false">V4*Streams!$E$2/Streams!$E$15</f>
        <v>8</v>
      </c>
      <c r="W6" s="10" t="n">
        <f aca="false">W4*Streams!$E$2/Streams!$E$15</f>
        <v>8</v>
      </c>
      <c r="X6" s="10" t="n">
        <f aca="false">X4*Streams!$E$2/Streams!$E$15</f>
        <v>8</v>
      </c>
      <c r="Y6" s="10" t="n">
        <f aca="false">Y4*Streams!$E$2/Streams!$E$15</f>
        <v>8</v>
      </c>
      <c r="Z6" s="10" t="n">
        <f aca="false">Z4*Streams!$E$2/Streams!$E$15</f>
        <v>8</v>
      </c>
      <c r="AA6" s="10" t="n">
        <f aca="false">AA4*Streams!$E$2/Streams!$E$15</f>
        <v>8</v>
      </c>
      <c r="AB6" s="10" t="n">
        <f aca="false">AB4*Streams!$E$2/Streams!$E$15</f>
        <v>8</v>
      </c>
      <c r="AC6" s="10" t="n">
        <f aca="false">AC4*Streams!$E$2/Streams!$E$15</f>
        <v>8</v>
      </c>
      <c r="AD6" s="10" t="n">
        <f aca="false">AD4*Streams!$E$2/Streams!$E$15</f>
        <v>8</v>
      </c>
      <c r="AE6" s="10" t="n">
        <f aca="false">AE4*Streams!$E$2/Streams!$E$15</f>
        <v>8</v>
      </c>
      <c r="AF6" s="10" t="n">
        <f aca="false">AF4*Streams!$E$2/Streams!$E$15</f>
        <v>8</v>
      </c>
      <c r="AG6" s="10" t="n">
        <f aca="false">AG4*Streams!$E$2/Streams!$E$15</f>
        <v>8</v>
      </c>
      <c r="AH6" s="10" t="n">
        <f aca="false">AH4*Streams!$E$2/Streams!$E$15</f>
        <v>8</v>
      </c>
      <c r="AI6" s="10" t="n">
        <f aca="false">AI4*Streams!$E$2/Streams!$E$15</f>
        <v>8</v>
      </c>
      <c r="AJ6" s="10" t="n">
        <f aca="false">AJ4*Streams!$E$2/Streams!$E$15</f>
        <v>8</v>
      </c>
      <c r="AK6" s="10" t="n">
        <f aca="false">AK4*Streams!$E$2/Streams!$E$15</f>
        <v>8</v>
      </c>
      <c r="AL6" s="10" t="n">
        <f aca="false">AL4*Streams!$E$2/Streams!$E$15</f>
        <v>8</v>
      </c>
      <c r="AM6" s="10" t="n">
        <f aca="false">AM4*Streams!$E$2/Streams!$E$15</f>
        <v>8</v>
      </c>
      <c r="AN6" s="10" t="n">
        <f aca="false">AN4*Streams!$E$2/Streams!$E$15</f>
        <v>8</v>
      </c>
      <c r="AO6" s="10" t="n">
        <f aca="false">AO4*Streams!$E$2/Streams!$E$15</f>
        <v>8</v>
      </c>
      <c r="AP6" s="10" t="n">
        <f aca="false">AP4*Streams!$E$2/Streams!$E$15</f>
        <v>8</v>
      </c>
      <c r="AQ6" s="10" t="n">
        <f aca="false">AQ4*Streams!$E$2/Streams!$E$15</f>
        <v>8</v>
      </c>
      <c r="AR6" s="10" t="n">
        <f aca="false">AR4*Streams!$E$2/Streams!$E$15</f>
        <v>8</v>
      </c>
      <c r="AS6" s="10" t="n">
        <f aca="false">AS4*Streams!$E$2/Streams!$E$15</f>
        <v>8</v>
      </c>
      <c r="AT6" s="10" t="n">
        <f aca="false">AT4*Streams!$E$2/Streams!$E$15</f>
        <v>8</v>
      </c>
      <c r="AU6" s="10" t="n">
        <f aca="false">AU4*Streams!$E$2/Streams!$E$15</f>
        <v>8</v>
      </c>
      <c r="AV6" s="10" t="n">
        <f aca="false">AV4*Streams!$E$2/Streams!$E$15</f>
        <v>8</v>
      </c>
      <c r="AW6" s="10" t="n">
        <f aca="false">AW4*Streams!$E$2/Streams!$E$15</f>
        <v>8</v>
      </c>
      <c r="AX6" s="10" t="n">
        <f aca="false">AX4*Streams!$E$2/Streams!$E$15</f>
        <v>8</v>
      </c>
      <c r="AY6" s="10" t="n">
        <f aca="false">AY4*Streams!$E$2/Streams!$E$15</f>
        <v>8</v>
      </c>
      <c r="AZ6" s="10" t="n">
        <f aca="false">AZ4*Streams!$E$2/Streams!$E$15</f>
        <v>8</v>
      </c>
      <c r="BA6" s="10" t="n">
        <f aca="false">BA4*Streams!$E$2/Streams!$E$15</f>
        <v>8</v>
      </c>
      <c r="BB6" s="10" t="n">
        <f aca="false">BB4*Streams!$E$2/Streams!$E$15</f>
        <v>8</v>
      </c>
      <c r="BC6" s="10" t="n">
        <f aca="false">BC4*Streams!$E$2/Streams!$E$15</f>
        <v>8</v>
      </c>
      <c r="BD6" s="10" t="n">
        <f aca="false">BD4*Streams!$E$2/Streams!$E$15</f>
        <v>8</v>
      </c>
      <c r="BE6" s="10" t="n">
        <f aca="false">BE4*Streams!$E$2/Streams!$E$15</f>
        <v>8</v>
      </c>
      <c r="BF6" s="10" t="n">
        <f aca="false">BF4*Streams!$E$2/Streams!$E$15</f>
        <v>8</v>
      </c>
      <c r="BG6" s="10" t="n">
        <f aca="false">BG4*Streams!$E$2/Streams!$E$15</f>
        <v>8</v>
      </c>
      <c r="BH6" s="10" t="n">
        <f aca="false">BH4*Streams!$E$2/Streams!$E$15</f>
        <v>8</v>
      </c>
      <c r="BI6" s="10" t="n">
        <f aca="false">BI4*Streams!$E$2/Streams!$E$15</f>
        <v>8</v>
      </c>
      <c r="BJ6" s="10" t="n">
        <f aca="false">BJ4*Streams!$E$2/Streams!$E$15</f>
        <v>8</v>
      </c>
      <c r="BK6" s="10" t="n">
        <f aca="false">BK4*Streams!$E$2/Streams!$E$15</f>
        <v>8</v>
      </c>
      <c r="BL6" s="10" t="n">
        <f aca="false">BL4*Streams!$E$2/Streams!$E$15</f>
        <v>8</v>
      </c>
      <c r="BM6" s="10" t="n">
        <f aca="false">BM4*Streams!$E$2/Streams!$E$15</f>
        <v>8</v>
      </c>
      <c r="BN6" s="10" t="n">
        <f aca="false">BN4*Streams!$E$2/Streams!$E$15</f>
        <v>8</v>
      </c>
      <c r="BO6" s="10" t="n">
        <f aca="false">BO4*Streams!$E$2/Streams!$E$15</f>
        <v>8</v>
      </c>
      <c r="BP6" s="10" t="n">
        <f aca="false">BP4*Streams!$E$2/Streams!$E$15</f>
        <v>8</v>
      </c>
      <c r="BQ6" s="10" t="n">
        <f aca="false">BQ4*Streams!$E$2/Streams!$E$15</f>
        <v>8</v>
      </c>
      <c r="BR6" s="10" t="n">
        <f aca="false">BR4*Streams!$E$2/Streams!$E$15</f>
        <v>8</v>
      </c>
      <c r="BS6" s="10" t="n">
        <f aca="false">BS4*Streams!$E$2/Streams!$E$15</f>
        <v>8</v>
      </c>
      <c r="BT6" s="10" t="n">
        <f aca="false">BT4*Streams!$E$2/Streams!$E$15</f>
        <v>8</v>
      </c>
      <c r="BU6" s="10" t="n">
        <f aca="false">BU4*Streams!$E$2/Streams!$E$15</f>
        <v>8</v>
      </c>
      <c r="BV6" s="10" t="n">
        <f aca="false">BV4*Streams!$E$2/Streams!$E$15</f>
        <v>8</v>
      </c>
      <c r="BW6" s="10" t="n">
        <f aca="false">BW4*Streams!$E$2/Streams!$E$15</f>
        <v>8</v>
      </c>
      <c r="BX6" s="10" t="n">
        <f aca="false">BX4*Streams!$E$2/Streams!$E$15</f>
        <v>8</v>
      </c>
      <c r="BY6" s="10" t="n">
        <f aca="false">BY4*Streams!$E$2/Streams!$E$15</f>
        <v>8</v>
      </c>
      <c r="BZ6" s="10" t="n">
        <f aca="false">BZ4*Streams!$E$2/Streams!$E$15</f>
        <v>8</v>
      </c>
      <c r="CA6" s="10" t="n">
        <f aca="false">CA4*Streams!$E$2/Streams!$E$15</f>
        <v>8</v>
      </c>
      <c r="CB6" s="10" t="n">
        <f aca="false">CB4*Streams!$E$2/Streams!$E$15</f>
        <v>8</v>
      </c>
      <c r="CC6" s="10" t="n">
        <f aca="false">CC4*Streams!$E$2/Streams!$E$15</f>
        <v>8</v>
      </c>
      <c r="CD6" s="10" t="n">
        <f aca="false">CD4*Streams!$E$2/Streams!$E$15</f>
        <v>8</v>
      </c>
      <c r="CE6" s="10" t="n">
        <f aca="false">CE4*Streams!$E$2/Streams!$E$15</f>
        <v>8</v>
      </c>
      <c r="CF6" s="10" t="n">
        <f aca="false">CF4*Streams!$E$2/Streams!$E$15</f>
        <v>8</v>
      </c>
      <c r="CG6" s="10" t="n">
        <f aca="false">CG4*Streams!$E$2/Streams!$E$15</f>
        <v>8</v>
      </c>
      <c r="CH6" s="10" t="n">
        <f aca="false">CH4*Streams!$E$2/Streams!$E$15</f>
        <v>8</v>
      </c>
      <c r="CI6" s="10" t="n">
        <f aca="false">CI4*Streams!$E$2/Streams!$E$15</f>
        <v>8</v>
      </c>
      <c r="CJ6" s="10" t="n">
        <f aca="false">CJ4*Streams!$E$2/Streams!$E$15</f>
        <v>8</v>
      </c>
      <c r="CK6" s="10" t="n">
        <f aca="false">CK4*Streams!$E$2/Streams!$E$15</f>
        <v>8</v>
      </c>
      <c r="CL6" s="10" t="n">
        <f aca="false">CL4*Streams!$E$2/Streams!$E$15</f>
        <v>8</v>
      </c>
      <c r="CM6" s="10" t="n">
        <f aca="false">CM4*Streams!$E$2/Streams!$E$15</f>
        <v>8</v>
      </c>
      <c r="CN6" s="10" t="n">
        <f aca="false">CN4*Streams!$E$2/Streams!$E$15</f>
        <v>8</v>
      </c>
      <c r="CO6" s="10" t="n">
        <f aca="false">CO4*Streams!$E$2/Streams!$E$15</f>
        <v>8</v>
      </c>
      <c r="CP6" s="10" t="n">
        <f aca="false">CP4*Streams!$E$2/Streams!$E$15</f>
        <v>8</v>
      </c>
      <c r="CQ6" s="10" t="n">
        <f aca="false">CQ4*Streams!$E$2/Streams!$E$15</f>
        <v>8</v>
      </c>
      <c r="CR6" s="10" t="n">
        <f aca="false">CR4*Streams!$E$2/Streams!$E$15</f>
        <v>8</v>
      </c>
      <c r="CS6" s="10" t="n">
        <f aca="false">CS4*Streams!$E$2/Streams!$E$15</f>
        <v>8</v>
      </c>
      <c r="CT6" s="10" t="n">
        <f aca="false">CT4*Streams!$E$2/Streams!$E$15</f>
        <v>8</v>
      </c>
      <c r="CU6" s="10" t="n">
        <f aca="false">CU4*Streams!$E$2/Streams!$E$15</f>
        <v>8</v>
      </c>
      <c r="CV6" s="10" t="n">
        <f aca="false">CV4*Streams!$E$2/Streams!$E$15</f>
        <v>8</v>
      </c>
      <c r="CW6" s="10" t="n">
        <f aca="false">CW4*Streams!$E$2/Streams!$E$15</f>
        <v>8</v>
      </c>
      <c r="CX6" s="10" t="n">
        <f aca="false">CX4*Streams!$E$2/Streams!$E$15</f>
        <v>8</v>
      </c>
      <c r="CY6" s="10" t="n">
        <f aca="false">CY4*Streams!$E$2/Streams!$E$15</f>
        <v>8</v>
      </c>
      <c r="CZ6" s="10" t="n">
        <f aca="false">CZ4*Streams!$E$2/Streams!$E$15</f>
        <v>8</v>
      </c>
      <c r="DA6" s="10" t="n">
        <f aca="false">DA4*Streams!$E$2/Streams!$E$15</f>
        <v>8</v>
      </c>
      <c r="DB6" s="10" t="n">
        <f aca="false">DB4*Streams!$E$2/Streams!$E$15</f>
        <v>8</v>
      </c>
      <c r="DC6" s="10" t="n">
        <f aca="false">DC4*Streams!$E$2/Streams!$E$15</f>
        <v>8</v>
      </c>
      <c r="DD6" s="10" t="n">
        <f aca="false">DD4*Streams!$E$2/Streams!$E$15</f>
        <v>8</v>
      </c>
      <c r="DE6" s="10" t="n">
        <f aca="false">DE4*Streams!$E$2/Streams!$E$15</f>
        <v>8</v>
      </c>
      <c r="DF6" s="10" t="n">
        <f aca="false">DF4*Streams!$E$2/Streams!$E$15</f>
        <v>8</v>
      </c>
      <c r="DG6" s="10" t="n">
        <f aca="false">DG4*Streams!$E$2/Streams!$E$15</f>
        <v>8</v>
      </c>
      <c r="DH6" s="10" t="n">
        <f aca="false">DH4*Streams!$E$2/Streams!$E$15</f>
        <v>8</v>
      </c>
      <c r="DI6" s="10" t="n">
        <f aca="false">DI4*Streams!$E$2/Streams!$E$15</f>
        <v>8</v>
      </c>
      <c r="DJ6" s="10" t="n">
        <f aca="false">DJ4*Streams!$E$2/Streams!$E$15</f>
        <v>8</v>
      </c>
      <c r="DK6" s="10" t="n">
        <f aca="false">DK4*Streams!$E$2/Streams!$E$15</f>
        <v>8</v>
      </c>
      <c r="DL6" s="10" t="n">
        <f aca="false">DL4*Streams!$E$2/Streams!$E$15</f>
        <v>8</v>
      </c>
      <c r="DM6" s="10" t="n">
        <f aca="false">DM4*Streams!$E$2/Streams!$E$15</f>
        <v>8</v>
      </c>
      <c r="DN6" s="10" t="n">
        <f aca="false">DN4*Streams!$E$2/Streams!$E$15</f>
        <v>8</v>
      </c>
      <c r="DO6" s="10" t="n">
        <f aca="false">DO4*Streams!$E$2/Streams!$E$15</f>
        <v>8</v>
      </c>
      <c r="DP6" s="10" t="n">
        <f aca="false">DP4*Streams!$E$2/Streams!$E$15</f>
        <v>8</v>
      </c>
      <c r="DQ6" s="10" t="n">
        <f aca="false">DQ4*Streams!$E$2/Streams!$E$15</f>
        <v>8</v>
      </c>
      <c r="DR6" s="10" t="n">
        <f aca="false">DR4*Streams!$E$2/Streams!$E$15</f>
        <v>8</v>
      </c>
    </row>
    <row r="7" customFormat="false" ht="15" hidden="false" customHeight="false" outlineLevel="0" collapsed="false">
      <c r="A7" s="9" t="s">
        <v>176</v>
      </c>
      <c r="B7" s="10" t="n">
        <f aca="false">B4*Streams!$E$3/Streams!$E$15</f>
        <v>0</v>
      </c>
      <c r="C7" s="10" t="n">
        <f aca="false">C4*Streams!$E$3/Streams!$E$15</f>
        <v>3</v>
      </c>
      <c r="D7" s="10" t="n">
        <f aca="false">D4*Streams!$E$3/Streams!$E$15</f>
        <v>3</v>
      </c>
      <c r="E7" s="10" t="n">
        <f aca="false">E4*Streams!$E$3/Streams!$E$15</f>
        <v>3</v>
      </c>
      <c r="F7" s="10" t="n">
        <f aca="false">F4*Streams!$E$3/Streams!$E$15</f>
        <v>3</v>
      </c>
      <c r="G7" s="10" t="n">
        <f aca="false">G4*Streams!$E$3/Streams!$E$15</f>
        <v>3</v>
      </c>
      <c r="H7" s="10" t="n">
        <f aca="false">H4*Streams!$E$3/Streams!$E$15</f>
        <v>3</v>
      </c>
      <c r="I7" s="10" t="n">
        <f aca="false">I4*Streams!$E$3/Streams!$E$15</f>
        <v>3</v>
      </c>
      <c r="J7" s="10" t="n">
        <f aca="false">J4*Streams!$E$3/Streams!$E$15</f>
        <v>3</v>
      </c>
      <c r="K7" s="10" t="n">
        <f aca="false">K4*Streams!$E$3/Streams!$E$15</f>
        <v>3</v>
      </c>
      <c r="L7" s="10" t="n">
        <f aca="false">L4*Streams!$E$3/Streams!$E$15</f>
        <v>3</v>
      </c>
      <c r="M7" s="10" t="n">
        <f aca="false">M4*Streams!$E$3/Streams!$E$15</f>
        <v>3</v>
      </c>
      <c r="N7" s="10" t="n">
        <f aca="false">N4*Streams!$E$3/Streams!$E$15</f>
        <v>3</v>
      </c>
      <c r="O7" s="10" t="n">
        <f aca="false">O4*Streams!$E$3/Streams!$E$15</f>
        <v>3</v>
      </c>
      <c r="P7" s="10" t="n">
        <f aca="false">P4*Streams!$E$3/Streams!$E$15</f>
        <v>3</v>
      </c>
      <c r="Q7" s="10" t="n">
        <f aca="false">Q4*Streams!$E$3/Streams!$E$15</f>
        <v>3</v>
      </c>
      <c r="R7" s="10" t="n">
        <f aca="false">R4*Streams!$E$3/Streams!$E$15</f>
        <v>3</v>
      </c>
      <c r="S7" s="10" t="n">
        <f aca="false">S4*Streams!$E$3/Streams!$E$15</f>
        <v>3</v>
      </c>
      <c r="T7" s="10" t="n">
        <f aca="false">T4*Streams!$E$3/Streams!$E$15</f>
        <v>3</v>
      </c>
      <c r="U7" s="10" t="n">
        <f aca="false">U4*Streams!$E$3/Streams!$E$15</f>
        <v>3</v>
      </c>
      <c r="V7" s="10" t="n">
        <f aca="false">V4*Streams!$E$3/Streams!$E$15</f>
        <v>3</v>
      </c>
      <c r="W7" s="10" t="n">
        <f aca="false">W4*Streams!$E$3/Streams!$E$15</f>
        <v>3</v>
      </c>
      <c r="X7" s="10" t="n">
        <f aca="false">X4*Streams!$E$3/Streams!$E$15</f>
        <v>3</v>
      </c>
      <c r="Y7" s="10" t="n">
        <f aca="false">Y4*Streams!$E$3/Streams!$E$15</f>
        <v>3</v>
      </c>
      <c r="Z7" s="10" t="n">
        <f aca="false">Z4*Streams!$E$3/Streams!$E$15</f>
        <v>3</v>
      </c>
      <c r="AA7" s="10" t="n">
        <f aca="false">AA4*Streams!$E$3/Streams!$E$15</f>
        <v>3</v>
      </c>
      <c r="AB7" s="10" t="n">
        <f aca="false">AB4*Streams!$E$3/Streams!$E$15</f>
        <v>3</v>
      </c>
      <c r="AC7" s="10" t="n">
        <f aca="false">AC4*Streams!$E$3/Streams!$E$15</f>
        <v>3</v>
      </c>
      <c r="AD7" s="10" t="n">
        <f aca="false">AD4*Streams!$E$3/Streams!$E$15</f>
        <v>3</v>
      </c>
      <c r="AE7" s="10" t="n">
        <f aca="false">AE4*Streams!$E$3/Streams!$E$15</f>
        <v>3</v>
      </c>
      <c r="AF7" s="10" t="n">
        <f aca="false">AF4*Streams!$E$3/Streams!$E$15</f>
        <v>3</v>
      </c>
      <c r="AG7" s="10" t="n">
        <f aca="false">AG4*Streams!$E$3/Streams!$E$15</f>
        <v>3</v>
      </c>
      <c r="AH7" s="10" t="n">
        <f aca="false">AH4*Streams!$E$3/Streams!$E$15</f>
        <v>3</v>
      </c>
      <c r="AI7" s="10" t="n">
        <f aca="false">AI4*Streams!$E$3/Streams!$E$15</f>
        <v>3</v>
      </c>
      <c r="AJ7" s="10" t="n">
        <f aca="false">AJ4*Streams!$E$3/Streams!$E$15</f>
        <v>3</v>
      </c>
      <c r="AK7" s="10" t="n">
        <f aca="false">AK4*Streams!$E$3/Streams!$E$15</f>
        <v>3</v>
      </c>
      <c r="AL7" s="10" t="n">
        <f aca="false">AL4*Streams!$E$3/Streams!$E$15</f>
        <v>3</v>
      </c>
      <c r="AM7" s="10" t="n">
        <f aca="false">AM4*Streams!$E$3/Streams!$E$15</f>
        <v>3</v>
      </c>
      <c r="AN7" s="10" t="n">
        <f aca="false">AN4*Streams!$E$3/Streams!$E$15</f>
        <v>3</v>
      </c>
      <c r="AO7" s="10" t="n">
        <f aca="false">AO4*Streams!$E$3/Streams!$E$15</f>
        <v>3</v>
      </c>
      <c r="AP7" s="10" t="n">
        <f aca="false">AP4*Streams!$E$3/Streams!$E$15</f>
        <v>3</v>
      </c>
      <c r="AQ7" s="10" t="n">
        <f aca="false">AQ4*Streams!$E$3/Streams!$E$15</f>
        <v>3</v>
      </c>
      <c r="AR7" s="10" t="n">
        <f aca="false">AR4*Streams!$E$3/Streams!$E$15</f>
        <v>3</v>
      </c>
      <c r="AS7" s="10" t="n">
        <f aca="false">AS4*Streams!$E$3/Streams!$E$15</f>
        <v>3</v>
      </c>
      <c r="AT7" s="10" t="n">
        <f aca="false">AT4*Streams!$E$3/Streams!$E$15</f>
        <v>3</v>
      </c>
      <c r="AU7" s="10" t="n">
        <f aca="false">AU4*Streams!$E$3/Streams!$E$15</f>
        <v>3</v>
      </c>
      <c r="AV7" s="10" t="n">
        <f aca="false">AV4*Streams!$E$3/Streams!$E$15</f>
        <v>3</v>
      </c>
      <c r="AW7" s="10" t="n">
        <f aca="false">AW4*Streams!$E$3/Streams!$E$15</f>
        <v>3</v>
      </c>
      <c r="AX7" s="10" t="n">
        <f aca="false">AX4*Streams!$E$3/Streams!$E$15</f>
        <v>3</v>
      </c>
      <c r="AY7" s="10" t="n">
        <f aca="false">AY4*Streams!$E$3/Streams!$E$15</f>
        <v>3</v>
      </c>
      <c r="AZ7" s="10" t="n">
        <f aca="false">AZ4*Streams!$E$3/Streams!$E$15</f>
        <v>3</v>
      </c>
      <c r="BA7" s="10" t="n">
        <f aca="false">BA4*Streams!$E$3/Streams!$E$15</f>
        <v>3</v>
      </c>
      <c r="BB7" s="10" t="n">
        <f aca="false">BB4*Streams!$E$3/Streams!$E$15</f>
        <v>3</v>
      </c>
      <c r="BC7" s="10" t="n">
        <f aca="false">BC4*Streams!$E$3/Streams!$E$15</f>
        <v>3</v>
      </c>
      <c r="BD7" s="10" t="n">
        <f aca="false">BD4*Streams!$E$3/Streams!$E$15</f>
        <v>3</v>
      </c>
      <c r="BE7" s="10" t="n">
        <f aca="false">BE4*Streams!$E$3/Streams!$E$15</f>
        <v>3</v>
      </c>
      <c r="BF7" s="10" t="n">
        <f aca="false">BF4*Streams!$E$3/Streams!$E$15</f>
        <v>3</v>
      </c>
      <c r="BG7" s="10" t="n">
        <f aca="false">BG4*Streams!$E$3/Streams!$E$15</f>
        <v>3</v>
      </c>
      <c r="BH7" s="10" t="n">
        <f aca="false">BH4*Streams!$E$3/Streams!$E$15</f>
        <v>3</v>
      </c>
      <c r="BI7" s="10" t="n">
        <f aca="false">BI4*Streams!$E$3/Streams!$E$15</f>
        <v>3</v>
      </c>
      <c r="BJ7" s="10" t="n">
        <f aca="false">BJ4*Streams!$E$3/Streams!$E$15</f>
        <v>3</v>
      </c>
      <c r="BK7" s="10" t="n">
        <f aca="false">BK4*Streams!$E$3/Streams!$E$15</f>
        <v>3</v>
      </c>
      <c r="BL7" s="10" t="n">
        <f aca="false">BL4*Streams!$E$3/Streams!$E$15</f>
        <v>3</v>
      </c>
      <c r="BM7" s="10" t="n">
        <f aca="false">BM4*Streams!$E$3/Streams!$E$15</f>
        <v>3</v>
      </c>
      <c r="BN7" s="10" t="n">
        <f aca="false">BN4*Streams!$E$3/Streams!$E$15</f>
        <v>3</v>
      </c>
      <c r="BO7" s="10" t="n">
        <f aca="false">BO4*Streams!$E$3/Streams!$E$15</f>
        <v>3</v>
      </c>
      <c r="BP7" s="10" t="n">
        <f aca="false">BP4*Streams!$E$3/Streams!$E$15</f>
        <v>3</v>
      </c>
      <c r="BQ7" s="10" t="n">
        <f aca="false">BQ4*Streams!$E$3/Streams!$E$15</f>
        <v>3</v>
      </c>
      <c r="BR7" s="10" t="n">
        <f aca="false">BR4*Streams!$E$3/Streams!$E$15</f>
        <v>3</v>
      </c>
      <c r="BS7" s="10" t="n">
        <f aca="false">BS4*Streams!$E$3/Streams!$E$15</f>
        <v>3</v>
      </c>
      <c r="BT7" s="10" t="n">
        <f aca="false">BT4*Streams!$E$3/Streams!$E$15</f>
        <v>3</v>
      </c>
      <c r="BU7" s="10" t="n">
        <f aca="false">BU4*Streams!$E$3/Streams!$E$15</f>
        <v>3</v>
      </c>
      <c r="BV7" s="10" t="n">
        <f aca="false">BV4*Streams!$E$3/Streams!$E$15</f>
        <v>3</v>
      </c>
      <c r="BW7" s="10" t="n">
        <f aca="false">BW4*Streams!$E$3/Streams!$E$15</f>
        <v>3</v>
      </c>
      <c r="BX7" s="10" t="n">
        <f aca="false">BX4*Streams!$E$3/Streams!$E$15</f>
        <v>3</v>
      </c>
      <c r="BY7" s="10" t="n">
        <f aca="false">BY4*Streams!$E$3/Streams!$E$15</f>
        <v>3</v>
      </c>
      <c r="BZ7" s="10" t="n">
        <f aca="false">BZ4*Streams!$E$3/Streams!$E$15</f>
        <v>3</v>
      </c>
      <c r="CA7" s="10" t="n">
        <f aca="false">CA4*Streams!$E$3/Streams!$E$15</f>
        <v>3</v>
      </c>
      <c r="CB7" s="10" t="n">
        <f aca="false">CB4*Streams!$E$3/Streams!$E$15</f>
        <v>3</v>
      </c>
      <c r="CC7" s="10" t="n">
        <f aca="false">CC4*Streams!$E$3/Streams!$E$15</f>
        <v>3</v>
      </c>
      <c r="CD7" s="10" t="n">
        <f aca="false">CD4*Streams!$E$3/Streams!$E$15</f>
        <v>3</v>
      </c>
      <c r="CE7" s="10" t="n">
        <f aca="false">CE4*Streams!$E$3/Streams!$E$15</f>
        <v>3</v>
      </c>
      <c r="CF7" s="10" t="n">
        <f aca="false">CF4*Streams!$E$3/Streams!$E$15</f>
        <v>3</v>
      </c>
      <c r="CG7" s="10" t="n">
        <f aca="false">CG4*Streams!$E$3/Streams!$E$15</f>
        <v>3</v>
      </c>
      <c r="CH7" s="10" t="n">
        <f aca="false">CH4*Streams!$E$3/Streams!$E$15</f>
        <v>3</v>
      </c>
      <c r="CI7" s="10" t="n">
        <f aca="false">CI4*Streams!$E$3/Streams!$E$15</f>
        <v>3</v>
      </c>
      <c r="CJ7" s="10" t="n">
        <f aca="false">CJ4*Streams!$E$3/Streams!$E$15</f>
        <v>3</v>
      </c>
      <c r="CK7" s="10" t="n">
        <f aca="false">CK4*Streams!$E$3/Streams!$E$15</f>
        <v>3</v>
      </c>
      <c r="CL7" s="10" t="n">
        <f aca="false">CL4*Streams!$E$3/Streams!$E$15</f>
        <v>3</v>
      </c>
      <c r="CM7" s="10" t="n">
        <f aca="false">CM4*Streams!$E$3/Streams!$E$15</f>
        <v>3</v>
      </c>
      <c r="CN7" s="10" t="n">
        <f aca="false">CN4*Streams!$E$3/Streams!$E$15</f>
        <v>3</v>
      </c>
      <c r="CO7" s="10" t="n">
        <f aca="false">CO4*Streams!$E$3/Streams!$E$15</f>
        <v>3</v>
      </c>
      <c r="CP7" s="10" t="n">
        <f aca="false">CP4*Streams!$E$3/Streams!$E$15</f>
        <v>3</v>
      </c>
      <c r="CQ7" s="10" t="n">
        <f aca="false">CQ4*Streams!$E$3/Streams!$E$15</f>
        <v>3</v>
      </c>
      <c r="CR7" s="10" t="n">
        <f aca="false">CR4*Streams!$E$3/Streams!$E$15</f>
        <v>3</v>
      </c>
      <c r="CS7" s="10" t="n">
        <f aca="false">CS4*Streams!$E$3/Streams!$E$15</f>
        <v>3</v>
      </c>
      <c r="CT7" s="10" t="n">
        <f aca="false">CT4*Streams!$E$3/Streams!$E$15</f>
        <v>3</v>
      </c>
      <c r="CU7" s="10" t="n">
        <f aca="false">CU4*Streams!$E$3/Streams!$E$15</f>
        <v>3</v>
      </c>
      <c r="CV7" s="10" t="n">
        <f aca="false">CV4*Streams!$E$3/Streams!$E$15</f>
        <v>3</v>
      </c>
      <c r="CW7" s="10" t="n">
        <f aca="false">CW4*Streams!$E$3/Streams!$E$15</f>
        <v>3</v>
      </c>
      <c r="CX7" s="10" t="n">
        <f aca="false">CX4*Streams!$E$3/Streams!$E$15</f>
        <v>3</v>
      </c>
      <c r="CY7" s="10" t="n">
        <f aca="false">CY4*Streams!$E$3/Streams!$E$15</f>
        <v>3</v>
      </c>
      <c r="CZ7" s="10" t="n">
        <f aca="false">CZ4*Streams!$E$3/Streams!$E$15</f>
        <v>3</v>
      </c>
      <c r="DA7" s="10" t="n">
        <f aca="false">DA4*Streams!$E$3/Streams!$E$15</f>
        <v>3</v>
      </c>
      <c r="DB7" s="10" t="n">
        <f aca="false">DB4*Streams!$E$3/Streams!$E$15</f>
        <v>3</v>
      </c>
      <c r="DC7" s="10" t="n">
        <f aca="false">DC4*Streams!$E$3/Streams!$E$15</f>
        <v>3</v>
      </c>
      <c r="DD7" s="10" t="n">
        <f aca="false">DD4*Streams!$E$3/Streams!$E$15</f>
        <v>3</v>
      </c>
      <c r="DE7" s="10" t="n">
        <f aca="false">DE4*Streams!$E$3/Streams!$E$15</f>
        <v>3</v>
      </c>
      <c r="DF7" s="10" t="n">
        <f aca="false">DF4*Streams!$E$3/Streams!$E$15</f>
        <v>3</v>
      </c>
      <c r="DG7" s="10" t="n">
        <f aca="false">DG4*Streams!$E$3/Streams!$E$15</f>
        <v>3</v>
      </c>
      <c r="DH7" s="10" t="n">
        <f aca="false">DH4*Streams!$E$3/Streams!$E$15</f>
        <v>3</v>
      </c>
      <c r="DI7" s="10" t="n">
        <f aca="false">DI4*Streams!$E$3/Streams!$E$15</f>
        <v>3</v>
      </c>
      <c r="DJ7" s="10" t="n">
        <f aca="false">DJ4*Streams!$E$3/Streams!$E$15</f>
        <v>3</v>
      </c>
      <c r="DK7" s="10" t="n">
        <f aca="false">DK4*Streams!$E$3/Streams!$E$15</f>
        <v>3</v>
      </c>
      <c r="DL7" s="10" t="n">
        <f aca="false">DL4*Streams!$E$3/Streams!$E$15</f>
        <v>3</v>
      </c>
      <c r="DM7" s="10" t="n">
        <f aca="false">DM4*Streams!$E$3/Streams!$E$15</f>
        <v>3</v>
      </c>
      <c r="DN7" s="10" t="n">
        <f aca="false">DN4*Streams!$E$3/Streams!$E$15</f>
        <v>3</v>
      </c>
      <c r="DO7" s="10" t="n">
        <f aca="false">DO4*Streams!$E$3/Streams!$E$15</f>
        <v>3</v>
      </c>
      <c r="DP7" s="10" t="n">
        <f aca="false">DP4*Streams!$E$3/Streams!$E$15</f>
        <v>3</v>
      </c>
      <c r="DQ7" s="10" t="n">
        <f aca="false">DQ4*Streams!$E$3/Streams!$E$15</f>
        <v>3</v>
      </c>
      <c r="DR7" s="10" t="n">
        <f aca="false">DR4*Streams!$E$3/Streams!$E$15</f>
        <v>3</v>
      </c>
    </row>
    <row r="8" customFormat="false" ht="15" hidden="false" customHeight="false" outlineLevel="0" collapsed="false">
      <c r="A8" s="9" t="s">
        <v>177</v>
      </c>
      <c r="B8" s="10" t="n">
        <f aca="false">B4*Streams!$E$4/Streams!$E$15</f>
        <v>0</v>
      </c>
      <c r="C8" s="10" t="n">
        <f aca="false">C4*Streams!$E$4/Streams!$E$15</f>
        <v>1</v>
      </c>
      <c r="D8" s="10" t="n">
        <f aca="false">D4*Streams!$E$4/Streams!$E$15</f>
        <v>1</v>
      </c>
      <c r="E8" s="10" t="n">
        <f aca="false">E4*Streams!$E$4/Streams!$E$15</f>
        <v>1</v>
      </c>
      <c r="F8" s="10" t="n">
        <f aca="false">F4*Streams!$E$4/Streams!$E$15</f>
        <v>1</v>
      </c>
      <c r="G8" s="10" t="n">
        <f aca="false">G4*Streams!$E$4/Streams!$E$15</f>
        <v>1</v>
      </c>
      <c r="H8" s="10" t="n">
        <f aca="false">H4*Streams!$E$4/Streams!$E$15</f>
        <v>1</v>
      </c>
      <c r="I8" s="10" t="n">
        <f aca="false">I4*Streams!$E$4/Streams!$E$15</f>
        <v>1</v>
      </c>
      <c r="J8" s="10" t="n">
        <f aca="false">J4*Streams!$E$4/Streams!$E$15</f>
        <v>1</v>
      </c>
      <c r="K8" s="10" t="n">
        <f aca="false">K4*Streams!$E$4/Streams!$E$15</f>
        <v>1</v>
      </c>
      <c r="L8" s="10" t="n">
        <f aca="false">L4*Streams!$E$4/Streams!$E$15</f>
        <v>1</v>
      </c>
      <c r="M8" s="10" t="n">
        <f aca="false">M4*Streams!$E$4/Streams!$E$15</f>
        <v>1</v>
      </c>
      <c r="N8" s="10" t="n">
        <f aca="false">N4*Streams!$E$4/Streams!$E$15</f>
        <v>1</v>
      </c>
      <c r="O8" s="10" t="n">
        <f aca="false">O4*Streams!$E$4/Streams!$E$15</f>
        <v>1</v>
      </c>
      <c r="P8" s="10" t="n">
        <f aca="false">P4*Streams!$E$4/Streams!$E$15</f>
        <v>1</v>
      </c>
      <c r="Q8" s="10" t="n">
        <f aca="false">Q4*Streams!$E$4/Streams!$E$15</f>
        <v>1</v>
      </c>
      <c r="R8" s="10" t="n">
        <f aca="false">R4*Streams!$E$4/Streams!$E$15</f>
        <v>1</v>
      </c>
      <c r="S8" s="10" t="n">
        <f aca="false">S4*Streams!$E$4/Streams!$E$15</f>
        <v>1</v>
      </c>
      <c r="T8" s="10" t="n">
        <f aca="false">T4*Streams!$E$4/Streams!$E$15</f>
        <v>1</v>
      </c>
      <c r="U8" s="10" t="n">
        <f aca="false">U4*Streams!$E$4/Streams!$E$15</f>
        <v>1</v>
      </c>
      <c r="V8" s="10" t="n">
        <f aca="false">V4*Streams!$E$4/Streams!$E$15</f>
        <v>1</v>
      </c>
      <c r="W8" s="10" t="n">
        <f aca="false">W4*Streams!$E$4/Streams!$E$15</f>
        <v>1</v>
      </c>
      <c r="X8" s="10" t="n">
        <f aca="false">X4*Streams!$E$4/Streams!$E$15</f>
        <v>1</v>
      </c>
      <c r="Y8" s="10" t="n">
        <f aca="false">Y4*Streams!$E$4/Streams!$E$15</f>
        <v>1</v>
      </c>
      <c r="Z8" s="10" t="n">
        <f aca="false">Z4*Streams!$E$4/Streams!$E$15</f>
        <v>1</v>
      </c>
      <c r="AA8" s="10" t="n">
        <f aca="false">AA4*Streams!$E$4/Streams!$E$15</f>
        <v>1</v>
      </c>
      <c r="AB8" s="10" t="n">
        <f aca="false">AB4*Streams!$E$4/Streams!$E$15</f>
        <v>1</v>
      </c>
      <c r="AC8" s="10" t="n">
        <f aca="false">AC4*Streams!$E$4/Streams!$E$15</f>
        <v>1</v>
      </c>
      <c r="AD8" s="10" t="n">
        <f aca="false">AD4*Streams!$E$4/Streams!$E$15</f>
        <v>1</v>
      </c>
      <c r="AE8" s="10" t="n">
        <f aca="false">AE4*Streams!$E$4/Streams!$E$15</f>
        <v>1</v>
      </c>
      <c r="AF8" s="10" t="n">
        <f aca="false">AF4*Streams!$E$4/Streams!$E$15</f>
        <v>1</v>
      </c>
      <c r="AG8" s="10" t="n">
        <f aca="false">AG4*Streams!$E$4/Streams!$E$15</f>
        <v>1</v>
      </c>
      <c r="AH8" s="10" t="n">
        <f aca="false">AH4*Streams!$E$4/Streams!$E$15</f>
        <v>1</v>
      </c>
      <c r="AI8" s="10" t="n">
        <f aca="false">AI4*Streams!$E$4/Streams!$E$15</f>
        <v>1</v>
      </c>
      <c r="AJ8" s="10" t="n">
        <f aca="false">AJ4*Streams!$E$4/Streams!$E$15</f>
        <v>1</v>
      </c>
      <c r="AK8" s="10" t="n">
        <f aca="false">AK4*Streams!$E$4/Streams!$E$15</f>
        <v>1</v>
      </c>
      <c r="AL8" s="10" t="n">
        <f aca="false">AL4*Streams!$E$4/Streams!$E$15</f>
        <v>1</v>
      </c>
      <c r="AM8" s="10" t="n">
        <f aca="false">AM4*Streams!$E$4/Streams!$E$15</f>
        <v>1</v>
      </c>
      <c r="AN8" s="10" t="n">
        <f aca="false">AN4*Streams!$E$4/Streams!$E$15</f>
        <v>1</v>
      </c>
      <c r="AO8" s="10" t="n">
        <f aca="false">AO4*Streams!$E$4/Streams!$E$15</f>
        <v>1</v>
      </c>
      <c r="AP8" s="10" t="n">
        <f aca="false">AP4*Streams!$E$4/Streams!$E$15</f>
        <v>1</v>
      </c>
      <c r="AQ8" s="10" t="n">
        <f aca="false">AQ4*Streams!$E$4/Streams!$E$15</f>
        <v>1</v>
      </c>
      <c r="AR8" s="10" t="n">
        <f aca="false">AR4*Streams!$E$4/Streams!$E$15</f>
        <v>1</v>
      </c>
      <c r="AS8" s="10" t="n">
        <f aca="false">AS4*Streams!$E$4/Streams!$E$15</f>
        <v>1</v>
      </c>
      <c r="AT8" s="10" t="n">
        <f aca="false">AT4*Streams!$E$4/Streams!$E$15</f>
        <v>1</v>
      </c>
      <c r="AU8" s="10" t="n">
        <f aca="false">AU4*Streams!$E$4/Streams!$E$15</f>
        <v>1</v>
      </c>
      <c r="AV8" s="10" t="n">
        <f aca="false">AV4*Streams!$E$4/Streams!$E$15</f>
        <v>1</v>
      </c>
      <c r="AW8" s="10" t="n">
        <f aca="false">AW4*Streams!$E$4/Streams!$E$15</f>
        <v>1</v>
      </c>
      <c r="AX8" s="10" t="n">
        <f aca="false">AX4*Streams!$E$4/Streams!$E$15</f>
        <v>1</v>
      </c>
      <c r="AY8" s="10" t="n">
        <f aca="false">AY4*Streams!$E$4/Streams!$E$15</f>
        <v>1</v>
      </c>
      <c r="AZ8" s="10" t="n">
        <f aca="false">AZ4*Streams!$E$4/Streams!$E$15</f>
        <v>1</v>
      </c>
      <c r="BA8" s="10" t="n">
        <f aca="false">BA4*Streams!$E$4/Streams!$E$15</f>
        <v>1</v>
      </c>
      <c r="BB8" s="10" t="n">
        <f aca="false">BB4*Streams!$E$4/Streams!$E$15</f>
        <v>1</v>
      </c>
      <c r="BC8" s="10" t="n">
        <f aca="false">BC4*Streams!$E$4/Streams!$E$15</f>
        <v>1</v>
      </c>
      <c r="BD8" s="10" t="n">
        <f aca="false">BD4*Streams!$E$4/Streams!$E$15</f>
        <v>1</v>
      </c>
      <c r="BE8" s="10" t="n">
        <f aca="false">BE4*Streams!$E$4/Streams!$E$15</f>
        <v>1</v>
      </c>
      <c r="BF8" s="10" t="n">
        <f aca="false">BF4*Streams!$E$4/Streams!$E$15</f>
        <v>1</v>
      </c>
      <c r="BG8" s="10" t="n">
        <f aca="false">BG4*Streams!$E$4/Streams!$E$15</f>
        <v>1</v>
      </c>
      <c r="BH8" s="10" t="n">
        <f aca="false">BH4*Streams!$E$4/Streams!$E$15</f>
        <v>1</v>
      </c>
      <c r="BI8" s="10" t="n">
        <f aca="false">BI4*Streams!$E$4/Streams!$E$15</f>
        <v>1</v>
      </c>
      <c r="BJ8" s="10" t="n">
        <f aca="false">BJ4*Streams!$E$4/Streams!$E$15</f>
        <v>1</v>
      </c>
      <c r="BK8" s="10" t="n">
        <f aca="false">BK4*Streams!$E$4/Streams!$E$15</f>
        <v>1</v>
      </c>
      <c r="BL8" s="10" t="n">
        <f aca="false">BL4*Streams!$E$4/Streams!$E$15</f>
        <v>1</v>
      </c>
      <c r="BM8" s="10" t="n">
        <f aca="false">BM4*Streams!$E$4/Streams!$E$15</f>
        <v>1</v>
      </c>
      <c r="BN8" s="10" t="n">
        <f aca="false">BN4*Streams!$E$4/Streams!$E$15</f>
        <v>1</v>
      </c>
      <c r="BO8" s="10" t="n">
        <f aca="false">BO4*Streams!$E$4/Streams!$E$15</f>
        <v>1</v>
      </c>
      <c r="BP8" s="10" t="n">
        <f aca="false">BP4*Streams!$E$4/Streams!$E$15</f>
        <v>1</v>
      </c>
      <c r="BQ8" s="10" t="n">
        <f aca="false">BQ4*Streams!$E$4/Streams!$E$15</f>
        <v>1</v>
      </c>
      <c r="BR8" s="10" t="n">
        <f aca="false">BR4*Streams!$E$4/Streams!$E$15</f>
        <v>1</v>
      </c>
      <c r="BS8" s="10" t="n">
        <f aca="false">BS4*Streams!$E$4/Streams!$E$15</f>
        <v>1</v>
      </c>
      <c r="BT8" s="10" t="n">
        <f aca="false">BT4*Streams!$E$4/Streams!$E$15</f>
        <v>1</v>
      </c>
      <c r="BU8" s="10" t="n">
        <f aca="false">BU4*Streams!$E$4/Streams!$E$15</f>
        <v>1</v>
      </c>
      <c r="BV8" s="10" t="n">
        <f aca="false">BV4*Streams!$E$4/Streams!$E$15</f>
        <v>1</v>
      </c>
      <c r="BW8" s="10" t="n">
        <f aca="false">BW4*Streams!$E$4/Streams!$E$15</f>
        <v>1</v>
      </c>
      <c r="BX8" s="10" t="n">
        <f aca="false">BX4*Streams!$E$4/Streams!$E$15</f>
        <v>1</v>
      </c>
      <c r="BY8" s="10" t="n">
        <f aca="false">BY4*Streams!$E$4/Streams!$E$15</f>
        <v>1</v>
      </c>
      <c r="BZ8" s="10" t="n">
        <f aca="false">BZ4*Streams!$E$4/Streams!$E$15</f>
        <v>1</v>
      </c>
      <c r="CA8" s="10" t="n">
        <f aca="false">CA4*Streams!$E$4/Streams!$E$15</f>
        <v>1</v>
      </c>
      <c r="CB8" s="10" t="n">
        <f aca="false">CB4*Streams!$E$4/Streams!$E$15</f>
        <v>1</v>
      </c>
      <c r="CC8" s="10" t="n">
        <f aca="false">CC4*Streams!$E$4/Streams!$E$15</f>
        <v>1</v>
      </c>
      <c r="CD8" s="10" t="n">
        <f aca="false">CD4*Streams!$E$4/Streams!$E$15</f>
        <v>1</v>
      </c>
      <c r="CE8" s="10" t="n">
        <f aca="false">CE4*Streams!$E$4/Streams!$E$15</f>
        <v>1</v>
      </c>
      <c r="CF8" s="10" t="n">
        <f aca="false">CF4*Streams!$E$4/Streams!$E$15</f>
        <v>1</v>
      </c>
      <c r="CG8" s="10" t="n">
        <f aca="false">CG4*Streams!$E$4/Streams!$E$15</f>
        <v>1</v>
      </c>
      <c r="CH8" s="10" t="n">
        <f aca="false">CH4*Streams!$E$4/Streams!$E$15</f>
        <v>1</v>
      </c>
      <c r="CI8" s="10" t="n">
        <f aca="false">CI4*Streams!$E$4/Streams!$E$15</f>
        <v>1</v>
      </c>
      <c r="CJ8" s="10" t="n">
        <f aca="false">CJ4*Streams!$E$4/Streams!$E$15</f>
        <v>1</v>
      </c>
      <c r="CK8" s="10" t="n">
        <f aca="false">CK4*Streams!$E$4/Streams!$E$15</f>
        <v>1</v>
      </c>
      <c r="CL8" s="10" t="n">
        <f aca="false">CL4*Streams!$E$4/Streams!$E$15</f>
        <v>1</v>
      </c>
      <c r="CM8" s="10" t="n">
        <f aca="false">CM4*Streams!$E$4/Streams!$E$15</f>
        <v>1</v>
      </c>
      <c r="CN8" s="10" t="n">
        <f aca="false">CN4*Streams!$E$4/Streams!$E$15</f>
        <v>1</v>
      </c>
      <c r="CO8" s="10" t="n">
        <f aca="false">CO4*Streams!$E$4/Streams!$E$15</f>
        <v>1</v>
      </c>
      <c r="CP8" s="10" t="n">
        <f aca="false">CP4*Streams!$E$4/Streams!$E$15</f>
        <v>1</v>
      </c>
      <c r="CQ8" s="10" t="n">
        <f aca="false">CQ4*Streams!$E$4/Streams!$E$15</f>
        <v>1</v>
      </c>
      <c r="CR8" s="10" t="n">
        <f aca="false">CR4*Streams!$E$4/Streams!$E$15</f>
        <v>1</v>
      </c>
      <c r="CS8" s="10" t="n">
        <f aca="false">CS4*Streams!$E$4/Streams!$E$15</f>
        <v>1</v>
      </c>
      <c r="CT8" s="10" t="n">
        <f aca="false">CT4*Streams!$E$4/Streams!$E$15</f>
        <v>1</v>
      </c>
      <c r="CU8" s="10" t="n">
        <f aca="false">CU4*Streams!$E$4/Streams!$E$15</f>
        <v>1</v>
      </c>
      <c r="CV8" s="10" t="n">
        <f aca="false">CV4*Streams!$E$4/Streams!$E$15</f>
        <v>1</v>
      </c>
      <c r="CW8" s="10" t="n">
        <f aca="false">CW4*Streams!$E$4/Streams!$E$15</f>
        <v>1</v>
      </c>
      <c r="CX8" s="10" t="n">
        <f aca="false">CX4*Streams!$E$4/Streams!$E$15</f>
        <v>1</v>
      </c>
      <c r="CY8" s="10" t="n">
        <f aca="false">CY4*Streams!$E$4/Streams!$E$15</f>
        <v>1</v>
      </c>
      <c r="CZ8" s="10" t="n">
        <f aca="false">CZ4*Streams!$E$4/Streams!$E$15</f>
        <v>1</v>
      </c>
      <c r="DA8" s="10" t="n">
        <f aca="false">DA4*Streams!$E$4/Streams!$E$15</f>
        <v>1</v>
      </c>
      <c r="DB8" s="10" t="n">
        <f aca="false">DB4*Streams!$E$4/Streams!$E$15</f>
        <v>1</v>
      </c>
      <c r="DC8" s="10" t="n">
        <f aca="false">DC4*Streams!$E$4/Streams!$E$15</f>
        <v>1</v>
      </c>
      <c r="DD8" s="10" t="n">
        <f aca="false">DD4*Streams!$E$4/Streams!$E$15</f>
        <v>1</v>
      </c>
      <c r="DE8" s="10" t="n">
        <f aca="false">DE4*Streams!$E$4/Streams!$E$15</f>
        <v>1</v>
      </c>
      <c r="DF8" s="10" t="n">
        <f aca="false">DF4*Streams!$E$4/Streams!$E$15</f>
        <v>1</v>
      </c>
      <c r="DG8" s="10" t="n">
        <f aca="false">DG4*Streams!$E$4/Streams!$E$15</f>
        <v>1</v>
      </c>
      <c r="DH8" s="10" t="n">
        <f aca="false">DH4*Streams!$E$4/Streams!$E$15</f>
        <v>1</v>
      </c>
      <c r="DI8" s="10" t="n">
        <f aca="false">DI4*Streams!$E$4/Streams!$E$15</f>
        <v>1</v>
      </c>
      <c r="DJ8" s="10" t="n">
        <f aca="false">DJ4*Streams!$E$4/Streams!$E$15</f>
        <v>1</v>
      </c>
      <c r="DK8" s="10" t="n">
        <f aca="false">DK4*Streams!$E$4/Streams!$E$15</f>
        <v>1</v>
      </c>
      <c r="DL8" s="10" t="n">
        <f aca="false">DL4*Streams!$E$4/Streams!$E$15</f>
        <v>1</v>
      </c>
      <c r="DM8" s="10" t="n">
        <f aca="false">DM4*Streams!$E$4/Streams!$E$15</f>
        <v>1</v>
      </c>
      <c r="DN8" s="10" t="n">
        <f aca="false">DN4*Streams!$E$4/Streams!$E$15</f>
        <v>1</v>
      </c>
      <c r="DO8" s="10" t="n">
        <f aca="false">DO4*Streams!$E$4/Streams!$E$15</f>
        <v>1</v>
      </c>
      <c r="DP8" s="10" t="n">
        <f aca="false">DP4*Streams!$E$4/Streams!$E$15</f>
        <v>1</v>
      </c>
      <c r="DQ8" s="10" t="n">
        <f aca="false">DQ4*Streams!$E$4/Streams!$E$15</f>
        <v>1</v>
      </c>
      <c r="DR8" s="10" t="n">
        <f aca="false">DR4*Streams!$E$4/Streams!$E$15</f>
        <v>1</v>
      </c>
    </row>
    <row r="9" customFormat="false" ht="15" hidden="false" customHeight="false" outlineLevel="0" collapsed="false">
      <c r="A9" s="9" t="s">
        <v>178</v>
      </c>
      <c r="B9" s="10" t="n">
        <f aca="false">B4*Streams!$E$5/Streams!$E$15</f>
        <v>0</v>
      </c>
      <c r="C9" s="10" t="n">
        <f aca="false">C4*Streams!$E$5/Streams!$E$15</f>
        <v>4.5</v>
      </c>
      <c r="D9" s="10" t="n">
        <f aca="false">D4*Streams!$E$5/Streams!$E$15</f>
        <v>4.5</v>
      </c>
      <c r="E9" s="10" t="n">
        <f aca="false">E4*Streams!$E$5/Streams!$E$15</f>
        <v>4.5</v>
      </c>
      <c r="F9" s="10" t="n">
        <f aca="false">F4*Streams!$E$5/Streams!$E$15</f>
        <v>4.5</v>
      </c>
      <c r="G9" s="10" t="n">
        <f aca="false">G4*Streams!$E$5/Streams!$E$15</f>
        <v>4.5</v>
      </c>
      <c r="H9" s="10" t="n">
        <f aca="false">H4*Streams!$E$5/Streams!$E$15</f>
        <v>4.5</v>
      </c>
      <c r="I9" s="10" t="n">
        <f aca="false">I4*Streams!$E$5/Streams!$E$15</f>
        <v>4.5</v>
      </c>
      <c r="J9" s="10" t="n">
        <f aca="false">J4*Streams!$E$5/Streams!$E$15</f>
        <v>4.5</v>
      </c>
      <c r="K9" s="10" t="n">
        <f aca="false">K4*Streams!$E$5/Streams!$E$15</f>
        <v>4.5</v>
      </c>
      <c r="L9" s="10" t="n">
        <f aca="false">L4*Streams!$E$5/Streams!$E$15</f>
        <v>4.5</v>
      </c>
      <c r="M9" s="10" t="n">
        <f aca="false">M4*Streams!$E$5/Streams!$E$15</f>
        <v>4.5</v>
      </c>
      <c r="N9" s="10" t="n">
        <f aca="false">N4*Streams!$E$5/Streams!$E$15</f>
        <v>4.5</v>
      </c>
      <c r="O9" s="10" t="n">
        <f aca="false">O4*Streams!$E$5/Streams!$E$15</f>
        <v>4.5</v>
      </c>
      <c r="P9" s="10" t="n">
        <f aca="false">P4*Streams!$E$5/Streams!$E$15</f>
        <v>4.5</v>
      </c>
      <c r="Q9" s="10" t="n">
        <f aca="false">Q4*Streams!$E$5/Streams!$E$15</f>
        <v>4.5</v>
      </c>
      <c r="R9" s="10" t="n">
        <f aca="false">R4*Streams!$E$5/Streams!$E$15</f>
        <v>4.5</v>
      </c>
      <c r="S9" s="10" t="n">
        <f aca="false">S4*Streams!$E$5/Streams!$E$15</f>
        <v>4.5</v>
      </c>
      <c r="T9" s="10" t="n">
        <f aca="false">T4*Streams!$E$5/Streams!$E$15</f>
        <v>4.5</v>
      </c>
      <c r="U9" s="10" t="n">
        <f aca="false">U4*Streams!$E$5/Streams!$E$15</f>
        <v>4.5</v>
      </c>
      <c r="V9" s="10" t="n">
        <f aca="false">V4*Streams!$E$5/Streams!$E$15</f>
        <v>4.5</v>
      </c>
      <c r="W9" s="10" t="n">
        <f aca="false">W4*Streams!$E$5/Streams!$E$15</f>
        <v>4.5</v>
      </c>
      <c r="X9" s="10" t="n">
        <f aca="false">X4*Streams!$E$5/Streams!$E$15</f>
        <v>4.5</v>
      </c>
      <c r="Y9" s="10" t="n">
        <f aca="false">Y4*Streams!$E$5/Streams!$E$15</f>
        <v>4.5</v>
      </c>
      <c r="Z9" s="10" t="n">
        <f aca="false">Z4*Streams!$E$5/Streams!$E$15</f>
        <v>4.5</v>
      </c>
      <c r="AA9" s="10" t="n">
        <f aca="false">AA4*Streams!$E$5/Streams!$E$15</f>
        <v>4.5</v>
      </c>
      <c r="AB9" s="10" t="n">
        <f aca="false">AB4*Streams!$E$5/Streams!$E$15</f>
        <v>4.5</v>
      </c>
      <c r="AC9" s="10" t="n">
        <f aca="false">AC4*Streams!$E$5/Streams!$E$15</f>
        <v>4.5</v>
      </c>
      <c r="AD9" s="10" t="n">
        <f aca="false">AD4*Streams!$E$5/Streams!$E$15</f>
        <v>4.5</v>
      </c>
      <c r="AE9" s="10" t="n">
        <f aca="false">AE4*Streams!$E$5/Streams!$E$15</f>
        <v>4.5</v>
      </c>
      <c r="AF9" s="10" t="n">
        <f aca="false">AF4*Streams!$E$5/Streams!$E$15</f>
        <v>4.5</v>
      </c>
      <c r="AG9" s="10" t="n">
        <f aca="false">AG4*Streams!$E$5/Streams!$E$15</f>
        <v>4.5</v>
      </c>
      <c r="AH9" s="10" t="n">
        <f aca="false">AH4*Streams!$E$5/Streams!$E$15</f>
        <v>4.5</v>
      </c>
      <c r="AI9" s="10" t="n">
        <f aca="false">AI4*Streams!$E$5/Streams!$E$15</f>
        <v>4.5</v>
      </c>
      <c r="AJ9" s="10" t="n">
        <f aca="false">AJ4*Streams!$E$5/Streams!$E$15</f>
        <v>4.5</v>
      </c>
      <c r="AK9" s="10" t="n">
        <f aca="false">AK4*Streams!$E$5/Streams!$E$15</f>
        <v>4.5</v>
      </c>
      <c r="AL9" s="10" t="n">
        <f aca="false">AL4*Streams!$E$5/Streams!$E$15</f>
        <v>4.5</v>
      </c>
      <c r="AM9" s="10" t="n">
        <f aca="false">AM4*Streams!$E$5/Streams!$E$15</f>
        <v>4.5</v>
      </c>
      <c r="AN9" s="10" t="n">
        <f aca="false">AN4*Streams!$E$5/Streams!$E$15</f>
        <v>4.5</v>
      </c>
      <c r="AO9" s="10" t="n">
        <f aca="false">AO4*Streams!$E$5/Streams!$E$15</f>
        <v>4.5</v>
      </c>
      <c r="AP9" s="10" t="n">
        <f aca="false">AP4*Streams!$E$5/Streams!$E$15</f>
        <v>4.5</v>
      </c>
      <c r="AQ9" s="10" t="n">
        <f aca="false">AQ4*Streams!$E$5/Streams!$E$15</f>
        <v>4.5</v>
      </c>
      <c r="AR9" s="10" t="n">
        <f aca="false">AR4*Streams!$E$5/Streams!$E$15</f>
        <v>4.5</v>
      </c>
      <c r="AS9" s="10" t="n">
        <f aca="false">AS4*Streams!$E$5/Streams!$E$15</f>
        <v>4.5</v>
      </c>
      <c r="AT9" s="10" t="n">
        <f aca="false">AT4*Streams!$E$5/Streams!$E$15</f>
        <v>4.5</v>
      </c>
      <c r="AU9" s="10" t="n">
        <f aca="false">AU4*Streams!$E$5/Streams!$E$15</f>
        <v>4.5</v>
      </c>
      <c r="AV9" s="10" t="n">
        <f aca="false">AV4*Streams!$E$5/Streams!$E$15</f>
        <v>4.5</v>
      </c>
      <c r="AW9" s="10" t="n">
        <f aca="false">AW4*Streams!$E$5/Streams!$E$15</f>
        <v>4.5</v>
      </c>
      <c r="AX9" s="10" t="n">
        <f aca="false">AX4*Streams!$E$5/Streams!$E$15</f>
        <v>4.5</v>
      </c>
      <c r="AY9" s="10" t="n">
        <f aca="false">AY4*Streams!$E$5/Streams!$E$15</f>
        <v>4.5</v>
      </c>
      <c r="AZ9" s="10" t="n">
        <f aca="false">AZ4*Streams!$E$5/Streams!$E$15</f>
        <v>4.5</v>
      </c>
      <c r="BA9" s="10" t="n">
        <f aca="false">BA4*Streams!$E$5/Streams!$E$15</f>
        <v>4.5</v>
      </c>
      <c r="BB9" s="10" t="n">
        <f aca="false">BB4*Streams!$E$5/Streams!$E$15</f>
        <v>4.5</v>
      </c>
      <c r="BC9" s="10" t="n">
        <f aca="false">BC4*Streams!$E$5/Streams!$E$15</f>
        <v>4.5</v>
      </c>
      <c r="BD9" s="10" t="n">
        <f aca="false">BD4*Streams!$E$5/Streams!$E$15</f>
        <v>4.5</v>
      </c>
      <c r="BE9" s="10" t="n">
        <f aca="false">BE4*Streams!$E$5/Streams!$E$15</f>
        <v>4.5</v>
      </c>
      <c r="BF9" s="10" t="n">
        <f aca="false">BF4*Streams!$E$5/Streams!$E$15</f>
        <v>4.5</v>
      </c>
      <c r="BG9" s="10" t="n">
        <f aca="false">BG4*Streams!$E$5/Streams!$E$15</f>
        <v>4.5</v>
      </c>
      <c r="BH9" s="10" t="n">
        <f aca="false">BH4*Streams!$E$5/Streams!$E$15</f>
        <v>4.5</v>
      </c>
      <c r="BI9" s="10" t="n">
        <f aca="false">BI4*Streams!$E$5/Streams!$E$15</f>
        <v>4.5</v>
      </c>
      <c r="BJ9" s="10" t="n">
        <f aca="false">BJ4*Streams!$E$5/Streams!$E$15</f>
        <v>4.5</v>
      </c>
      <c r="BK9" s="10" t="n">
        <f aca="false">BK4*Streams!$E$5/Streams!$E$15</f>
        <v>4.5</v>
      </c>
      <c r="BL9" s="10" t="n">
        <f aca="false">BL4*Streams!$E$5/Streams!$E$15</f>
        <v>4.5</v>
      </c>
      <c r="BM9" s="10" t="n">
        <f aca="false">BM4*Streams!$E$5/Streams!$E$15</f>
        <v>4.5</v>
      </c>
      <c r="BN9" s="10" t="n">
        <f aca="false">BN4*Streams!$E$5/Streams!$E$15</f>
        <v>4.5</v>
      </c>
      <c r="BO9" s="10" t="n">
        <f aca="false">BO4*Streams!$E$5/Streams!$E$15</f>
        <v>4.5</v>
      </c>
      <c r="BP9" s="10" t="n">
        <f aca="false">BP4*Streams!$E$5/Streams!$E$15</f>
        <v>4.5</v>
      </c>
      <c r="BQ9" s="10" t="n">
        <f aca="false">BQ4*Streams!$E$5/Streams!$E$15</f>
        <v>4.5</v>
      </c>
      <c r="BR9" s="10" t="n">
        <f aca="false">BR4*Streams!$E$5/Streams!$E$15</f>
        <v>4.5</v>
      </c>
      <c r="BS9" s="10" t="n">
        <f aca="false">BS4*Streams!$E$5/Streams!$E$15</f>
        <v>4.5</v>
      </c>
      <c r="BT9" s="10" t="n">
        <f aca="false">BT4*Streams!$E$5/Streams!$E$15</f>
        <v>4.5</v>
      </c>
      <c r="BU9" s="10" t="n">
        <f aca="false">BU4*Streams!$E$5/Streams!$E$15</f>
        <v>4.5</v>
      </c>
      <c r="BV9" s="10" t="n">
        <f aca="false">BV4*Streams!$E$5/Streams!$E$15</f>
        <v>4.5</v>
      </c>
      <c r="BW9" s="10" t="n">
        <f aca="false">BW4*Streams!$E$5/Streams!$E$15</f>
        <v>4.5</v>
      </c>
      <c r="BX9" s="10" t="n">
        <f aca="false">BX4*Streams!$E$5/Streams!$E$15</f>
        <v>4.5</v>
      </c>
      <c r="BY9" s="10" t="n">
        <f aca="false">BY4*Streams!$E$5/Streams!$E$15</f>
        <v>4.5</v>
      </c>
      <c r="BZ9" s="10" t="n">
        <f aca="false">BZ4*Streams!$E$5/Streams!$E$15</f>
        <v>4.5</v>
      </c>
      <c r="CA9" s="10" t="n">
        <f aca="false">CA4*Streams!$E$5/Streams!$E$15</f>
        <v>4.5</v>
      </c>
      <c r="CB9" s="10" t="n">
        <f aca="false">CB4*Streams!$E$5/Streams!$E$15</f>
        <v>4.5</v>
      </c>
      <c r="CC9" s="10" t="n">
        <f aca="false">CC4*Streams!$E$5/Streams!$E$15</f>
        <v>4.5</v>
      </c>
      <c r="CD9" s="10" t="n">
        <f aca="false">CD4*Streams!$E$5/Streams!$E$15</f>
        <v>4.5</v>
      </c>
      <c r="CE9" s="10" t="n">
        <f aca="false">CE4*Streams!$E$5/Streams!$E$15</f>
        <v>4.5</v>
      </c>
      <c r="CF9" s="10" t="n">
        <f aca="false">CF4*Streams!$E$5/Streams!$E$15</f>
        <v>4.5</v>
      </c>
      <c r="CG9" s="10" t="n">
        <f aca="false">CG4*Streams!$E$5/Streams!$E$15</f>
        <v>4.5</v>
      </c>
      <c r="CH9" s="10" t="n">
        <f aca="false">CH4*Streams!$E$5/Streams!$E$15</f>
        <v>4.5</v>
      </c>
      <c r="CI9" s="10" t="n">
        <f aca="false">CI4*Streams!$E$5/Streams!$E$15</f>
        <v>4.5</v>
      </c>
      <c r="CJ9" s="10" t="n">
        <f aca="false">CJ4*Streams!$E$5/Streams!$E$15</f>
        <v>4.5</v>
      </c>
      <c r="CK9" s="10" t="n">
        <f aca="false">CK4*Streams!$E$5/Streams!$E$15</f>
        <v>4.5</v>
      </c>
      <c r="CL9" s="10" t="n">
        <f aca="false">CL4*Streams!$E$5/Streams!$E$15</f>
        <v>4.5</v>
      </c>
      <c r="CM9" s="10" t="n">
        <f aca="false">CM4*Streams!$E$5/Streams!$E$15</f>
        <v>4.5</v>
      </c>
      <c r="CN9" s="10" t="n">
        <f aca="false">CN4*Streams!$E$5/Streams!$E$15</f>
        <v>4.5</v>
      </c>
      <c r="CO9" s="10" t="n">
        <f aca="false">CO4*Streams!$E$5/Streams!$E$15</f>
        <v>4.5</v>
      </c>
      <c r="CP9" s="10" t="n">
        <f aca="false">CP4*Streams!$E$5/Streams!$E$15</f>
        <v>4.5</v>
      </c>
      <c r="CQ9" s="10" t="n">
        <f aca="false">CQ4*Streams!$E$5/Streams!$E$15</f>
        <v>4.5</v>
      </c>
      <c r="CR9" s="10" t="n">
        <f aca="false">CR4*Streams!$E$5/Streams!$E$15</f>
        <v>4.5</v>
      </c>
      <c r="CS9" s="10" t="n">
        <f aca="false">CS4*Streams!$E$5/Streams!$E$15</f>
        <v>4.5</v>
      </c>
      <c r="CT9" s="10" t="n">
        <f aca="false">CT4*Streams!$E$5/Streams!$E$15</f>
        <v>4.5</v>
      </c>
      <c r="CU9" s="10" t="n">
        <f aca="false">CU4*Streams!$E$5/Streams!$E$15</f>
        <v>4.5</v>
      </c>
      <c r="CV9" s="10" t="n">
        <f aca="false">CV4*Streams!$E$5/Streams!$E$15</f>
        <v>4.5</v>
      </c>
      <c r="CW9" s="10" t="n">
        <f aca="false">CW4*Streams!$E$5/Streams!$E$15</f>
        <v>4.5</v>
      </c>
      <c r="CX9" s="10" t="n">
        <f aca="false">CX4*Streams!$E$5/Streams!$E$15</f>
        <v>4.5</v>
      </c>
      <c r="CY9" s="10" t="n">
        <f aca="false">CY4*Streams!$E$5/Streams!$E$15</f>
        <v>4.5</v>
      </c>
      <c r="CZ9" s="10" t="n">
        <f aca="false">CZ4*Streams!$E$5/Streams!$E$15</f>
        <v>4.5</v>
      </c>
      <c r="DA9" s="10" t="n">
        <f aca="false">DA4*Streams!$E$5/Streams!$E$15</f>
        <v>4.5</v>
      </c>
      <c r="DB9" s="10" t="n">
        <f aca="false">DB4*Streams!$E$5/Streams!$E$15</f>
        <v>4.5</v>
      </c>
      <c r="DC9" s="10" t="n">
        <f aca="false">DC4*Streams!$E$5/Streams!$E$15</f>
        <v>4.5</v>
      </c>
      <c r="DD9" s="10" t="n">
        <f aca="false">DD4*Streams!$E$5/Streams!$E$15</f>
        <v>4.5</v>
      </c>
      <c r="DE9" s="10" t="n">
        <f aca="false">DE4*Streams!$E$5/Streams!$E$15</f>
        <v>4.5</v>
      </c>
      <c r="DF9" s="10" t="n">
        <f aca="false">DF4*Streams!$E$5/Streams!$E$15</f>
        <v>4.5</v>
      </c>
      <c r="DG9" s="10" t="n">
        <f aca="false">DG4*Streams!$E$5/Streams!$E$15</f>
        <v>4.5</v>
      </c>
      <c r="DH9" s="10" t="n">
        <f aca="false">DH4*Streams!$E$5/Streams!$E$15</f>
        <v>4.5</v>
      </c>
      <c r="DI9" s="10" t="n">
        <f aca="false">DI4*Streams!$E$5/Streams!$E$15</f>
        <v>4.5</v>
      </c>
      <c r="DJ9" s="10" t="n">
        <f aca="false">DJ4*Streams!$E$5/Streams!$E$15</f>
        <v>4.5</v>
      </c>
      <c r="DK9" s="10" t="n">
        <f aca="false">DK4*Streams!$E$5/Streams!$E$15</f>
        <v>4.5</v>
      </c>
      <c r="DL9" s="10" t="n">
        <f aca="false">DL4*Streams!$E$5/Streams!$E$15</f>
        <v>4.5</v>
      </c>
      <c r="DM9" s="10" t="n">
        <f aca="false">DM4*Streams!$E$5/Streams!$E$15</f>
        <v>4.5</v>
      </c>
      <c r="DN9" s="10" t="n">
        <f aca="false">DN4*Streams!$E$5/Streams!$E$15</f>
        <v>4.5</v>
      </c>
      <c r="DO9" s="10" t="n">
        <f aca="false">DO4*Streams!$E$5/Streams!$E$15</f>
        <v>4.5</v>
      </c>
      <c r="DP9" s="10" t="n">
        <f aca="false">DP4*Streams!$E$5/Streams!$E$15</f>
        <v>4.5</v>
      </c>
      <c r="DQ9" s="10" t="n">
        <f aca="false">DQ4*Streams!$E$5/Streams!$E$15</f>
        <v>4.5</v>
      </c>
      <c r="DR9" s="10" t="n">
        <f aca="false">DR4*Streams!$E$5/Streams!$E$15</f>
        <v>4.5</v>
      </c>
    </row>
    <row r="10" customFormat="false" ht="15" hidden="false" customHeight="false" outlineLevel="0" collapsed="false">
      <c r="A10" s="9" t="s">
        <v>179</v>
      </c>
      <c r="B10" s="10" t="n">
        <f aca="false">B4*Streams!$E$6/Streams!$E$15</f>
        <v>0</v>
      </c>
      <c r="C10" s="10" t="n">
        <f aca="false">C4*Streams!$E$6/Streams!$E$15</f>
        <v>1.5</v>
      </c>
      <c r="D10" s="10" t="n">
        <f aca="false">D4*Streams!$E$6/Streams!$E$15</f>
        <v>1.5</v>
      </c>
      <c r="E10" s="10" t="n">
        <f aca="false">E4*Streams!$E$6/Streams!$E$15</f>
        <v>1.5</v>
      </c>
      <c r="F10" s="10" t="n">
        <f aca="false">F4*Streams!$E$6/Streams!$E$15</f>
        <v>1.5</v>
      </c>
      <c r="G10" s="10" t="n">
        <f aca="false">G4*Streams!$E$6/Streams!$E$15</f>
        <v>1.5</v>
      </c>
      <c r="H10" s="10" t="n">
        <f aca="false">H4*Streams!$E$6/Streams!$E$15</f>
        <v>1.5</v>
      </c>
      <c r="I10" s="10" t="n">
        <f aca="false">I4*Streams!$E$6/Streams!$E$15</f>
        <v>1.5</v>
      </c>
      <c r="J10" s="10" t="n">
        <f aca="false">J4*Streams!$E$6/Streams!$E$15</f>
        <v>1.5</v>
      </c>
      <c r="K10" s="10" t="n">
        <f aca="false">K4*Streams!$E$6/Streams!$E$15</f>
        <v>1.5</v>
      </c>
      <c r="L10" s="10" t="n">
        <f aca="false">L4*Streams!$E$6/Streams!$E$15</f>
        <v>1.5</v>
      </c>
      <c r="M10" s="10" t="n">
        <f aca="false">M4*Streams!$E$6/Streams!$E$15</f>
        <v>1.5</v>
      </c>
      <c r="N10" s="10" t="n">
        <f aca="false">N4*Streams!$E$6/Streams!$E$15</f>
        <v>1.5</v>
      </c>
      <c r="O10" s="10" t="n">
        <f aca="false">O4*Streams!$E$6/Streams!$E$15</f>
        <v>1.5</v>
      </c>
      <c r="P10" s="10" t="n">
        <f aca="false">P4*Streams!$E$6/Streams!$E$15</f>
        <v>1.5</v>
      </c>
      <c r="Q10" s="10" t="n">
        <f aca="false">Q4*Streams!$E$6/Streams!$E$15</f>
        <v>1.5</v>
      </c>
      <c r="R10" s="10" t="n">
        <f aca="false">R4*Streams!$E$6/Streams!$E$15</f>
        <v>1.5</v>
      </c>
      <c r="S10" s="10" t="n">
        <f aca="false">S4*Streams!$E$6/Streams!$E$15</f>
        <v>1.5</v>
      </c>
      <c r="T10" s="10" t="n">
        <f aca="false">T4*Streams!$E$6/Streams!$E$15</f>
        <v>1.5</v>
      </c>
      <c r="U10" s="10" t="n">
        <f aca="false">U4*Streams!$E$6/Streams!$E$15</f>
        <v>1.5</v>
      </c>
      <c r="V10" s="10" t="n">
        <f aca="false">V4*Streams!$E$6/Streams!$E$15</f>
        <v>1.5</v>
      </c>
      <c r="W10" s="10" t="n">
        <f aca="false">W4*Streams!$E$6/Streams!$E$15</f>
        <v>1.5</v>
      </c>
      <c r="X10" s="10" t="n">
        <f aca="false">X4*Streams!$E$6/Streams!$E$15</f>
        <v>1.5</v>
      </c>
      <c r="Y10" s="10" t="n">
        <f aca="false">Y4*Streams!$E$6/Streams!$E$15</f>
        <v>1.5</v>
      </c>
      <c r="Z10" s="10" t="n">
        <f aca="false">Z4*Streams!$E$6/Streams!$E$15</f>
        <v>1.5</v>
      </c>
      <c r="AA10" s="10" t="n">
        <f aca="false">AA4*Streams!$E$6/Streams!$E$15</f>
        <v>1.5</v>
      </c>
      <c r="AB10" s="10" t="n">
        <f aca="false">AB4*Streams!$E$6/Streams!$E$15</f>
        <v>1.5</v>
      </c>
      <c r="AC10" s="10" t="n">
        <f aca="false">AC4*Streams!$E$6/Streams!$E$15</f>
        <v>1.5</v>
      </c>
      <c r="AD10" s="10" t="n">
        <f aca="false">AD4*Streams!$E$6/Streams!$E$15</f>
        <v>1.5</v>
      </c>
      <c r="AE10" s="10" t="n">
        <f aca="false">AE4*Streams!$E$6/Streams!$E$15</f>
        <v>1.5</v>
      </c>
      <c r="AF10" s="10" t="n">
        <f aca="false">AF4*Streams!$E$6/Streams!$E$15</f>
        <v>1.5</v>
      </c>
      <c r="AG10" s="10" t="n">
        <f aca="false">AG4*Streams!$E$6/Streams!$E$15</f>
        <v>1.5</v>
      </c>
      <c r="AH10" s="10" t="n">
        <f aca="false">AH4*Streams!$E$6/Streams!$E$15</f>
        <v>1.5</v>
      </c>
      <c r="AI10" s="10" t="n">
        <f aca="false">AI4*Streams!$E$6/Streams!$E$15</f>
        <v>1.5</v>
      </c>
      <c r="AJ10" s="10" t="n">
        <f aca="false">AJ4*Streams!$E$6/Streams!$E$15</f>
        <v>1.5</v>
      </c>
      <c r="AK10" s="10" t="n">
        <f aca="false">AK4*Streams!$E$6/Streams!$E$15</f>
        <v>1.5</v>
      </c>
      <c r="AL10" s="10" t="n">
        <f aca="false">AL4*Streams!$E$6/Streams!$E$15</f>
        <v>1.5</v>
      </c>
      <c r="AM10" s="10" t="n">
        <f aca="false">AM4*Streams!$E$6/Streams!$E$15</f>
        <v>1.5</v>
      </c>
      <c r="AN10" s="10" t="n">
        <f aca="false">AN4*Streams!$E$6/Streams!$E$15</f>
        <v>1.5</v>
      </c>
      <c r="AO10" s="10" t="n">
        <f aca="false">AO4*Streams!$E$6/Streams!$E$15</f>
        <v>1.5</v>
      </c>
      <c r="AP10" s="10" t="n">
        <f aca="false">AP4*Streams!$E$6/Streams!$E$15</f>
        <v>1.5</v>
      </c>
      <c r="AQ10" s="10" t="n">
        <f aca="false">AQ4*Streams!$E$6/Streams!$E$15</f>
        <v>1.5</v>
      </c>
      <c r="AR10" s="10" t="n">
        <f aca="false">AR4*Streams!$E$6/Streams!$E$15</f>
        <v>1.5</v>
      </c>
      <c r="AS10" s="10" t="n">
        <f aca="false">AS4*Streams!$E$6/Streams!$E$15</f>
        <v>1.5</v>
      </c>
      <c r="AT10" s="10" t="n">
        <f aca="false">AT4*Streams!$E$6/Streams!$E$15</f>
        <v>1.5</v>
      </c>
      <c r="AU10" s="10" t="n">
        <f aca="false">AU4*Streams!$E$6/Streams!$E$15</f>
        <v>1.5</v>
      </c>
      <c r="AV10" s="10" t="n">
        <f aca="false">AV4*Streams!$E$6/Streams!$E$15</f>
        <v>1.5</v>
      </c>
      <c r="AW10" s="10" t="n">
        <f aca="false">AW4*Streams!$E$6/Streams!$E$15</f>
        <v>1.5</v>
      </c>
      <c r="AX10" s="10" t="n">
        <f aca="false">AX4*Streams!$E$6/Streams!$E$15</f>
        <v>1.5</v>
      </c>
      <c r="AY10" s="10" t="n">
        <f aca="false">AY4*Streams!$E$6/Streams!$E$15</f>
        <v>1.5</v>
      </c>
      <c r="AZ10" s="10" t="n">
        <f aca="false">AZ4*Streams!$E$6/Streams!$E$15</f>
        <v>1.5</v>
      </c>
      <c r="BA10" s="10" t="n">
        <f aca="false">BA4*Streams!$E$6/Streams!$E$15</f>
        <v>1.5</v>
      </c>
      <c r="BB10" s="10" t="n">
        <f aca="false">BB4*Streams!$E$6/Streams!$E$15</f>
        <v>1.5</v>
      </c>
      <c r="BC10" s="10" t="n">
        <f aca="false">BC4*Streams!$E$6/Streams!$E$15</f>
        <v>1.5</v>
      </c>
      <c r="BD10" s="10" t="n">
        <f aca="false">BD4*Streams!$E$6/Streams!$E$15</f>
        <v>1.5</v>
      </c>
      <c r="BE10" s="10" t="n">
        <f aca="false">BE4*Streams!$E$6/Streams!$E$15</f>
        <v>1.5</v>
      </c>
      <c r="BF10" s="10" t="n">
        <f aca="false">BF4*Streams!$E$6/Streams!$E$15</f>
        <v>1.5</v>
      </c>
      <c r="BG10" s="10" t="n">
        <f aca="false">BG4*Streams!$E$6/Streams!$E$15</f>
        <v>1.5</v>
      </c>
      <c r="BH10" s="10" t="n">
        <f aca="false">BH4*Streams!$E$6/Streams!$E$15</f>
        <v>1.5</v>
      </c>
      <c r="BI10" s="10" t="n">
        <f aca="false">BI4*Streams!$E$6/Streams!$E$15</f>
        <v>1.5</v>
      </c>
      <c r="BJ10" s="10" t="n">
        <f aca="false">BJ4*Streams!$E$6/Streams!$E$15</f>
        <v>1.5</v>
      </c>
      <c r="BK10" s="10" t="n">
        <f aca="false">BK4*Streams!$E$6/Streams!$E$15</f>
        <v>1.5</v>
      </c>
      <c r="BL10" s="10" t="n">
        <f aca="false">BL4*Streams!$E$6/Streams!$E$15</f>
        <v>1.5</v>
      </c>
      <c r="BM10" s="10" t="n">
        <f aca="false">BM4*Streams!$E$6/Streams!$E$15</f>
        <v>1.5</v>
      </c>
      <c r="BN10" s="10" t="n">
        <f aca="false">BN4*Streams!$E$6/Streams!$E$15</f>
        <v>1.5</v>
      </c>
      <c r="BO10" s="10" t="n">
        <f aca="false">BO4*Streams!$E$6/Streams!$E$15</f>
        <v>1.5</v>
      </c>
      <c r="BP10" s="10" t="n">
        <f aca="false">BP4*Streams!$E$6/Streams!$E$15</f>
        <v>1.5</v>
      </c>
      <c r="BQ10" s="10" t="n">
        <f aca="false">BQ4*Streams!$E$6/Streams!$E$15</f>
        <v>1.5</v>
      </c>
      <c r="BR10" s="10" t="n">
        <f aca="false">BR4*Streams!$E$6/Streams!$E$15</f>
        <v>1.5</v>
      </c>
      <c r="BS10" s="10" t="n">
        <f aca="false">BS4*Streams!$E$6/Streams!$E$15</f>
        <v>1.5</v>
      </c>
      <c r="BT10" s="10" t="n">
        <f aca="false">BT4*Streams!$E$6/Streams!$E$15</f>
        <v>1.5</v>
      </c>
      <c r="BU10" s="10" t="n">
        <f aca="false">BU4*Streams!$E$6/Streams!$E$15</f>
        <v>1.5</v>
      </c>
      <c r="BV10" s="10" t="n">
        <f aca="false">BV4*Streams!$E$6/Streams!$E$15</f>
        <v>1.5</v>
      </c>
      <c r="BW10" s="10" t="n">
        <f aca="false">BW4*Streams!$E$6/Streams!$E$15</f>
        <v>1.5</v>
      </c>
      <c r="BX10" s="10" t="n">
        <f aca="false">BX4*Streams!$E$6/Streams!$E$15</f>
        <v>1.5</v>
      </c>
      <c r="BY10" s="10" t="n">
        <f aca="false">BY4*Streams!$E$6/Streams!$E$15</f>
        <v>1.5</v>
      </c>
      <c r="BZ10" s="10" t="n">
        <f aca="false">BZ4*Streams!$E$6/Streams!$E$15</f>
        <v>1.5</v>
      </c>
      <c r="CA10" s="10" t="n">
        <f aca="false">CA4*Streams!$E$6/Streams!$E$15</f>
        <v>1.5</v>
      </c>
      <c r="CB10" s="10" t="n">
        <f aca="false">CB4*Streams!$E$6/Streams!$E$15</f>
        <v>1.5</v>
      </c>
      <c r="CC10" s="10" t="n">
        <f aca="false">CC4*Streams!$E$6/Streams!$E$15</f>
        <v>1.5</v>
      </c>
      <c r="CD10" s="10" t="n">
        <f aca="false">CD4*Streams!$E$6/Streams!$E$15</f>
        <v>1.5</v>
      </c>
      <c r="CE10" s="10" t="n">
        <f aca="false">CE4*Streams!$E$6/Streams!$E$15</f>
        <v>1.5</v>
      </c>
      <c r="CF10" s="10" t="n">
        <f aca="false">CF4*Streams!$E$6/Streams!$E$15</f>
        <v>1.5</v>
      </c>
      <c r="CG10" s="10" t="n">
        <f aca="false">CG4*Streams!$E$6/Streams!$E$15</f>
        <v>1.5</v>
      </c>
      <c r="CH10" s="10" t="n">
        <f aca="false">CH4*Streams!$E$6/Streams!$E$15</f>
        <v>1.5</v>
      </c>
      <c r="CI10" s="10" t="n">
        <f aca="false">CI4*Streams!$E$6/Streams!$E$15</f>
        <v>1.5</v>
      </c>
      <c r="CJ10" s="10" t="n">
        <f aca="false">CJ4*Streams!$E$6/Streams!$E$15</f>
        <v>1.5</v>
      </c>
      <c r="CK10" s="10" t="n">
        <f aca="false">CK4*Streams!$E$6/Streams!$E$15</f>
        <v>1.5</v>
      </c>
      <c r="CL10" s="10" t="n">
        <f aca="false">CL4*Streams!$E$6/Streams!$E$15</f>
        <v>1.5</v>
      </c>
      <c r="CM10" s="10" t="n">
        <f aca="false">CM4*Streams!$E$6/Streams!$E$15</f>
        <v>1.5</v>
      </c>
      <c r="CN10" s="10" t="n">
        <f aca="false">CN4*Streams!$E$6/Streams!$E$15</f>
        <v>1.5</v>
      </c>
      <c r="CO10" s="10" t="n">
        <f aca="false">CO4*Streams!$E$6/Streams!$E$15</f>
        <v>1.5</v>
      </c>
      <c r="CP10" s="10" t="n">
        <f aca="false">CP4*Streams!$E$6/Streams!$E$15</f>
        <v>1.5</v>
      </c>
      <c r="CQ10" s="10" t="n">
        <f aca="false">CQ4*Streams!$E$6/Streams!$E$15</f>
        <v>1.5</v>
      </c>
      <c r="CR10" s="10" t="n">
        <f aca="false">CR4*Streams!$E$6/Streams!$E$15</f>
        <v>1.5</v>
      </c>
      <c r="CS10" s="10" t="n">
        <f aca="false">CS4*Streams!$E$6/Streams!$E$15</f>
        <v>1.5</v>
      </c>
      <c r="CT10" s="10" t="n">
        <f aca="false">CT4*Streams!$E$6/Streams!$E$15</f>
        <v>1.5</v>
      </c>
      <c r="CU10" s="10" t="n">
        <f aca="false">CU4*Streams!$E$6/Streams!$E$15</f>
        <v>1.5</v>
      </c>
      <c r="CV10" s="10" t="n">
        <f aca="false">CV4*Streams!$E$6/Streams!$E$15</f>
        <v>1.5</v>
      </c>
      <c r="CW10" s="10" t="n">
        <f aca="false">CW4*Streams!$E$6/Streams!$E$15</f>
        <v>1.5</v>
      </c>
      <c r="CX10" s="10" t="n">
        <f aca="false">CX4*Streams!$E$6/Streams!$E$15</f>
        <v>1.5</v>
      </c>
      <c r="CY10" s="10" t="n">
        <f aca="false">CY4*Streams!$E$6/Streams!$E$15</f>
        <v>1.5</v>
      </c>
      <c r="CZ10" s="10" t="n">
        <f aca="false">CZ4*Streams!$E$6/Streams!$E$15</f>
        <v>1.5</v>
      </c>
      <c r="DA10" s="10" t="n">
        <f aca="false">DA4*Streams!$E$6/Streams!$E$15</f>
        <v>1.5</v>
      </c>
      <c r="DB10" s="10" t="n">
        <f aca="false">DB4*Streams!$E$6/Streams!$E$15</f>
        <v>1.5</v>
      </c>
      <c r="DC10" s="10" t="n">
        <f aca="false">DC4*Streams!$E$6/Streams!$E$15</f>
        <v>1.5</v>
      </c>
      <c r="DD10" s="10" t="n">
        <f aca="false">DD4*Streams!$E$6/Streams!$E$15</f>
        <v>1.5</v>
      </c>
      <c r="DE10" s="10" t="n">
        <f aca="false">DE4*Streams!$E$6/Streams!$E$15</f>
        <v>1.5</v>
      </c>
      <c r="DF10" s="10" t="n">
        <f aca="false">DF4*Streams!$E$6/Streams!$E$15</f>
        <v>1.5</v>
      </c>
      <c r="DG10" s="10" t="n">
        <f aca="false">DG4*Streams!$E$6/Streams!$E$15</f>
        <v>1.5</v>
      </c>
      <c r="DH10" s="10" t="n">
        <f aca="false">DH4*Streams!$E$6/Streams!$E$15</f>
        <v>1.5</v>
      </c>
      <c r="DI10" s="10" t="n">
        <f aca="false">DI4*Streams!$E$6/Streams!$E$15</f>
        <v>1.5</v>
      </c>
      <c r="DJ10" s="10" t="n">
        <f aca="false">DJ4*Streams!$E$6/Streams!$E$15</f>
        <v>1.5</v>
      </c>
      <c r="DK10" s="10" t="n">
        <f aca="false">DK4*Streams!$E$6/Streams!$E$15</f>
        <v>1.5</v>
      </c>
      <c r="DL10" s="10" t="n">
        <f aca="false">DL4*Streams!$E$6/Streams!$E$15</f>
        <v>1.5</v>
      </c>
      <c r="DM10" s="10" t="n">
        <f aca="false">DM4*Streams!$E$6/Streams!$E$15</f>
        <v>1.5</v>
      </c>
      <c r="DN10" s="10" t="n">
        <f aca="false">DN4*Streams!$E$6/Streams!$E$15</f>
        <v>1.5</v>
      </c>
      <c r="DO10" s="10" t="n">
        <f aca="false">DO4*Streams!$E$6/Streams!$E$15</f>
        <v>1.5</v>
      </c>
      <c r="DP10" s="10" t="n">
        <f aca="false">DP4*Streams!$E$6/Streams!$E$15</f>
        <v>1.5</v>
      </c>
      <c r="DQ10" s="10" t="n">
        <f aca="false">DQ4*Streams!$E$6/Streams!$E$15</f>
        <v>1.5</v>
      </c>
      <c r="DR10" s="10" t="n">
        <f aca="false">DR4*Streams!$E$6/Streams!$E$15</f>
        <v>1.5</v>
      </c>
    </row>
    <row r="11" customFormat="false" ht="15" hidden="false" customHeight="false" outlineLevel="0" collapsed="false">
      <c r="A11" s="9" t="s">
        <v>180</v>
      </c>
      <c r="B11" s="10" t="n">
        <f aca="false">B4*Streams!$E$7/Streams!$E$15</f>
        <v>0</v>
      </c>
      <c r="C11" s="10" t="n">
        <f aca="false">C4*Streams!$E$7/Streams!$E$15</f>
        <v>5</v>
      </c>
      <c r="D11" s="10" t="n">
        <f aca="false">D4*Streams!$E$7/Streams!$E$15</f>
        <v>5</v>
      </c>
      <c r="E11" s="10" t="n">
        <f aca="false">E4*Streams!$E$7/Streams!$E$15</f>
        <v>5</v>
      </c>
      <c r="F11" s="10" t="n">
        <f aca="false">F4*Streams!$E$7/Streams!$E$15</f>
        <v>5</v>
      </c>
      <c r="G11" s="10" t="n">
        <f aca="false">G4*Streams!$E$7/Streams!$E$15</f>
        <v>5</v>
      </c>
      <c r="H11" s="10" t="n">
        <f aca="false">H4*Streams!$E$7/Streams!$E$15</f>
        <v>5</v>
      </c>
      <c r="I11" s="10" t="n">
        <f aca="false">I4*Streams!$E$7/Streams!$E$15</f>
        <v>5</v>
      </c>
      <c r="J11" s="10" t="n">
        <f aca="false">J4*Streams!$E$7/Streams!$E$15</f>
        <v>5</v>
      </c>
      <c r="K11" s="10" t="n">
        <f aca="false">K4*Streams!$E$7/Streams!$E$15</f>
        <v>5</v>
      </c>
      <c r="L11" s="10" t="n">
        <f aca="false">L4*Streams!$E$7/Streams!$E$15</f>
        <v>5</v>
      </c>
      <c r="M11" s="10" t="n">
        <f aca="false">M4*Streams!$E$7/Streams!$E$15</f>
        <v>5</v>
      </c>
      <c r="N11" s="10" t="n">
        <f aca="false">N4*Streams!$E$7/Streams!$E$15</f>
        <v>5</v>
      </c>
      <c r="O11" s="10" t="n">
        <f aca="false">O4*Streams!$E$7/Streams!$E$15</f>
        <v>5</v>
      </c>
      <c r="P11" s="10" t="n">
        <f aca="false">P4*Streams!$E$7/Streams!$E$15</f>
        <v>5</v>
      </c>
      <c r="Q11" s="10" t="n">
        <f aca="false">Q4*Streams!$E$7/Streams!$E$15</f>
        <v>5</v>
      </c>
      <c r="R11" s="10" t="n">
        <f aca="false">R4*Streams!$E$7/Streams!$E$15</f>
        <v>5</v>
      </c>
      <c r="S11" s="10" t="n">
        <f aca="false">S4*Streams!$E$7/Streams!$E$15</f>
        <v>5</v>
      </c>
      <c r="T11" s="10" t="n">
        <f aca="false">T4*Streams!$E$7/Streams!$E$15</f>
        <v>5</v>
      </c>
      <c r="U11" s="10" t="n">
        <f aca="false">U4*Streams!$E$7/Streams!$E$15</f>
        <v>5</v>
      </c>
      <c r="V11" s="10" t="n">
        <f aca="false">V4*Streams!$E$7/Streams!$E$15</f>
        <v>5</v>
      </c>
      <c r="W11" s="10" t="n">
        <f aca="false">W4*Streams!$E$7/Streams!$E$15</f>
        <v>5</v>
      </c>
      <c r="X11" s="10" t="n">
        <f aca="false">X4*Streams!$E$7/Streams!$E$15</f>
        <v>5</v>
      </c>
      <c r="Y11" s="10" t="n">
        <f aca="false">Y4*Streams!$E$7/Streams!$E$15</f>
        <v>5</v>
      </c>
      <c r="Z11" s="10" t="n">
        <f aca="false">Z4*Streams!$E$7/Streams!$E$15</f>
        <v>5</v>
      </c>
      <c r="AA11" s="10" t="n">
        <f aca="false">AA4*Streams!$E$7/Streams!$E$15</f>
        <v>5</v>
      </c>
      <c r="AB11" s="10" t="n">
        <f aca="false">AB4*Streams!$E$7/Streams!$E$15</f>
        <v>5</v>
      </c>
      <c r="AC11" s="10" t="n">
        <f aca="false">AC4*Streams!$E$7/Streams!$E$15</f>
        <v>5</v>
      </c>
      <c r="AD11" s="10" t="n">
        <f aca="false">AD4*Streams!$E$7/Streams!$E$15</f>
        <v>5</v>
      </c>
      <c r="AE11" s="10" t="n">
        <f aca="false">AE4*Streams!$E$7/Streams!$E$15</f>
        <v>5</v>
      </c>
      <c r="AF11" s="10" t="n">
        <f aca="false">AF4*Streams!$E$7/Streams!$E$15</f>
        <v>5</v>
      </c>
      <c r="AG11" s="10" t="n">
        <f aca="false">AG4*Streams!$E$7/Streams!$E$15</f>
        <v>5</v>
      </c>
      <c r="AH11" s="10" t="n">
        <f aca="false">AH4*Streams!$E$7/Streams!$E$15</f>
        <v>5</v>
      </c>
      <c r="AI11" s="10" t="n">
        <f aca="false">AI4*Streams!$E$7/Streams!$E$15</f>
        <v>5</v>
      </c>
      <c r="AJ11" s="10" t="n">
        <f aca="false">AJ4*Streams!$E$7/Streams!$E$15</f>
        <v>5</v>
      </c>
      <c r="AK11" s="10" t="n">
        <f aca="false">AK4*Streams!$E$7/Streams!$E$15</f>
        <v>5</v>
      </c>
      <c r="AL11" s="10" t="n">
        <f aca="false">AL4*Streams!$E$7/Streams!$E$15</f>
        <v>5</v>
      </c>
      <c r="AM11" s="10" t="n">
        <f aca="false">AM4*Streams!$E$7/Streams!$E$15</f>
        <v>5</v>
      </c>
      <c r="AN11" s="10" t="n">
        <f aca="false">AN4*Streams!$E$7/Streams!$E$15</f>
        <v>5</v>
      </c>
      <c r="AO11" s="10" t="n">
        <f aca="false">AO4*Streams!$E$7/Streams!$E$15</f>
        <v>5</v>
      </c>
      <c r="AP11" s="10" t="n">
        <f aca="false">AP4*Streams!$E$7/Streams!$E$15</f>
        <v>5</v>
      </c>
      <c r="AQ11" s="10" t="n">
        <f aca="false">AQ4*Streams!$E$7/Streams!$E$15</f>
        <v>5</v>
      </c>
      <c r="AR11" s="10" t="n">
        <f aca="false">AR4*Streams!$E$7/Streams!$E$15</f>
        <v>5</v>
      </c>
      <c r="AS11" s="10" t="n">
        <f aca="false">AS4*Streams!$E$7/Streams!$E$15</f>
        <v>5</v>
      </c>
      <c r="AT11" s="10" t="n">
        <f aca="false">AT4*Streams!$E$7/Streams!$E$15</f>
        <v>5</v>
      </c>
      <c r="AU11" s="10" t="n">
        <f aca="false">AU4*Streams!$E$7/Streams!$E$15</f>
        <v>5</v>
      </c>
      <c r="AV11" s="10" t="n">
        <f aca="false">AV4*Streams!$E$7/Streams!$E$15</f>
        <v>5</v>
      </c>
      <c r="AW11" s="10" t="n">
        <f aca="false">AW4*Streams!$E$7/Streams!$E$15</f>
        <v>5</v>
      </c>
      <c r="AX11" s="10" t="n">
        <f aca="false">AX4*Streams!$E$7/Streams!$E$15</f>
        <v>5</v>
      </c>
      <c r="AY11" s="10" t="n">
        <f aca="false">AY4*Streams!$E$7/Streams!$E$15</f>
        <v>5</v>
      </c>
      <c r="AZ11" s="10" t="n">
        <f aca="false">AZ4*Streams!$E$7/Streams!$E$15</f>
        <v>5</v>
      </c>
      <c r="BA11" s="10" t="n">
        <f aca="false">BA4*Streams!$E$7/Streams!$E$15</f>
        <v>5</v>
      </c>
      <c r="BB11" s="10" t="n">
        <f aca="false">BB4*Streams!$E$7/Streams!$E$15</f>
        <v>5</v>
      </c>
      <c r="BC11" s="10" t="n">
        <f aca="false">BC4*Streams!$E$7/Streams!$E$15</f>
        <v>5</v>
      </c>
      <c r="BD11" s="10" t="n">
        <f aca="false">BD4*Streams!$E$7/Streams!$E$15</f>
        <v>5</v>
      </c>
      <c r="BE11" s="10" t="n">
        <f aca="false">BE4*Streams!$E$7/Streams!$E$15</f>
        <v>5</v>
      </c>
      <c r="BF11" s="10" t="n">
        <f aca="false">BF4*Streams!$E$7/Streams!$E$15</f>
        <v>5</v>
      </c>
      <c r="BG11" s="10" t="n">
        <f aca="false">BG4*Streams!$E$7/Streams!$E$15</f>
        <v>5</v>
      </c>
      <c r="BH11" s="10" t="n">
        <f aca="false">BH4*Streams!$E$7/Streams!$E$15</f>
        <v>5</v>
      </c>
      <c r="BI11" s="10" t="n">
        <f aca="false">BI4*Streams!$E$7/Streams!$E$15</f>
        <v>5</v>
      </c>
      <c r="BJ11" s="10" t="n">
        <f aca="false">BJ4*Streams!$E$7/Streams!$E$15</f>
        <v>5</v>
      </c>
      <c r="BK11" s="10" t="n">
        <f aca="false">BK4*Streams!$E$7/Streams!$E$15</f>
        <v>5</v>
      </c>
      <c r="BL11" s="10" t="n">
        <f aca="false">BL4*Streams!$E$7/Streams!$E$15</f>
        <v>5</v>
      </c>
      <c r="BM11" s="10" t="n">
        <f aca="false">BM4*Streams!$E$7/Streams!$E$15</f>
        <v>5</v>
      </c>
      <c r="BN11" s="10" t="n">
        <f aca="false">BN4*Streams!$E$7/Streams!$E$15</f>
        <v>5</v>
      </c>
      <c r="BO11" s="10" t="n">
        <f aca="false">BO4*Streams!$E$7/Streams!$E$15</f>
        <v>5</v>
      </c>
      <c r="BP11" s="10" t="n">
        <f aca="false">BP4*Streams!$E$7/Streams!$E$15</f>
        <v>5</v>
      </c>
      <c r="BQ11" s="10" t="n">
        <f aca="false">BQ4*Streams!$E$7/Streams!$E$15</f>
        <v>5</v>
      </c>
      <c r="BR11" s="10" t="n">
        <f aca="false">BR4*Streams!$E$7/Streams!$E$15</f>
        <v>5</v>
      </c>
      <c r="BS11" s="10" t="n">
        <f aca="false">BS4*Streams!$E$7/Streams!$E$15</f>
        <v>5</v>
      </c>
      <c r="BT11" s="10" t="n">
        <f aca="false">BT4*Streams!$E$7/Streams!$E$15</f>
        <v>5</v>
      </c>
      <c r="BU11" s="10" t="n">
        <f aca="false">BU4*Streams!$E$7/Streams!$E$15</f>
        <v>5</v>
      </c>
      <c r="BV11" s="10" t="n">
        <f aca="false">BV4*Streams!$E$7/Streams!$E$15</f>
        <v>5</v>
      </c>
      <c r="BW11" s="10" t="n">
        <f aca="false">BW4*Streams!$E$7/Streams!$E$15</f>
        <v>5</v>
      </c>
      <c r="BX11" s="10" t="n">
        <f aca="false">BX4*Streams!$E$7/Streams!$E$15</f>
        <v>5</v>
      </c>
      <c r="BY11" s="10" t="n">
        <f aca="false">BY4*Streams!$E$7/Streams!$E$15</f>
        <v>5</v>
      </c>
      <c r="BZ11" s="10" t="n">
        <f aca="false">BZ4*Streams!$E$7/Streams!$E$15</f>
        <v>5</v>
      </c>
      <c r="CA11" s="10" t="n">
        <f aca="false">CA4*Streams!$E$7/Streams!$E$15</f>
        <v>5</v>
      </c>
      <c r="CB11" s="10" t="n">
        <f aca="false">CB4*Streams!$E$7/Streams!$E$15</f>
        <v>5</v>
      </c>
      <c r="CC11" s="10" t="n">
        <f aca="false">CC4*Streams!$E$7/Streams!$E$15</f>
        <v>5</v>
      </c>
      <c r="CD11" s="10" t="n">
        <f aca="false">CD4*Streams!$E$7/Streams!$E$15</f>
        <v>5</v>
      </c>
      <c r="CE11" s="10" t="n">
        <f aca="false">CE4*Streams!$E$7/Streams!$E$15</f>
        <v>5</v>
      </c>
      <c r="CF11" s="10" t="n">
        <f aca="false">CF4*Streams!$E$7/Streams!$E$15</f>
        <v>5</v>
      </c>
      <c r="CG11" s="10" t="n">
        <f aca="false">CG4*Streams!$E$7/Streams!$E$15</f>
        <v>5</v>
      </c>
      <c r="CH11" s="10" t="n">
        <f aca="false">CH4*Streams!$E$7/Streams!$E$15</f>
        <v>5</v>
      </c>
      <c r="CI11" s="10" t="n">
        <f aca="false">CI4*Streams!$E$7/Streams!$E$15</f>
        <v>5</v>
      </c>
      <c r="CJ11" s="10" t="n">
        <f aca="false">CJ4*Streams!$E$7/Streams!$E$15</f>
        <v>5</v>
      </c>
      <c r="CK11" s="10" t="n">
        <f aca="false">CK4*Streams!$E$7/Streams!$E$15</f>
        <v>5</v>
      </c>
      <c r="CL11" s="10" t="n">
        <f aca="false">CL4*Streams!$E$7/Streams!$E$15</f>
        <v>5</v>
      </c>
      <c r="CM11" s="10" t="n">
        <f aca="false">CM4*Streams!$E$7/Streams!$E$15</f>
        <v>5</v>
      </c>
      <c r="CN11" s="10" t="n">
        <f aca="false">CN4*Streams!$E$7/Streams!$E$15</f>
        <v>5</v>
      </c>
      <c r="CO11" s="10" t="n">
        <f aca="false">CO4*Streams!$E$7/Streams!$E$15</f>
        <v>5</v>
      </c>
      <c r="CP11" s="10" t="n">
        <f aca="false">CP4*Streams!$E$7/Streams!$E$15</f>
        <v>5</v>
      </c>
      <c r="CQ11" s="10" t="n">
        <f aca="false">CQ4*Streams!$E$7/Streams!$E$15</f>
        <v>5</v>
      </c>
      <c r="CR11" s="10" t="n">
        <f aca="false">CR4*Streams!$E$7/Streams!$E$15</f>
        <v>5</v>
      </c>
      <c r="CS11" s="10" t="n">
        <f aca="false">CS4*Streams!$E$7/Streams!$E$15</f>
        <v>5</v>
      </c>
      <c r="CT11" s="10" t="n">
        <f aca="false">CT4*Streams!$E$7/Streams!$E$15</f>
        <v>5</v>
      </c>
      <c r="CU11" s="10" t="n">
        <f aca="false">CU4*Streams!$E$7/Streams!$E$15</f>
        <v>5</v>
      </c>
      <c r="CV11" s="10" t="n">
        <f aca="false">CV4*Streams!$E$7/Streams!$E$15</f>
        <v>5</v>
      </c>
      <c r="CW11" s="10" t="n">
        <f aca="false">CW4*Streams!$E$7/Streams!$E$15</f>
        <v>5</v>
      </c>
      <c r="CX11" s="10" t="n">
        <f aca="false">CX4*Streams!$E$7/Streams!$E$15</f>
        <v>5</v>
      </c>
      <c r="CY11" s="10" t="n">
        <f aca="false">CY4*Streams!$E$7/Streams!$E$15</f>
        <v>5</v>
      </c>
      <c r="CZ11" s="10" t="n">
        <f aca="false">CZ4*Streams!$E$7/Streams!$E$15</f>
        <v>5</v>
      </c>
      <c r="DA11" s="10" t="n">
        <f aca="false">DA4*Streams!$E$7/Streams!$E$15</f>
        <v>5</v>
      </c>
      <c r="DB11" s="10" t="n">
        <f aca="false">DB4*Streams!$E$7/Streams!$E$15</f>
        <v>5</v>
      </c>
      <c r="DC11" s="10" t="n">
        <f aca="false">DC4*Streams!$E$7/Streams!$E$15</f>
        <v>5</v>
      </c>
      <c r="DD11" s="10" t="n">
        <f aca="false">DD4*Streams!$E$7/Streams!$E$15</f>
        <v>5</v>
      </c>
      <c r="DE11" s="10" t="n">
        <f aca="false">DE4*Streams!$E$7/Streams!$E$15</f>
        <v>5</v>
      </c>
      <c r="DF11" s="10" t="n">
        <f aca="false">DF4*Streams!$E$7/Streams!$E$15</f>
        <v>5</v>
      </c>
      <c r="DG11" s="10" t="n">
        <f aca="false">DG4*Streams!$E$7/Streams!$E$15</f>
        <v>5</v>
      </c>
      <c r="DH11" s="10" t="n">
        <f aca="false">DH4*Streams!$E$7/Streams!$E$15</f>
        <v>5</v>
      </c>
      <c r="DI11" s="10" t="n">
        <f aca="false">DI4*Streams!$E$7/Streams!$E$15</f>
        <v>5</v>
      </c>
      <c r="DJ11" s="10" t="n">
        <f aca="false">DJ4*Streams!$E$7/Streams!$E$15</f>
        <v>5</v>
      </c>
      <c r="DK11" s="10" t="n">
        <f aca="false">DK4*Streams!$E$7/Streams!$E$15</f>
        <v>5</v>
      </c>
      <c r="DL11" s="10" t="n">
        <f aca="false">DL4*Streams!$E$7/Streams!$E$15</f>
        <v>5</v>
      </c>
      <c r="DM11" s="10" t="n">
        <f aca="false">DM4*Streams!$E$7/Streams!$E$15</f>
        <v>5</v>
      </c>
      <c r="DN11" s="10" t="n">
        <f aca="false">DN4*Streams!$E$7/Streams!$E$15</f>
        <v>5</v>
      </c>
      <c r="DO11" s="10" t="n">
        <f aca="false">DO4*Streams!$E$7/Streams!$E$15</f>
        <v>5</v>
      </c>
      <c r="DP11" s="10" t="n">
        <f aca="false">DP4*Streams!$E$7/Streams!$E$15</f>
        <v>5</v>
      </c>
      <c r="DQ11" s="10" t="n">
        <f aca="false">DQ4*Streams!$E$7/Streams!$E$15</f>
        <v>5</v>
      </c>
      <c r="DR11" s="10" t="n">
        <f aca="false">DR4*Streams!$E$7/Streams!$E$15</f>
        <v>5</v>
      </c>
    </row>
    <row r="12" customFormat="false" ht="15" hidden="false" customHeight="false" outlineLevel="0" collapsed="false">
      <c r="A12" s="9" t="s">
        <v>181</v>
      </c>
      <c r="B12" s="10" t="n">
        <f aca="false">B4*Streams!$E$8/Streams!$E$15</f>
        <v>0</v>
      </c>
      <c r="C12" s="10" t="n">
        <f aca="false">C4*Streams!$E$8/Streams!$E$15</f>
        <v>2.5</v>
      </c>
      <c r="D12" s="10" t="n">
        <f aca="false">D4*Streams!$E$8/Streams!$E$15</f>
        <v>2.5</v>
      </c>
      <c r="E12" s="10" t="n">
        <f aca="false">E4*Streams!$E$8/Streams!$E$15</f>
        <v>2.5</v>
      </c>
      <c r="F12" s="10" t="n">
        <f aca="false">F4*Streams!$E$8/Streams!$E$15</f>
        <v>2.5</v>
      </c>
      <c r="G12" s="10" t="n">
        <f aca="false">G4*Streams!$E$8/Streams!$E$15</f>
        <v>2.5</v>
      </c>
      <c r="H12" s="10" t="n">
        <f aca="false">H4*Streams!$E$8/Streams!$E$15</f>
        <v>2.5</v>
      </c>
      <c r="I12" s="10" t="n">
        <f aca="false">I4*Streams!$E$8/Streams!$E$15</f>
        <v>2.5</v>
      </c>
      <c r="J12" s="10" t="n">
        <f aca="false">J4*Streams!$E$8/Streams!$E$15</f>
        <v>2.5</v>
      </c>
      <c r="K12" s="10" t="n">
        <f aca="false">K4*Streams!$E$8/Streams!$E$15</f>
        <v>2.5</v>
      </c>
      <c r="L12" s="10" t="n">
        <f aca="false">L4*Streams!$E$8/Streams!$E$15</f>
        <v>2.5</v>
      </c>
      <c r="M12" s="10" t="n">
        <f aca="false">M4*Streams!$E$8/Streams!$E$15</f>
        <v>2.5</v>
      </c>
      <c r="N12" s="10" t="n">
        <f aca="false">N4*Streams!$E$8/Streams!$E$15</f>
        <v>2.5</v>
      </c>
      <c r="O12" s="10" t="n">
        <f aca="false">O4*Streams!$E$8/Streams!$E$15</f>
        <v>2.5</v>
      </c>
      <c r="P12" s="10" t="n">
        <f aca="false">P4*Streams!$E$8/Streams!$E$15</f>
        <v>2.5</v>
      </c>
      <c r="Q12" s="10" t="n">
        <f aca="false">Q4*Streams!$E$8/Streams!$E$15</f>
        <v>2.5</v>
      </c>
      <c r="R12" s="10" t="n">
        <f aca="false">R4*Streams!$E$8/Streams!$E$15</f>
        <v>2.5</v>
      </c>
      <c r="S12" s="10" t="n">
        <f aca="false">S4*Streams!$E$8/Streams!$E$15</f>
        <v>2.5</v>
      </c>
      <c r="T12" s="10" t="n">
        <f aca="false">T4*Streams!$E$8/Streams!$E$15</f>
        <v>2.5</v>
      </c>
      <c r="U12" s="10" t="n">
        <f aca="false">U4*Streams!$E$8/Streams!$E$15</f>
        <v>2.5</v>
      </c>
      <c r="V12" s="10" t="n">
        <f aca="false">V4*Streams!$E$8/Streams!$E$15</f>
        <v>2.5</v>
      </c>
      <c r="W12" s="10" t="n">
        <f aca="false">W4*Streams!$E$8/Streams!$E$15</f>
        <v>2.5</v>
      </c>
      <c r="X12" s="10" t="n">
        <f aca="false">X4*Streams!$E$8/Streams!$E$15</f>
        <v>2.5</v>
      </c>
      <c r="Y12" s="10" t="n">
        <f aca="false">Y4*Streams!$E$8/Streams!$E$15</f>
        <v>2.5</v>
      </c>
      <c r="Z12" s="10" t="n">
        <f aca="false">Z4*Streams!$E$8/Streams!$E$15</f>
        <v>2.5</v>
      </c>
      <c r="AA12" s="10" t="n">
        <f aca="false">AA4*Streams!$E$8/Streams!$E$15</f>
        <v>2.5</v>
      </c>
      <c r="AB12" s="10" t="n">
        <f aca="false">AB4*Streams!$E$8/Streams!$E$15</f>
        <v>2.5</v>
      </c>
      <c r="AC12" s="10" t="n">
        <f aca="false">AC4*Streams!$E$8/Streams!$E$15</f>
        <v>2.5</v>
      </c>
      <c r="AD12" s="10" t="n">
        <f aca="false">AD4*Streams!$E$8/Streams!$E$15</f>
        <v>2.5</v>
      </c>
      <c r="AE12" s="10" t="n">
        <f aca="false">AE4*Streams!$E$8/Streams!$E$15</f>
        <v>2.5</v>
      </c>
      <c r="AF12" s="10" t="n">
        <f aca="false">AF4*Streams!$E$8/Streams!$E$15</f>
        <v>2.5</v>
      </c>
      <c r="AG12" s="10" t="n">
        <f aca="false">AG4*Streams!$E$8/Streams!$E$15</f>
        <v>2.5</v>
      </c>
      <c r="AH12" s="10" t="n">
        <f aca="false">AH4*Streams!$E$8/Streams!$E$15</f>
        <v>2.5</v>
      </c>
      <c r="AI12" s="10" t="n">
        <f aca="false">AI4*Streams!$E$8/Streams!$E$15</f>
        <v>2.5</v>
      </c>
      <c r="AJ12" s="10" t="n">
        <f aca="false">AJ4*Streams!$E$8/Streams!$E$15</f>
        <v>2.5</v>
      </c>
      <c r="AK12" s="10" t="n">
        <f aca="false">AK4*Streams!$E$8/Streams!$E$15</f>
        <v>2.5</v>
      </c>
      <c r="AL12" s="10" t="n">
        <f aca="false">AL4*Streams!$E$8/Streams!$E$15</f>
        <v>2.5</v>
      </c>
      <c r="AM12" s="10" t="n">
        <f aca="false">AM4*Streams!$E$8/Streams!$E$15</f>
        <v>2.5</v>
      </c>
      <c r="AN12" s="10" t="n">
        <f aca="false">AN4*Streams!$E$8/Streams!$E$15</f>
        <v>2.5</v>
      </c>
      <c r="AO12" s="10" t="n">
        <f aca="false">AO4*Streams!$E$8/Streams!$E$15</f>
        <v>2.5</v>
      </c>
      <c r="AP12" s="10" t="n">
        <f aca="false">AP4*Streams!$E$8/Streams!$E$15</f>
        <v>2.5</v>
      </c>
      <c r="AQ12" s="10" t="n">
        <f aca="false">AQ4*Streams!$E$8/Streams!$E$15</f>
        <v>2.5</v>
      </c>
      <c r="AR12" s="10" t="n">
        <f aca="false">AR4*Streams!$E$8/Streams!$E$15</f>
        <v>2.5</v>
      </c>
      <c r="AS12" s="10" t="n">
        <f aca="false">AS4*Streams!$E$8/Streams!$E$15</f>
        <v>2.5</v>
      </c>
      <c r="AT12" s="10" t="n">
        <f aca="false">AT4*Streams!$E$8/Streams!$E$15</f>
        <v>2.5</v>
      </c>
      <c r="AU12" s="10" t="n">
        <f aca="false">AU4*Streams!$E$8/Streams!$E$15</f>
        <v>2.5</v>
      </c>
      <c r="AV12" s="10" t="n">
        <f aca="false">AV4*Streams!$E$8/Streams!$E$15</f>
        <v>2.5</v>
      </c>
      <c r="AW12" s="10" t="n">
        <f aca="false">AW4*Streams!$E$8/Streams!$E$15</f>
        <v>2.5</v>
      </c>
      <c r="AX12" s="10" t="n">
        <f aca="false">AX4*Streams!$E$8/Streams!$E$15</f>
        <v>2.5</v>
      </c>
      <c r="AY12" s="10" t="n">
        <f aca="false">AY4*Streams!$E$8/Streams!$E$15</f>
        <v>2.5</v>
      </c>
      <c r="AZ12" s="10" t="n">
        <f aca="false">AZ4*Streams!$E$8/Streams!$E$15</f>
        <v>2.5</v>
      </c>
      <c r="BA12" s="10" t="n">
        <f aca="false">BA4*Streams!$E$8/Streams!$E$15</f>
        <v>2.5</v>
      </c>
      <c r="BB12" s="10" t="n">
        <f aca="false">BB4*Streams!$E$8/Streams!$E$15</f>
        <v>2.5</v>
      </c>
      <c r="BC12" s="10" t="n">
        <f aca="false">BC4*Streams!$E$8/Streams!$E$15</f>
        <v>2.5</v>
      </c>
      <c r="BD12" s="10" t="n">
        <f aca="false">BD4*Streams!$E$8/Streams!$E$15</f>
        <v>2.5</v>
      </c>
      <c r="BE12" s="10" t="n">
        <f aca="false">BE4*Streams!$E$8/Streams!$E$15</f>
        <v>2.5</v>
      </c>
      <c r="BF12" s="10" t="n">
        <f aca="false">BF4*Streams!$E$8/Streams!$E$15</f>
        <v>2.5</v>
      </c>
      <c r="BG12" s="10" t="n">
        <f aca="false">BG4*Streams!$E$8/Streams!$E$15</f>
        <v>2.5</v>
      </c>
      <c r="BH12" s="10" t="n">
        <f aca="false">BH4*Streams!$E$8/Streams!$E$15</f>
        <v>2.5</v>
      </c>
      <c r="BI12" s="10" t="n">
        <f aca="false">BI4*Streams!$E$8/Streams!$E$15</f>
        <v>2.5</v>
      </c>
      <c r="BJ12" s="10" t="n">
        <f aca="false">BJ4*Streams!$E$8/Streams!$E$15</f>
        <v>2.5</v>
      </c>
      <c r="BK12" s="10" t="n">
        <f aca="false">BK4*Streams!$E$8/Streams!$E$15</f>
        <v>2.5</v>
      </c>
      <c r="BL12" s="10" t="n">
        <f aca="false">BL4*Streams!$E$8/Streams!$E$15</f>
        <v>2.5</v>
      </c>
      <c r="BM12" s="10" t="n">
        <f aca="false">BM4*Streams!$E$8/Streams!$E$15</f>
        <v>2.5</v>
      </c>
      <c r="BN12" s="10" t="n">
        <f aca="false">BN4*Streams!$E$8/Streams!$E$15</f>
        <v>2.5</v>
      </c>
      <c r="BO12" s="10" t="n">
        <f aca="false">BO4*Streams!$E$8/Streams!$E$15</f>
        <v>2.5</v>
      </c>
      <c r="BP12" s="10" t="n">
        <f aca="false">BP4*Streams!$E$8/Streams!$E$15</f>
        <v>2.5</v>
      </c>
      <c r="BQ12" s="10" t="n">
        <f aca="false">BQ4*Streams!$E$8/Streams!$E$15</f>
        <v>2.5</v>
      </c>
      <c r="BR12" s="10" t="n">
        <f aca="false">BR4*Streams!$E$8/Streams!$E$15</f>
        <v>2.5</v>
      </c>
      <c r="BS12" s="10" t="n">
        <f aca="false">BS4*Streams!$E$8/Streams!$E$15</f>
        <v>2.5</v>
      </c>
      <c r="BT12" s="10" t="n">
        <f aca="false">BT4*Streams!$E$8/Streams!$E$15</f>
        <v>2.5</v>
      </c>
      <c r="BU12" s="10" t="n">
        <f aca="false">BU4*Streams!$E$8/Streams!$E$15</f>
        <v>2.5</v>
      </c>
      <c r="BV12" s="10" t="n">
        <f aca="false">BV4*Streams!$E$8/Streams!$E$15</f>
        <v>2.5</v>
      </c>
      <c r="BW12" s="10" t="n">
        <f aca="false">BW4*Streams!$E$8/Streams!$E$15</f>
        <v>2.5</v>
      </c>
      <c r="BX12" s="10" t="n">
        <f aca="false">BX4*Streams!$E$8/Streams!$E$15</f>
        <v>2.5</v>
      </c>
      <c r="BY12" s="10" t="n">
        <f aca="false">BY4*Streams!$E$8/Streams!$E$15</f>
        <v>2.5</v>
      </c>
      <c r="BZ12" s="10" t="n">
        <f aca="false">BZ4*Streams!$E$8/Streams!$E$15</f>
        <v>2.5</v>
      </c>
      <c r="CA12" s="10" t="n">
        <f aca="false">CA4*Streams!$E$8/Streams!$E$15</f>
        <v>2.5</v>
      </c>
      <c r="CB12" s="10" t="n">
        <f aca="false">CB4*Streams!$E$8/Streams!$E$15</f>
        <v>2.5</v>
      </c>
      <c r="CC12" s="10" t="n">
        <f aca="false">CC4*Streams!$E$8/Streams!$E$15</f>
        <v>2.5</v>
      </c>
      <c r="CD12" s="10" t="n">
        <f aca="false">CD4*Streams!$E$8/Streams!$E$15</f>
        <v>2.5</v>
      </c>
      <c r="CE12" s="10" t="n">
        <f aca="false">CE4*Streams!$E$8/Streams!$E$15</f>
        <v>2.5</v>
      </c>
      <c r="CF12" s="10" t="n">
        <f aca="false">CF4*Streams!$E$8/Streams!$E$15</f>
        <v>2.5</v>
      </c>
      <c r="CG12" s="10" t="n">
        <f aca="false">CG4*Streams!$E$8/Streams!$E$15</f>
        <v>2.5</v>
      </c>
      <c r="CH12" s="10" t="n">
        <f aca="false">CH4*Streams!$E$8/Streams!$E$15</f>
        <v>2.5</v>
      </c>
      <c r="CI12" s="10" t="n">
        <f aca="false">CI4*Streams!$E$8/Streams!$E$15</f>
        <v>2.5</v>
      </c>
      <c r="CJ12" s="10" t="n">
        <f aca="false">CJ4*Streams!$E$8/Streams!$E$15</f>
        <v>2.5</v>
      </c>
      <c r="CK12" s="10" t="n">
        <f aca="false">CK4*Streams!$E$8/Streams!$E$15</f>
        <v>2.5</v>
      </c>
      <c r="CL12" s="10" t="n">
        <f aca="false">CL4*Streams!$E$8/Streams!$E$15</f>
        <v>2.5</v>
      </c>
      <c r="CM12" s="10" t="n">
        <f aca="false">CM4*Streams!$E$8/Streams!$E$15</f>
        <v>2.5</v>
      </c>
      <c r="CN12" s="10" t="n">
        <f aca="false">CN4*Streams!$E$8/Streams!$E$15</f>
        <v>2.5</v>
      </c>
      <c r="CO12" s="10" t="n">
        <f aca="false">CO4*Streams!$E$8/Streams!$E$15</f>
        <v>2.5</v>
      </c>
      <c r="CP12" s="10" t="n">
        <f aca="false">CP4*Streams!$E$8/Streams!$E$15</f>
        <v>2.5</v>
      </c>
      <c r="CQ12" s="10" t="n">
        <f aca="false">CQ4*Streams!$E$8/Streams!$E$15</f>
        <v>2.5</v>
      </c>
      <c r="CR12" s="10" t="n">
        <f aca="false">CR4*Streams!$E$8/Streams!$E$15</f>
        <v>2.5</v>
      </c>
      <c r="CS12" s="10" t="n">
        <f aca="false">CS4*Streams!$E$8/Streams!$E$15</f>
        <v>2.5</v>
      </c>
      <c r="CT12" s="10" t="n">
        <f aca="false">CT4*Streams!$E$8/Streams!$E$15</f>
        <v>2.5</v>
      </c>
      <c r="CU12" s="10" t="n">
        <f aca="false">CU4*Streams!$E$8/Streams!$E$15</f>
        <v>2.5</v>
      </c>
      <c r="CV12" s="10" t="n">
        <f aca="false">CV4*Streams!$E$8/Streams!$E$15</f>
        <v>2.5</v>
      </c>
      <c r="CW12" s="10" t="n">
        <f aca="false">CW4*Streams!$E$8/Streams!$E$15</f>
        <v>2.5</v>
      </c>
      <c r="CX12" s="10" t="n">
        <f aca="false">CX4*Streams!$E$8/Streams!$E$15</f>
        <v>2.5</v>
      </c>
      <c r="CY12" s="10" t="n">
        <f aca="false">CY4*Streams!$E$8/Streams!$E$15</f>
        <v>2.5</v>
      </c>
      <c r="CZ12" s="10" t="n">
        <f aca="false">CZ4*Streams!$E$8/Streams!$E$15</f>
        <v>2.5</v>
      </c>
      <c r="DA12" s="10" t="n">
        <f aca="false">DA4*Streams!$E$8/Streams!$E$15</f>
        <v>2.5</v>
      </c>
      <c r="DB12" s="10" t="n">
        <f aca="false">DB4*Streams!$E$8/Streams!$E$15</f>
        <v>2.5</v>
      </c>
      <c r="DC12" s="10" t="n">
        <f aca="false">DC4*Streams!$E$8/Streams!$E$15</f>
        <v>2.5</v>
      </c>
      <c r="DD12" s="10" t="n">
        <f aca="false">DD4*Streams!$E$8/Streams!$E$15</f>
        <v>2.5</v>
      </c>
      <c r="DE12" s="10" t="n">
        <f aca="false">DE4*Streams!$E$8/Streams!$E$15</f>
        <v>2.5</v>
      </c>
      <c r="DF12" s="10" t="n">
        <f aca="false">DF4*Streams!$E$8/Streams!$E$15</f>
        <v>2.5</v>
      </c>
      <c r="DG12" s="10" t="n">
        <f aca="false">DG4*Streams!$E$8/Streams!$E$15</f>
        <v>2.5</v>
      </c>
      <c r="DH12" s="10" t="n">
        <f aca="false">DH4*Streams!$E$8/Streams!$E$15</f>
        <v>2.5</v>
      </c>
      <c r="DI12" s="10" t="n">
        <f aca="false">DI4*Streams!$E$8/Streams!$E$15</f>
        <v>2.5</v>
      </c>
      <c r="DJ12" s="10" t="n">
        <f aca="false">DJ4*Streams!$E$8/Streams!$E$15</f>
        <v>2.5</v>
      </c>
      <c r="DK12" s="10" t="n">
        <f aca="false">DK4*Streams!$E$8/Streams!$E$15</f>
        <v>2.5</v>
      </c>
      <c r="DL12" s="10" t="n">
        <f aca="false">DL4*Streams!$E$8/Streams!$E$15</f>
        <v>2.5</v>
      </c>
      <c r="DM12" s="10" t="n">
        <f aca="false">DM4*Streams!$E$8/Streams!$E$15</f>
        <v>2.5</v>
      </c>
      <c r="DN12" s="10" t="n">
        <f aca="false">DN4*Streams!$E$8/Streams!$E$15</f>
        <v>2.5</v>
      </c>
      <c r="DO12" s="10" t="n">
        <f aca="false">DO4*Streams!$E$8/Streams!$E$15</f>
        <v>2.5</v>
      </c>
      <c r="DP12" s="10" t="n">
        <f aca="false">DP4*Streams!$E$8/Streams!$E$15</f>
        <v>2.5</v>
      </c>
      <c r="DQ12" s="10" t="n">
        <f aca="false">DQ4*Streams!$E$8/Streams!$E$15</f>
        <v>2.5</v>
      </c>
      <c r="DR12" s="10" t="n">
        <f aca="false">DR4*Streams!$E$8/Streams!$E$15</f>
        <v>2.5</v>
      </c>
    </row>
    <row r="13" customFormat="false" ht="15" hidden="false" customHeight="false" outlineLevel="0" collapsed="false">
      <c r="A13" s="9" t="s">
        <v>182</v>
      </c>
      <c r="B13" s="10" t="n">
        <f aca="false">B4*Streams!$E$9/Streams!$E$15</f>
        <v>0</v>
      </c>
      <c r="C13" s="10" t="n">
        <f aca="false">C4*Streams!$E$9/Streams!$E$15</f>
        <v>1.5</v>
      </c>
      <c r="D13" s="10" t="n">
        <f aca="false">D4*Streams!$E$9/Streams!$E$15</f>
        <v>1.5</v>
      </c>
      <c r="E13" s="10" t="n">
        <f aca="false">E4*Streams!$E$9/Streams!$E$15</f>
        <v>1.5</v>
      </c>
      <c r="F13" s="10" t="n">
        <f aca="false">F4*Streams!$E$9/Streams!$E$15</f>
        <v>1.5</v>
      </c>
      <c r="G13" s="10" t="n">
        <f aca="false">G4*Streams!$E$9/Streams!$E$15</f>
        <v>1.5</v>
      </c>
      <c r="H13" s="10" t="n">
        <f aca="false">H4*Streams!$E$9/Streams!$E$15</f>
        <v>1.5</v>
      </c>
      <c r="I13" s="10" t="n">
        <f aca="false">I4*Streams!$E$9/Streams!$E$15</f>
        <v>1.5</v>
      </c>
      <c r="J13" s="10" t="n">
        <f aca="false">J4*Streams!$E$9/Streams!$E$15</f>
        <v>1.5</v>
      </c>
      <c r="K13" s="10" t="n">
        <f aca="false">K4*Streams!$E$9/Streams!$E$15</f>
        <v>1.5</v>
      </c>
      <c r="L13" s="10" t="n">
        <f aca="false">L4*Streams!$E$9/Streams!$E$15</f>
        <v>1.5</v>
      </c>
      <c r="M13" s="10" t="n">
        <f aca="false">M4*Streams!$E$9/Streams!$E$15</f>
        <v>1.5</v>
      </c>
      <c r="N13" s="10" t="n">
        <f aca="false">N4*Streams!$E$9/Streams!$E$15</f>
        <v>1.5</v>
      </c>
      <c r="O13" s="10" t="n">
        <f aca="false">O4*Streams!$E$9/Streams!$E$15</f>
        <v>1.5</v>
      </c>
      <c r="P13" s="10" t="n">
        <f aca="false">P4*Streams!$E$9/Streams!$E$15</f>
        <v>1.5</v>
      </c>
      <c r="Q13" s="10" t="n">
        <f aca="false">Q4*Streams!$E$9/Streams!$E$15</f>
        <v>1.5</v>
      </c>
      <c r="R13" s="10" t="n">
        <f aca="false">R4*Streams!$E$9/Streams!$E$15</f>
        <v>1.5</v>
      </c>
      <c r="S13" s="10" t="n">
        <f aca="false">S4*Streams!$E$9/Streams!$E$15</f>
        <v>1.5</v>
      </c>
      <c r="T13" s="10" t="n">
        <f aca="false">T4*Streams!$E$9/Streams!$E$15</f>
        <v>1.5</v>
      </c>
      <c r="U13" s="10" t="n">
        <f aca="false">U4*Streams!$E$9/Streams!$E$15</f>
        <v>1.5</v>
      </c>
      <c r="V13" s="10" t="n">
        <f aca="false">V4*Streams!$E$9/Streams!$E$15</f>
        <v>1.5</v>
      </c>
      <c r="W13" s="10" t="n">
        <f aca="false">W4*Streams!$E$9/Streams!$E$15</f>
        <v>1.5</v>
      </c>
      <c r="X13" s="10" t="n">
        <f aca="false">X4*Streams!$E$9/Streams!$E$15</f>
        <v>1.5</v>
      </c>
      <c r="Y13" s="10" t="n">
        <f aca="false">Y4*Streams!$E$9/Streams!$E$15</f>
        <v>1.5</v>
      </c>
      <c r="Z13" s="10" t="n">
        <f aca="false">Z4*Streams!$E$9/Streams!$E$15</f>
        <v>1.5</v>
      </c>
      <c r="AA13" s="10" t="n">
        <f aca="false">AA4*Streams!$E$9/Streams!$E$15</f>
        <v>1.5</v>
      </c>
      <c r="AB13" s="10" t="n">
        <f aca="false">AB4*Streams!$E$9/Streams!$E$15</f>
        <v>1.5</v>
      </c>
      <c r="AC13" s="10" t="n">
        <f aca="false">AC4*Streams!$E$9/Streams!$E$15</f>
        <v>1.5</v>
      </c>
      <c r="AD13" s="10" t="n">
        <f aca="false">AD4*Streams!$E$9/Streams!$E$15</f>
        <v>1.5</v>
      </c>
      <c r="AE13" s="10" t="n">
        <f aca="false">AE4*Streams!$E$9/Streams!$E$15</f>
        <v>1.5</v>
      </c>
      <c r="AF13" s="10" t="n">
        <f aca="false">AF4*Streams!$E$9/Streams!$E$15</f>
        <v>1.5</v>
      </c>
      <c r="AG13" s="10" t="n">
        <f aca="false">AG4*Streams!$E$9/Streams!$E$15</f>
        <v>1.5</v>
      </c>
      <c r="AH13" s="10" t="n">
        <f aca="false">AH4*Streams!$E$9/Streams!$E$15</f>
        <v>1.5</v>
      </c>
      <c r="AI13" s="10" t="n">
        <f aca="false">AI4*Streams!$E$9/Streams!$E$15</f>
        <v>1.5</v>
      </c>
      <c r="AJ13" s="10" t="n">
        <f aca="false">AJ4*Streams!$E$9/Streams!$E$15</f>
        <v>1.5</v>
      </c>
      <c r="AK13" s="10" t="n">
        <f aca="false">AK4*Streams!$E$9/Streams!$E$15</f>
        <v>1.5</v>
      </c>
      <c r="AL13" s="10" t="n">
        <f aca="false">AL4*Streams!$E$9/Streams!$E$15</f>
        <v>1.5</v>
      </c>
      <c r="AM13" s="10" t="n">
        <f aca="false">AM4*Streams!$E$9/Streams!$E$15</f>
        <v>1.5</v>
      </c>
      <c r="AN13" s="10" t="n">
        <f aca="false">AN4*Streams!$E$9/Streams!$E$15</f>
        <v>1.5</v>
      </c>
      <c r="AO13" s="10" t="n">
        <f aca="false">AO4*Streams!$E$9/Streams!$E$15</f>
        <v>1.5</v>
      </c>
      <c r="AP13" s="10" t="n">
        <f aca="false">AP4*Streams!$E$9/Streams!$E$15</f>
        <v>1.5</v>
      </c>
      <c r="AQ13" s="10" t="n">
        <f aca="false">AQ4*Streams!$E$9/Streams!$E$15</f>
        <v>1.5</v>
      </c>
      <c r="AR13" s="10" t="n">
        <f aca="false">AR4*Streams!$E$9/Streams!$E$15</f>
        <v>1.5</v>
      </c>
      <c r="AS13" s="10" t="n">
        <f aca="false">AS4*Streams!$E$9/Streams!$E$15</f>
        <v>1.5</v>
      </c>
      <c r="AT13" s="10" t="n">
        <f aca="false">AT4*Streams!$E$9/Streams!$E$15</f>
        <v>1.5</v>
      </c>
      <c r="AU13" s="10" t="n">
        <f aca="false">AU4*Streams!$E$9/Streams!$E$15</f>
        <v>1.5</v>
      </c>
      <c r="AV13" s="10" t="n">
        <f aca="false">AV4*Streams!$E$9/Streams!$E$15</f>
        <v>1.5</v>
      </c>
      <c r="AW13" s="10" t="n">
        <f aca="false">AW4*Streams!$E$9/Streams!$E$15</f>
        <v>1.5</v>
      </c>
      <c r="AX13" s="10" t="n">
        <f aca="false">AX4*Streams!$E$9/Streams!$E$15</f>
        <v>1.5</v>
      </c>
      <c r="AY13" s="10" t="n">
        <f aca="false">AY4*Streams!$E$9/Streams!$E$15</f>
        <v>1.5</v>
      </c>
      <c r="AZ13" s="10" t="n">
        <f aca="false">AZ4*Streams!$E$9/Streams!$E$15</f>
        <v>1.5</v>
      </c>
      <c r="BA13" s="10" t="n">
        <f aca="false">BA4*Streams!$E$9/Streams!$E$15</f>
        <v>1.5</v>
      </c>
      <c r="BB13" s="10" t="n">
        <f aca="false">BB4*Streams!$E$9/Streams!$E$15</f>
        <v>1.5</v>
      </c>
      <c r="BC13" s="10" t="n">
        <f aca="false">BC4*Streams!$E$9/Streams!$E$15</f>
        <v>1.5</v>
      </c>
      <c r="BD13" s="10" t="n">
        <f aca="false">BD4*Streams!$E$9/Streams!$E$15</f>
        <v>1.5</v>
      </c>
      <c r="BE13" s="10" t="n">
        <f aca="false">BE4*Streams!$E$9/Streams!$E$15</f>
        <v>1.5</v>
      </c>
      <c r="BF13" s="10" t="n">
        <f aca="false">BF4*Streams!$E$9/Streams!$E$15</f>
        <v>1.5</v>
      </c>
      <c r="BG13" s="10" t="n">
        <f aca="false">BG4*Streams!$E$9/Streams!$E$15</f>
        <v>1.5</v>
      </c>
      <c r="BH13" s="10" t="n">
        <f aca="false">BH4*Streams!$E$9/Streams!$E$15</f>
        <v>1.5</v>
      </c>
      <c r="BI13" s="10" t="n">
        <f aca="false">BI4*Streams!$E$9/Streams!$E$15</f>
        <v>1.5</v>
      </c>
      <c r="BJ13" s="10" t="n">
        <f aca="false">BJ4*Streams!$E$9/Streams!$E$15</f>
        <v>1.5</v>
      </c>
      <c r="BK13" s="10" t="n">
        <f aca="false">BK4*Streams!$E$9/Streams!$E$15</f>
        <v>1.5</v>
      </c>
      <c r="BL13" s="10" t="n">
        <f aca="false">BL4*Streams!$E$9/Streams!$E$15</f>
        <v>1.5</v>
      </c>
      <c r="BM13" s="10" t="n">
        <f aca="false">BM4*Streams!$E$9/Streams!$E$15</f>
        <v>1.5</v>
      </c>
      <c r="BN13" s="10" t="n">
        <f aca="false">BN4*Streams!$E$9/Streams!$E$15</f>
        <v>1.5</v>
      </c>
      <c r="BO13" s="10" t="n">
        <f aca="false">BO4*Streams!$E$9/Streams!$E$15</f>
        <v>1.5</v>
      </c>
      <c r="BP13" s="10" t="n">
        <f aca="false">BP4*Streams!$E$9/Streams!$E$15</f>
        <v>1.5</v>
      </c>
      <c r="BQ13" s="10" t="n">
        <f aca="false">BQ4*Streams!$E$9/Streams!$E$15</f>
        <v>1.5</v>
      </c>
      <c r="BR13" s="10" t="n">
        <f aca="false">BR4*Streams!$E$9/Streams!$E$15</f>
        <v>1.5</v>
      </c>
      <c r="BS13" s="10" t="n">
        <f aca="false">BS4*Streams!$E$9/Streams!$E$15</f>
        <v>1.5</v>
      </c>
      <c r="BT13" s="10" t="n">
        <f aca="false">BT4*Streams!$E$9/Streams!$E$15</f>
        <v>1.5</v>
      </c>
      <c r="BU13" s="10" t="n">
        <f aca="false">BU4*Streams!$E$9/Streams!$E$15</f>
        <v>1.5</v>
      </c>
      <c r="BV13" s="10" t="n">
        <f aca="false">BV4*Streams!$E$9/Streams!$E$15</f>
        <v>1.5</v>
      </c>
      <c r="BW13" s="10" t="n">
        <f aca="false">BW4*Streams!$E$9/Streams!$E$15</f>
        <v>1.5</v>
      </c>
      <c r="BX13" s="10" t="n">
        <f aca="false">BX4*Streams!$E$9/Streams!$E$15</f>
        <v>1.5</v>
      </c>
      <c r="BY13" s="10" t="n">
        <f aca="false">BY4*Streams!$E$9/Streams!$E$15</f>
        <v>1.5</v>
      </c>
      <c r="BZ13" s="10" t="n">
        <f aca="false">BZ4*Streams!$E$9/Streams!$E$15</f>
        <v>1.5</v>
      </c>
      <c r="CA13" s="10" t="n">
        <f aca="false">CA4*Streams!$E$9/Streams!$E$15</f>
        <v>1.5</v>
      </c>
      <c r="CB13" s="10" t="n">
        <f aca="false">CB4*Streams!$E$9/Streams!$E$15</f>
        <v>1.5</v>
      </c>
      <c r="CC13" s="10" t="n">
        <f aca="false">CC4*Streams!$E$9/Streams!$E$15</f>
        <v>1.5</v>
      </c>
      <c r="CD13" s="10" t="n">
        <f aca="false">CD4*Streams!$E$9/Streams!$E$15</f>
        <v>1.5</v>
      </c>
      <c r="CE13" s="10" t="n">
        <f aca="false">CE4*Streams!$E$9/Streams!$E$15</f>
        <v>1.5</v>
      </c>
      <c r="CF13" s="10" t="n">
        <f aca="false">CF4*Streams!$E$9/Streams!$E$15</f>
        <v>1.5</v>
      </c>
      <c r="CG13" s="10" t="n">
        <f aca="false">CG4*Streams!$E$9/Streams!$E$15</f>
        <v>1.5</v>
      </c>
      <c r="CH13" s="10" t="n">
        <f aca="false">CH4*Streams!$E$9/Streams!$E$15</f>
        <v>1.5</v>
      </c>
      <c r="CI13" s="10" t="n">
        <f aca="false">CI4*Streams!$E$9/Streams!$E$15</f>
        <v>1.5</v>
      </c>
      <c r="CJ13" s="10" t="n">
        <f aca="false">CJ4*Streams!$E$9/Streams!$E$15</f>
        <v>1.5</v>
      </c>
      <c r="CK13" s="10" t="n">
        <f aca="false">CK4*Streams!$E$9/Streams!$E$15</f>
        <v>1.5</v>
      </c>
      <c r="CL13" s="10" t="n">
        <f aca="false">CL4*Streams!$E$9/Streams!$E$15</f>
        <v>1.5</v>
      </c>
      <c r="CM13" s="10" t="n">
        <f aca="false">CM4*Streams!$E$9/Streams!$E$15</f>
        <v>1.5</v>
      </c>
      <c r="CN13" s="10" t="n">
        <f aca="false">CN4*Streams!$E$9/Streams!$E$15</f>
        <v>1.5</v>
      </c>
      <c r="CO13" s="10" t="n">
        <f aca="false">CO4*Streams!$E$9/Streams!$E$15</f>
        <v>1.5</v>
      </c>
      <c r="CP13" s="10" t="n">
        <f aca="false">CP4*Streams!$E$9/Streams!$E$15</f>
        <v>1.5</v>
      </c>
      <c r="CQ13" s="10" t="n">
        <f aca="false">CQ4*Streams!$E$9/Streams!$E$15</f>
        <v>1.5</v>
      </c>
      <c r="CR13" s="10" t="n">
        <f aca="false">CR4*Streams!$E$9/Streams!$E$15</f>
        <v>1.5</v>
      </c>
      <c r="CS13" s="10" t="n">
        <f aca="false">CS4*Streams!$E$9/Streams!$E$15</f>
        <v>1.5</v>
      </c>
      <c r="CT13" s="10" t="n">
        <f aca="false">CT4*Streams!$E$9/Streams!$E$15</f>
        <v>1.5</v>
      </c>
      <c r="CU13" s="10" t="n">
        <f aca="false">CU4*Streams!$E$9/Streams!$E$15</f>
        <v>1.5</v>
      </c>
      <c r="CV13" s="10" t="n">
        <f aca="false">CV4*Streams!$E$9/Streams!$E$15</f>
        <v>1.5</v>
      </c>
      <c r="CW13" s="10" t="n">
        <f aca="false">CW4*Streams!$E$9/Streams!$E$15</f>
        <v>1.5</v>
      </c>
      <c r="CX13" s="10" t="n">
        <f aca="false">CX4*Streams!$E$9/Streams!$E$15</f>
        <v>1.5</v>
      </c>
      <c r="CY13" s="10" t="n">
        <f aca="false">CY4*Streams!$E$9/Streams!$E$15</f>
        <v>1.5</v>
      </c>
      <c r="CZ13" s="10" t="n">
        <f aca="false">CZ4*Streams!$E$9/Streams!$E$15</f>
        <v>1.5</v>
      </c>
      <c r="DA13" s="10" t="n">
        <f aca="false">DA4*Streams!$E$9/Streams!$E$15</f>
        <v>1.5</v>
      </c>
      <c r="DB13" s="10" t="n">
        <f aca="false">DB4*Streams!$E$9/Streams!$E$15</f>
        <v>1.5</v>
      </c>
      <c r="DC13" s="10" t="n">
        <f aca="false">DC4*Streams!$E$9/Streams!$E$15</f>
        <v>1.5</v>
      </c>
      <c r="DD13" s="10" t="n">
        <f aca="false">DD4*Streams!$E$9/Streams!$E$15</f>
        <v>1.5</v>
      </c>
      <c r="DE13" s="10" t="n">
        <f aca="false">DE4*Streams!$E$9/Streams!$E$15</f>
        <v>1.5</v>
      </c>
      <c r="DF13" s="10" t="n">
        <f aca="false">DF4*Streams!$E$9/Streams!$E$15</f>
        <v>1.5</v>
      </c>
      <c r="DG13" s="10" t="n">
        <f aca="false">DG4*Streams!$E$9/Streams!$E$15</f>
        <v>1.5</v>
      </c>
      <c r="DH13" s="10" t="n">
        <f aca="false">DH4*Streams!$E$9/Streams!$E$15</f>
        <v>1.5</v>
      </c>
      <c r="DI13" s="10" t="n">
        <f aca="false">DI4*Streams!$E$9/Streams!$E$15</f>
        <v>1.5</v>
      </c>
      <c r="DJ13" s="10" t="n">
        <f aca="false">DJ4*Streams!$E$9/Streams!$E$15</f>
        <v>1.5</v>
      </c>
      <c r="DK13" s="10" t="n">
        <f aca="false">DK4*Streams!$E$9/Streams!$E$15</f>
        <v>1.5</v>
      </c>
      <c r="DL13" s="10" t="n">
        <f aca="false">DL4*Streams!$E$9/Streams!$E$15</f>
        <v>1.5</v>
      </c>
      <c r="DM13" s="10" t="n">
        <f aca="false">DM4*Streams!$E$9/Streams!$E$15</f>
        <v>1.5</v>
      </c>
      <c r="DN13" s="10" t="n">
        <f aca="false">DN4*Streams!$E$9/Streams!$E$15</f>
        <v>1.5</v>
      </c>
      <c r="DO13" s="10" t="n">
        <f aca="false">DO4*Streams!$E$9/Streams!$E$15</f>
        <v>1.5</v>
      </c>
      <c r="DP13" s="10" t="n">
        <f aca="false">DP4*Streams!$E$9/Streams!$E$15</f>
        <v>1.5</v>
      </c>
      <c r="DQ13" s="10" t="n">
        <f aca="false">DQ4*Streams!$E$9/Streams!$E$15</f>
        <v>1.5</v>
      </c>
      <c r="DR13" s="10" t="n">
        <f aca="false">DR4*Streams!$E$9/Streams!$E$15</f>
        <v>1.5</v>
      </c>
    </row>
    <row r="14" customFormat="false" ht="15" hidden="false" customHeight="false" outlineLevel="0" collapsed="false">
      <c r="A14" s="9" t="s">
        <v>183</v>
      </c>
      <c r="B14" s="10" t="n">
        <f aca="false">B4*Streams!$E$10/Streams!$E$15</f>
        <v>0</v>
      </c>
      <c r="C14" s="10" t="n">
        <f aca="false">C4*Streams!$E$10/Streams!$E$15</f>
        <v>3</v>
      </c>
      <c r="D14" s="10" t="n">
        <f aca="false">D4*Streams!$E$10/Streams!$E$15</f>
        <v>3</v>
      </c>
      <c r="E14" s="10" t="n">
        <f aca="false">E4*Streams!$E$10/Streams!$E$15</f>
        <v>3</v>
      </c>
      <c r="F14" s="10" t="n">
        <f aca="false">F4*Streams!$E$10/Streams!$E$15</f>
        <v>3</v>
      </c>
      <c r="G14" s="10" t="n">
        <f aca="false">G4*Streams!$E$10/Streams!$E$15</f>
        <v>3</v>
      </c>
      <c r="H14" s="10" t="n">
        <f aca="false">H4*Streams!$E$10/Streams!$E$15</f>
        <v>3</v>
      </c>
      <c r="I14" s="10" t="n">
        <f aca="false">I4*Streams!$E$10/Streams!$E$15</f>
        <v>3</v>
      </c>
      <c r="J14" s="10" t="n">
        <f aca="false">J4*Streams!$E$10/Streams!$E$15</f>
        <v>3</v>
      </c>
      <c r="K14" s="10" t="n">
        <f aca="false">K4*Streams!$E$10/Streams!$E$15</f>
        <v>3</v>
      </c>
      <c r="L14" s="10" t="n">
        <f aca="false">L4*Streams!$E$10/Streams!$E$15</f>
        <v>3</v>
      </c>
      <c r="M14" s="10" t="n">
        <f aca="false">M4*Streams!$E$10/Streams!$E$15</f>
        <v>3</v>
      </c>
      <c r="N14" s="10" t="n">
        <f aca="false">N4*Streams!$E$10/Streams!$E$15</f>
        <v>3</v>
      </c>
      <c r="O14" s="10" t="n">
        <f aca="false">O4*Streams!$E$10/Streams!$E$15</f>
        <v>3</v>
      </c>
      <c r="P14" s="10" t="n">
        <f aca="false">P4*Streams!$E$10/Streams!$E$15</f>
        <v>3</v>
      </c>
      <c r="Q14" s="10" t="n">
        <f aca="false">Q4*Streams!$E$10/Streams!$E$15</f>
        <v>3</v>
      </c>
      <c r="R14" s="10" t="n">
        <f aca="false">R4*Streams!$E$10/Streams!$E$15</f>
        <v>3</v>
      </c>
      <c r="S14" s="10" t="n">
        <f aca="false">S4*Streams!$E$10/Streams!$E$15</f>
        <v>3</v>
      </c>
      <c r="T14" s="10" t="n">
        <f aca="false">T4*Streams!$E$10/Streams!$E$15</f>
        <v>3</v>
      </c>
      <c r="U14" s="10" t="n">
        <f aca="false">U4*Streams!$E$10/Streams!$E$15</f>
        <v>3</v>
      </c>
      <c r="V14" s="10" t="n">
        <f aca="false">V4*Streams!$E$10/Streams!$E$15</f>
        <v>3</v>
      </c>
      <c r="W14" s="10" t="n">
        <f aca="false">W4*Streams!$E$10/Streams!$E$15</f>
        <v>3</v>
      </c>
      <c r="X14" s="10" t="n">
        <f aca="false">X4*Streams!$E$10/Streams!$E$15</f>
        <v>3</v>
      </c>
      <c r="Y14" s="10" t="n">
        <f aca="false">Y4*Streams!$E$10/Streams!$E$15</f>
        <v>3</v>
      </c>
      <c r="Z14" s="10" t="n">
        <f aca="false">Z4*Streams!$E$10/Streams!$E$15</f>
        <v>3</v>
      </c>
      <c r="AA14" s="10" t="n">
        <f aca="false">AA4*Streams!$E$10/Streams!$E$15</f>
        <v>3</v>
      </c>
      <c r="AB14" s="10" t="n">
        <f aca="false">AB4*Streams!$E$10/Streams!$E$15</f>
        <v>3</v>
      </c>
      <c r="AC14" s="10" t="n">
        <f aca="false">AC4*Streams!$E$10/Streams!$E$15</f>
        <v>3</v>
      </c>
      <c r="AD14" s="10" t="n">
        <f aca="false">AD4*Streams!$E$10/Streams!$E$15</f>
        <v>3</v>
      </c>
      <c r="AE14" s="10" t="n">
        <f aca="false">AE4*Streams!$E$10/Streams!$E$15</f>
        <v>3</v>
      </c>
      <c r="AF14" s="10" t="n">
        <f aca="false">AF4*Streams!$E$10/Streams!$E$15</f>
        <v>3</v>
      </c>
      <c r="AG14" s="10" t="n">
        <f aca="false">AG4*Streams!$E$10/Streams!$E$15</f>
        <v>3</v>
      </c>
      <c r="AH14" s="10" t="n">
        <f aca="false">AH4*Streams!$E$10/Streams!$E$15</f>
        <v>3</v>
      </c>
      <c r="AI14" s="10" t="n">
        <f aca="false">AI4*Streams!$E$10/Streams!$E$15</f>
        <v>3</v>
      </c>
      <c r="AJ14" s="10" t="n">
        <f aca="false">AJ4*Streams!$E$10/Streams!$E$15</f>
        <v>3</v>
      </c>
      <c r="AK14" s="10" t="n">
        <f aca="false">AK4*Streams!$E$10/Streams!$E$15</f>
        <v>3</v>
      </c>
      <c r="AL14" s="10" t="n">
        <f aca="false">AL4*Streams!$E$10/Streams!$E$15</f>
        <v>3</v>
      </c>
      <c r="AM14" s="10" t="n">
        <f aca="false">AM4*Streams!$E$10/Streams!$E$15</f>
        <v>3</v>
      </c>
      <c r="AN14" s="10" t="n">
        <f aca="false">AN4*Streams!$E$10/Streams!$E$15</f>
        <v>3</v>
      </c>
      <c r="AO14" s="10" t="n">
        <f aca="false">AO4*Streams!$E$10/Streams!$E$15</f>
        <v>3</v>
      </c>
      <c r="AP14" s="10" t="n">
        <f aca="false">AP4*Streams!$E$10/Streams!$E$15</f>
        <v>3</v>
      </c>
      <c r="AQ14" s="10" t="n">
        <f aca="false">AQ4*Streams!$E$10/Streams!$E$15</f>
        <v>3</v>
      </c>
      <c r="AR14" s="10" t="n">
        <f aca="false">AR4*Streams!$E$10/Streams!$E$15</f>
        <v>3</v>
      </c>
      <c r="AS14" s="10" t="n">
        <f aca="false">AS4*Streams!$E$10/Streams!$E$15</f>
        <v>3</v>
      </c>
      <c r="AT14" s="10" t="n">
        <f aca="false">AT4*Streams!$E$10/Streams!$E$15</f>
        <v>3</v>
      </c>
      <c r="AU14" s="10" t="n">
        <f aca="false">AU4*Streams!$E$10/Streams!$E$15</f>
        <v>3</v>
      </c>
      <c r="AV14" s="10" t="n">
        <f aca="false">AV4*Streams!$E$10/Streams!$E$15</f>
        <v>3</v>
      </c>
      <c r="AW14" s="10" t="n">
        <f aca="false">AW4*Streams!$E$10/Streams!$E$15</f>
        <v>3</v>
      </c>
      <c r="AX14" s="10" t="n">
        <f aca="false">AX4*Streams!$E$10/Streams!$E$15</f>
        <v>3</v>
      </c>
      <c r="AY14" s="10" t="n">
        <f aca="false">AY4*Streams!$E$10/Streams!$E$15</f>
        <v>3</v>
      </c>
      <c r="AZ14" s="10" t="n">
        <f aca="false">AZ4*Streams!$E$10/Streams!$E$15</f>
        <v>3</v>
      </c>
      <c r="BA14" s="10" t="n">
        <f aca="false">BA4*Streams!$E$10/Streams!$E$15</f>
        <v>3</v>
      </c>
      <c r="BB14" s="10" t="n">
        <f aca="false">BB4*Streams!$E$10/Streams!$E$15</f>
        <v>3</v>
      </c>
      <c r="BC14" s="10" t="n">
        <f aca="false">BC4*Streams!$E$10/Streams!$E$15</f>
        <v>3</v>
      </c>
      <c r="BD14" s="10" t="n">
        <f aca="false">BD4*Streams!$E$10/Streams!$E$15</f>
        <v>3</v>
      </c>
      <c r="BE14" s="10" t="n">
        <f aca="false">BE4*Streams!$E$10/Streams!$E$15</f>
        <v>3</v>
      </c>
      <c r="BF14" s="10" t="n">
        <f aca="false">BF4*Streams!$E$10/Streams!$E$15</f>
        <v>3</v>
      </c>
      <c r="BG14" s="10" t="n">
        <f aca="false">BG4*Streams!$E$10/Streams!$E$15</f>
        <v>3</v>
      </c>
      <c r="BH14" s="10" t="n">
        <f aca="false">BH4*Streams!$E$10/Streams!$E$15</f>
        <v>3</v>
      </c>
      <c r="BI14" s="10" t="n">
        <f aca="false">BI4*Streams!$E$10/Streams!$E$15</f>
        <v>3</v>
      </c>
      <c r="BJ14" s="10" t="n">
        <f aca="false">BJ4*Streams!$E$10/Streams!$E$15</f>
        <v>3</v>
      </c>
      <c r="BK14" s="10" t="n">
        <f aca="false">BK4*Streams!$E$10/Streams!$E$15</f>
        <v>3</v>
      </c>
      <c r="BL14" s="10" t="n">
        <f aca="false">BL4*Streams!$E$10/Streams!$E$15</f>
        <v>3</v>
      </c>
      <c r="BM14" s="10" t="n">
        <f aca="false">BM4*Streams!$E$10/Streams!$E$15</f>
        <v>3</v>
      </c>
      <c r="BN14" s="10" t="n">
        <f aca="false">BN4*Streams!$E$10/Streams!$E$15</f>
        <v>3</v>
      </c>
      <c r="BO14" s="10" t="n">
        <f aca="false">BO4*Streams!$E$10/Streams!$E$15</f>
        <v>3</v>
      </c>
      <c r="BP14" s="10" t="n">
        <f aca="false">BP4*Streams!$E$10/Streams!$E$15</f>
        <v>3</v>
      </c>
      <c r="BQ14" s="10" t="n">
        <f aca="false">BQ4*Streams!$E$10/Streams!$E$15</f>
        <v>3</v>
      </c>
      <c r="BR14" s="10" t="n">
        <f aca="false">BR4*Streams!$E$10/Streams!$E$15</f>
        <v>3</v>
      </c>
      <c r="BS14" s="10" t="n">
        <f aca="false">BS4*Streams!$E$10/Streams!$E$15</f>
        <v>3</v>
      </c>
      <c r="BT14" s="10" t="n">
        <f aca="false">BT4*Streams!$E$10/Streams!$E$15</f>
        <v>3</v>
      </c>
      <c r="BU14" s="10" t="n">
        <f aca="false">BU4*Streams!$E$10/Streams!$E$15</f>
        <v>3</v>
      </c>
      <c r="BV14" s="10" t="n">
        <f aca="false">BV4*Streams!$E$10/Streams!$E$15</f>
        <v>3</v>
      </c>
      <c r="BW14" s="10" t="n">
        <f aca="false">BW4*Streams!$E$10/Streams!$E$15</f>
        <v>3</v>
      </c>
      <c r="BX14" s="10" t="n">
        <f aca="false">BX4*Streams!$E$10/Streams!$E$15</f>
        <v>3</v>
      </c>
      <c r="BY14" s="10" t="n">
        <f aca="false">BY4*Streams!$E$10/Streams!$E$15</f>
        <v>3</v>
      </c>
      <c r="BZ14" s="10" t="n">
        <f aca="false">BZ4*Streams!$E$10/Streams!$E$15</f>
        <v>3</v>
      </c>
      <c r="CA14" s="10" t="n">
        <f aca="false">CA4*Streams!$E$10/Streams!$E$15</f>
        <v>3</v>
      </c>
      <c r="CB14" s="10" t="n">
        <f aca="false">CB4*Streams!$E$10/Streams!$E$15</f>
        <v>3</v>
      </c>
      <c r="CC14" s="10" t="n">
        <f aca="false">CC4*Streams!$E$10/Streams!$E$15</f>
        <v>3</v>
      </c>
      <c r="CD14" s="10" t="n">
        <f aca="false">CD4*Streams!$E$10/Streams!$E$15</f>
        <v>3</v>
      </c>
      <c r="CE14" s="10" t="n">
        <f aca="false">CE4*Streams!$E$10/Streams!$E$15</f>
        <v>3</v>
      </c>
      <c r="CF14" s="10" t="n">
        <f aca="false">CF4*Streams!$E$10/Streams!$E$15</f>
        <v>3</v>
      </c>
      <c r="CG14" s="10" t="n">
        <f aca="false">CG4*Streams!$E$10/Streams!$E$15</f>
        <v>3</v>
      </c>
      <c r="CH14" s="10" t="n">
        <f aca="false">CH4*Streams!$E$10/Streams!$E$15</f>
        <v>3</v>
      </c>
      <c r="CI14" s="10" t="n">
        <f aca="false">CI4*Streams!$E$10/Streams!$E$15</f>
        <v>3</v>
      </c>
      <c r="CJ14" s="10" t="n">
        <f aca="false">CJ4*Streams!$E$10/Streams!$E$15</f>
        <v>3</v>
      </c>
      <c r="CK14" s="10" t="n">
        <f aca="false">CK4*Streams!$E$10/Streams!$E$15</f>
        <v>3</v>
      </c>
      <c r="CL14" s="10" t="n">
        <f aca="false">CL4*Streams!$E$10/Streams!$E$15</f>
        <v>3</v>
      </c>
      <c r="CM14" s="10" t="n">
        <f aca="false">CM4*Streams!$E$10/Streams!$E$15</f>
        <v>3</v>
      </c>
      <c r="CN14" s="10" t="n">
        <f aca="false">CN4*Streams!$E$10/Streams!$E$15</f>
        <v>3</v>
      </c>
      <c r="CO14" s="10" t="n">
        <f aca="false">CO4*Streams!$E$10/Streams!$E$15</f>
        <v>3</v>
      </c>
      <c r="CP14" s="10" t="n">
        <f aca="false">CP4*Streams!$E$10/Streams!$E$15</f>
        <v>3</v>
      </c>
      <c r="CQ14" s="10" t="n">
        <f aca="false">CQ4*Streams!$E$10/Streams!$E$15</f>
        <v>3</v>
      </c>
      <c r="CR14" s="10" t="n">
        <f aca="false">CR4*Streams!$E$10/Streams!$E$15</f>
        <v>3</v>
      </c>
      <c r="CS14" s="10" t="n">
        <f aca="false">CS4*Streams!$E$10/Streams!$E$15</f>
        <v>3</v>
      </c>
      <c r="CT14" s="10" t="n">
        <f aca="false">CT4*Streams!$E$10/Streams!$E$15</f>
        <v>3</v>
      </c>
      <c r="CU14" s="10" t="n">
        <f aca="false">CU4*Streams!$E$10/Streams!$E$15</f>
        <v>3</v>
      </c>
      <c r="CV14" s="10" t="n">
        <f aca="false">CV4*Streams!$E$10/Streams!$E$15</f>
        <v>3</v>
      </c>
      <c r="CW14" s="10" t="n">
        <f aca="false">CW4*Streams!$E$10/Streams!$E$15</f>
        <v>3</v>
      </c>
      <c r="CX14" s="10" t="n">
        <f aca="false">CX4*Streams!$E$10/Streams!$E$15</f>
        <v>3</v>
      </c>
      <c r="CY14" s="10" t="n">
        <f aca="false">CY4*Streams!$E$10/Streams!$E$15</f>
        <v>3</v>
      </c>
      <c r="CZ14" s="10" t="n">
        <f aca="false">CZ4*Streams!$E$10/Streams!$E$15</f>
        <v>3</v>
      </c>
      <c r="DA14" s="10" t="n">
        <f aca="false">DA4*Streams!$E$10/Streams!$E$15</f>
        <v>3</v>
      </c>
      <c r="DB14" s="10" t="n">
        <f aca="false">DB4*Streams!$E$10/Streams!$E$15</f>
        <v>3</v>
      </c>
      <c r="DC14" s="10" t="n">
        <f aca="false">DC4*Streams!$E$10/Streams!$E$15</f>
        <v>3</v>
      </c>
      <c r="DD14" s="10" t="n">
        <f aca="false">DD4*Streams!$E$10/Streams!$E$15</f>
        <v>3</v>
      </c>
      <c r="DE14" s="10" t="n">
        <f aca="false">DE4*Streams!$E$10/Streams!$E$15</f>
        <v>3</v>
      </c>
      <c r="DF14" s="10" t="n">
        <f aca="false">DF4*Streams!$E$10/Streams!$E$15</f>
        <v>3</v>
      </c>
      <c r="DG14" s="10" t="n">
        <f aca="false">DG4*Streams!$E$10/Streams!$E$15</f>
        <v>3</v>
      </c>
      <c r="DH14" s="10" t="n">
        <f aca="false">DH4*Streams!$E$10/Streams!$E$15</f>
        <v>3</v>
      </c>
      <c r="DI14" s="10" t="n">
        <f aca="false">DI4*Streams!$E$10/Streams!$E$15</f>
        <v>3</v>
      </c>
      <c r="DJ14" s="10" t="n">
        <f aca="false">DJ4*Streams!$E$10/Streams!$E$15</f>
        <v>3</v>
      </c>
      <c r="DK14" s="10" t="n">
        <f aca="false">DK4*Streams!$E$10/Streams!$E$15</f>
        <v>3</v>
      </c>
      <c r="DL14" s="10" t="n">
        <f aca="false">DL4*Streams!$E$10/Streams!$E$15</f>
        <v>3</v>
      </c>
      <c r="DM14" s="10" t="n">
        <f aca="false">DM4*Streams!$E$10/Streams!$E$15</f>
        <v>3</v>
      </c>
      <c r="DN14" s="10" t="n">
        <f aca="false">DN4*Streams!$E$10/Streams!$E$15</f>
        <v>3</v>
      </c>
      <c r="DO14" s="10" t="n">
        <f aca="false">DO4*Streams!$E$10/Streams!$E$15</f>
        <v>3</v>
      </c>
      <c r="DP14" s="10" t="n">
        <f aca="false">DP4*Streams!$E$10/Streams!$E$15</f>
        <v>3</v>
      </c>
      <c r="DQ14" s="10" t="n">
        <f aca="false">DQ4*Streams!$E$10/Streams!$E$15</f>
        <v>3</v>
      </c>
      <c r="DR14" s="10" t="n">
        <f aca="false">DR4*Streams!$E$10/Streams!$E$15</f>
        <v>3</v>
      </c>
    </row>
    <row r="15" customFormat="false" ht="15" hidden="false" customHeight="false" outlineLevel="0" collapsed="false">
      <c r="A15" s="9" t="s">
        <v>184</v>
      </c>
      <c r="B15" s="10" t="n">
        <f aca="false">B4*Streams!$E$11/Streams!$E$15</f>
        <v>0</v>
      </c>
      <c r="C15" s="10" t="n">
        <f aca="false">C4*Streams!$E$11/Streams!$E$15</f>
        <v>1</v>
      </c>
      <c r="D15" s="10" t="n">
        <f aca="false">D4*Streams!$E$11/Streams!$E$15</f>
        <v>1</v>
      </c>
      <c r="E15" s="10" t="n">
        <f aca="false">E4*Streams!$E$11/Streams!$E$15</f>
        <v>1</v>
      </c>
      <c r="F15" s="10" t="n">
        <f aca="false">F4*Streams!$E$11/Streams!$E$15</f>
        <v>1</v>
      </c>
      <c r="G15" s="10" t="n">
        <f aca="false">G4*Streams!$E$11/Streams!$E$15</f>
        <v>1</v>
      </c>
      <c r="H15" s="10" t="n">
        <f aca="false">H4*Streams!$E$11/Streams!$E$15</f>
        <v>1</v>
      </c>
      <c r="I15" s="10" t="n">
        <f aca="false">I4*Streams!$E$11/Streams!$E$15</f>
        <v>1</v>
      </c>
      <c r="J15" s="10" t="n">
        <f aca="false">J4*Streams!$E$11/Streams!$E$15</f>
        <v>1</v>
      </c>
      <c r="K15" s="10" t="n">
        <f aca="false">K4*Streams!$E$11/Streams!$E$15</f>
        <v>1</v>
      </c>
      <c r="L15" s="10" t="n">
        <f aca="false">L4*Streams!$E$11/Streams!$E$15</f>
        <v>1</v>
      </c>
      <c r="M15" s="10" t="n">
        <f aca="false">M4*Streams!$E$11/Streams!$E$15</f>
        <v>1</v>
      </c>
      <c r="N15" s="10" t="n">
        <f aca="false">N4*Streams!$E$11/Streams!$E$15</f>
        <v>1</v>
      </c>
      <c r="O15" s="10" t="n">
        <f aca="false">O4*Streams!$E$11/Streams!$E$15</f>
        <v>1</v>
      </c>
      <c r="P15" s="10" t="n">
        <f aca="false">P4*Streams!$E$11/Streams!$E$15</f>
        <v>1</v>
      </c>
      <c r="Q15" s="10" t="n">
        <f aca="false">Q4*Streams!$E$11/Streams!$E$15</f>
        <v>1</v>
      </c>
      <c r="R15" s="10" t="n">
        <f aca="false">R4*Streams!$E$11/Streams!$E$15</f>
        <v>1</v>
      </c>
      <c r="S15" s="10" t="n">
        <f aca="false">S4*Streams!$E$11/Streams!$E$15</f>
        <v>1</v>
      </c>
      <c r="T15" s="10" t="n">
        <f aca="false">T4*Streams!$E$11/Streams!$E$15</f>
        <v>1</v>
      </c>
      <c r="U15" s="10" t="n">
        <f aca="false">U4*Streams!$E$11/Streams!$E$15</f>
        <v>1</v>
      </c>
      <c r="V15" s="10" t="n">
        <f aca="false">V4*Streams!$E$11/Streams!$E$15</f>
        <v>1</v>
      </c>
      <c r="W15" s="10" t="n">
        <f aca="false">W4*Streams!$E$11/Streams!$E$15</f>
        <v>1</v>
      </c>
      <c r="X15" s="10" t="n">
        <f aca="false">X4*Streams!$E$11/Streams!$E$15</f>
        <v>1</v>
      </c>
      <c r="Y15" s="10" t="n">
        <f aca="false">Y4*Streams!$E$11/Streams!$E$15</f>
        <v>1</v>
      </c>
      <c r="Z15" s="10" t="n">
        <f aca="false">Z4*Streams!$E$11/Streams!$E$15</f>
        <v>1</v>
      </c>
      <c r="AA15" s="10" t="n">
        <f aca="false">AA4*Streams!$E$11/Streams!$E$15</f>
        <v>1</v>
      </c>
      <c r="AB15" s="10" t="n">
        <f aca="false">AB4*Streams!$E$11/Streams!$E$15</f>
        <v>1</v>
      </c>
      <c r="AC15" s="10" t="n">
        <f aca="false">AC4*Streams!$E$11/Streams!$E$15</f>
        <v>1</v>
      </c>
      <c r="AD15" s="10" t="n">
        <f aca="false">AD4*Streams!$E$11/Streams!$E$15</f>
        <v>1</v>
      </c>
      <c r="AE15" s="10" t="n">
        <f aca="false">AE4*Streams!$E$11/Streams!$E$15</f>
        <v>1</v>
      </c>
      <c r="AF15" s="10" t="n">
        <f aca="false">AF4*Streams!$E$11/Streams!$E$15</f>
        <v>1</v>
      </c>
      <c r="AG15" s="10" t="n">
        <f aca="false">AG4*Streams!$E$11/Streams!$E$15</f>
        <v>1</v>
      </c>
      <c r="AH15" s="10" t="n">
        <f aca="false">AH4*Streams!$E$11/Streams!$E$15</f>
        <v>1</v>
      </c>
      <c r="AI15" s="10" t="n">
        <f aca="false">AI4*Streams!$E$11/Streams!$E$15</f>
        <v>1</v>
      </c>
      <c r="AJ15" s="10" t="n">
        <f aca="false">AJ4*Streams!$E$11/Streams!$E$15</f>
        <v>1</v>
      </c>
      <c r="AK15" s="10" t="n">
        <f aca="false">AK4*Streams!$E$11/Streams!$E$15</f>
        <v>1</v>
      </c>
      <c r="AL15" s="10" t="n">
        <f aca="false">AL4*Streams!$E$11/Streams!$E$15</f>
        <v>1</v>
      </c>
      <c r="AM15" s="10" t="n">
        <f aca="false">AM4*Streams!$E$11/Streams!$E$15</f>
        <v>1</v>
      </c>
      <c r="AN15" s="10" t="n">
        <f aca="false">AN4*Streams!$E$11/Streams!$E$15</f>
        <v>1</v>
      </c>
      <c r="AO15" s="10" t="n">
        <f aca="false">AO4*Streams!$E$11/Streams!$E$15</f>
        <v>1</v>
      </c>
      <c r="AP15" s="10" t="n">
        <f aca="false">AP4*Streams!$E$11/Streams!$E$15</f>
        <v>1</v>
      </c>
      <c r="AQ15" s="10" t="n">
        <f aca="false">AQ4*Streams!$E$11/Streams!$E$15</f>
        <v>1</v>
      </c>
      <c r="AR15" s="10" t="n">
        <f aca="false">AR4*Streams!$E$11/Streams!$E$15</f>
        <v>1</v>
      </c>
      <c r="AS15" s="10" t="n">
        <f aca="false">AS4*Streams!$E$11/Streams!$E$15</f>
        <v>1</v>
      </c>
      <c r="AT15" s="10" t="n">
        <f aca="false">AT4*Streams!$E$11/Streams!$E$15</f>
        <v>1</v>
      </c>
      <c r="AU15" s="10" t="n">
        <f aca="false">AU4*Streams!$E$11/Streams!$E$15</f>
        <v>1</v>
      </c>
      <c r="AV15" s="10" t="n">
        <f aca="false">AV4*Streams!$E$11/Streams!$E$15</f>
        <v>1</v>
      </c>
      <c r="AW15" s="10" t="n">
        <f aca="false">AW4*Streams!$E$11/Streams!$E$15</f>
        <v>1</v>
      </c>
      <c r="AX15" s="10" t="n">
        <f aca="false">AX4*Streams!$E$11/Streams!$E$15</f>
        <v>1</v>
      </c>
      <c r="AY15" s="10" t="n">
        <f aca="false">AY4*Streams!$E$11/Streams!$E$15</f>
        <v>1</v>
      </c>
      <c r="AZ15" s="10" t="n">
        <f aca="false">AZ4*Streams!$E$11/Streams!$E$15</f>
        <v>1</v>
      </c>
      <c r="BA15" s="10" t="n">
        <f aca="false">BA4*Streams!$E$11/Streams!$E$15</f>
        <v>1</v>
      </c>
      <c r="BB15" s="10" t="n">
        <f aca="false">BB4*Streams!$E$11/Streams!$E$15</f>
        <v>1</v>
      </c>
      <c r="BC15" s="10" t="n">
        <f aca="false">BC4*Streams!$E$11/Streams!$E$15</f>
        <v>1</v>
      </c>
      <c r="BD15" s="10" t="n">
        <f aca="false">BD4*Streams!$E$11/Streams!$E$15</f>
        <v>1</v>
      </c>
      <c r="BE15" s="10" t="n">
        <f aca="false">BE4*Streams!$E$11/Streams!$E$15</f>
        <v>1</v>
      </c>
      <c r="BF15" s="10" t="n">
        <f aca="false">BF4*Streams!$E$11/Streams!$E$15</f>
        <v>1</v>
      </c>
      <c r="BG15" s="10" t="n">
        <f aca="false">BG4*Streams!$E$11/Streams!$E$15</f>
        <v>1</v>
      </c>
      <c r="BH15" s="10" t="n">
        <f aca="false">BH4*Streams!$E$11/Streams!$E$15</f>
        <v>1</v>
      </c>
      <c r="BI15" s="10" t="n">
        <f aca="false">BI4*Streams!$E$11/Streams!$E$15</f>
        <v>1</v>
      </c>
      <c r="BJ15" s="10" t="n">
        <f aca="false">BJ4*Streams!$E$11/Streams!$E$15</f>
        <v>1</v>
      </c>
      <c r="BK15" s="10" t="n">
        <f aca="false">BK4*Streams!$E$11/Streams!$E$15</f>
        <v>1</v>
      </c>
      <c r="BL15" s="10" t="n">
        <f aca="false">BL4*Streams!$E$11/Streams!$E$15</f>
        <v>1</v>
      </c>
      <c r="BM15" s="10" t="n">
        <f aca="false">BM4*Streams!$E$11/Streams!$E$15</f>
        <v>1</v>
      </c>
      <c r="BN15" s="10" t="n">
        <f aca="false">BN4*Streams!$E$11/Streams!$E$15</f>
        <v>1</v>
      </c>
      <c r="BO15" s="10" t="n">
        <f aca="false">BO4*Streams!$E$11/Streams!$E$15</f>
        <v>1</v>
      </c>
      <c r="BP15" s="10" t="n">
        <f aca="false">BP4*Streams!$E$11/Streams!$E$15</f>
        <v>1</v>
      </c>
      <c r="BQ15" s="10" t="n">
        <f aca="false">BQ4*Streams!$E$11/Streams!$E$15</f>
        <v>1</v>
      </c>
      <c r="BR15" s="10" t="n">
        <f aca="false">BR4*Streams!$E$11/Streams!$E$15</f>
        <v>1</v>
      </c>
      <c r="BS15" s="10" t="n">
        <f aca="false">BS4*Streams!$E$11/Streams!$E$15</f>
        <v>1</v>
      </c>
      <c r="BT15" s="10" t="n">
        <f aca="false">BT4*Streams!$E$11/Streams!$E$15</f>
        <v>1</v>
      </c>
      <c r="BU15" s="10" t="n">
        <f aca="false">BU4*Streams!$E$11/Streams!$E$15</f>
        <v>1</v>
      </c>
      <c r="BV15" s="10" t="n">
        <f aca="false">BV4*Streams!$E$11/Streams!$E$15</f>
        <v>1</v>
      </c>
      <c r="BW15" s="10" t="n">
        <f aca="false">BW4*Streams!$E$11/Streams!$E$15</f>
        <v>1</v>
      </c>
      <c r="BX15" s="10" t="n">
        <f aca="false">BX4*Streams!$E$11/Streams!$E$15</f>
        <v>1</v>
      </c>
      <c r="BY15" s="10" t="n">
        <f aca="false">BY4*Streams!$E$11/Streams!$E$15</f>
        <v>1</v>
      </c>
      <c r="BZ15" s="10" t="n">
        <f aca="false">BZ4*Streams!$E$11/Streams!$E$15</f>
        <v>1</v>
      </c>
      <c r="CA15" s="10" t="n">
        <f aca="false">CA4*Streams!$E$11/Streams!$E$15</f>
        <v>1</v>
      </c>
      <c r="CB15" s="10" t="n">
        <f aca="false">CB4*Streams!$E$11/Streams!$E$15</f>
        <v>1</v>
      </c>
      <c r="CC15" s="10" t="n">
        <f aca="false">CC4*Streams!$E$11/Streams!$E$15</f>
        <v>1</v>
      </c>
      <c r="CD15" s="10" t="n">
        <f aca="false">CD4*Streams!$E$11/Streams!$E$15</f>
        <v>1</v>
      </c>
      <c r="CE15" s="10" t="n">
        <f aca="false">CE4*Streams!$E$11/Streams!$E$15</f>
        <v>1</v>
      </c>
      <c r="CF15" s="10" t="n">
        <f aca="false">CF4*Streams!$E$11/Streams!$E$15</f>
        <v>1</v>
      </c>
      <c r="CG15" s="10" t="n">
        <f aca="false">CG4*Streams!$E$11/Streams!$E$15</f>
        <v>1</v>
      </c>
      <c r="CH15" s="10" t="n">
        <f aca="false">CH4*Streams!$E$11/Streams!$E$15</f>
        <v>1</v>
      </c>
      <c r="CI15" s="10" t="n">
        <f aca="false">CI4*Streams!$E$11/Streams!$E$15</f>
        <v>1</v>
      </c>
      <c r="CJ15" s="10" t="n">
        <f aca="false">CJ4*Streams!$E$11/Streams!$E$15</f>
        <v>1</v>
      </c>
      <c r="CK15" s="10" t="n">
        <f aca="false">CK4*Streams!$E$11/Streams!$E$15</f>
        <v>1</v>
      </c>
      <c r="CL15" s="10" t="n">
        <f aca="false">CL4*Streams!$E$11/Streams!$E$15</f>
        <v>1</v>
      </c>
      <c r="CM15" s="10" t="n">
        <f aca="false">CM4*Streams!$E$11/Streams!$E$15</f>
        <v>1</v>
      </c>
      <c r="CN15" s="10" t="n">
        <f aca="false">CN4*Streams!$E$11/Streams!$E$15</f>
        <v>1</v>
      </c>
      <c r="CO15" s="10" t="n">
        <f aca="false">CO4*Streams!$E$11/Streams!$E$15</f>
        <v>1</v>
      </c>
      <c r="CP15" s="10" t="n">
        <f aca="false">CP4*Streams!$E$11/Streams!$E$15</f>
        <v>1</v>
      </c>
      <c r="CQ15" s="10" t="n">
        <f aca="false">CQ4*Streams!$E$11/Streams!$E$15</f>
        <v>1</v>
      </c>
      <c r="CR15" s="10" t="n">
        <f aca="false">CR4*Streams!$E$11/Streams!$E$15</f>
        <v>1</v>
      </c>
      <c r="CS15" s="10" t="n">
        <f aca="false">CS4*Streams!$E$11/Streams!$E$15</f>
        <v>1</v>
      </c>
      <c r="CT15" s="10" t="n">
        <f aca="false">CT4*Streams!$E$11/Streams!$E$15</f>
        <v>1</v>
      </c>
      <c r="CU15" s="10" t="n">
        <f aca="false">CU4*Streams!$E$11/Streams!$E$15</f>
        <v>1</v>
      </c>
      <c r="CV15" s="10" t="n">
        <f aca="false">CV4*Streams!$E$11/Streams!$E$15</f>
        <v>1</v>
      </c>
      <c r="CW15" s="10" t="n">
        <f aca="false">CW4*Streams!$E$11/Streams!$E$15</f>
        <v>1</v>
      </c>
      <c r="CX15" s="10" t="n">
        <f aca="false">CX4*Streams!$E$11/Streams!$E$15</f>
        <v>1</v>
      </c>
      <c r="CY15" s="10" t="n">
        <f aca="false">CY4*Streams!$E$11/Streams!$E$15</f>
        <v>1</v>
      </c>
      <c r="CZ15" s="10" t="n">
        <f aca="false">CZ4*Streams!$E$11/Streams!$E$15</f>
        <v>1</v>
      </c>
      <c r="DA15" s="10" t="n">
        <f aca="false">DA4*Streams!$E$11/Streams!$E$15</f>
        <v>1</v>
      </c>
      <c r="DB15" s="10" t="n">
        <f aca="false">DB4*Streams!$E$11/Streams!$E$15</f>
        <v>1</v>
      </c>
      <c r="DC15" s="10" t="n">
        <f aca="false">DC4*Streams!$E$11/Streams!$E$15</f>
        <v>1</v>
      </c>
      <c r="DD15" s="10" t="n">
        <f aca="false">DD4*Streams!$E$11/Streams!$E$15</f>
        <v>1</v>
      </c>
      <c r="DE15" s="10" t="n">
        <f aca="false">DE4*Streams!$E$11/Streams!$E$15</f>
        <v>1</v>
      </c>
      <c r="DF15" s="10" t="n">
        <f aca="false">DF4*Streams!$E$11/Streams!$E$15</f>
        <v>1</v>
      </c>
      <c r="DG15" s="10" t="n">
        <f aca="false">DG4*Streams!$E$11/Streams!$E$15</f>
        <v>1</v>
      </c>
      <c r="DH15" s="10" t="n">
        <f aca="false">DH4*Streams!$E$11/Streams!$E$15</f>
        <v>1</v>
      </c>
      <c r="DI15" s="10" t="n">
        <f aca="false">DI4*Streams!$E$11/Streams!$E$15</f>
        <v>1</v>
      </c>
      <c r="DJ15" s="10" t="n">
        <f aca="false">DJ4*Streams!$E$11/Streams!$E$15</f>
        <v>1</v>
      </c>
      <c r="DK15" s="10" t="n">
        <f aca="false">DK4*Streams!$E$11/Streams!$E$15</f>
        <v>1</v>
      </c>
      <c r="DL15" s="10" t="n">
        <f aca="false">DL4*Streams!$E$11/Streams!$E$15</f>
        <v>1</v>
      </c>
      <c r="DM15" s="10" t="n">
        <f aca="false">DM4*Streams!$E$11/Streams!$E$15</f>
        <v>1</v>
      </c>
      <c r="DN15" s="10" t="n">
        <f aca="false">DN4*Streams!$E$11/Streams!$E$15</f>
        <v>1</v>
      </c>
      <c r="DO15" s="10" t="n">
        <f aca="false">DO4*Streams!$E$11/Streams!$E$15</f>
        <v>1</v>
      </c>
      <c r="DP15" s="10" t="n">
        <f aca="false">DP4*Streams!$E$11/Streams!$E$15</f>
        <v>1</v>
      </c>
      <c r="DQ15" s="10" t="n">
        <f aca="false">DQ4*Streams!$E$11/Streams!$E$15</f>
        <v>1</v>
      </c>
      <c r="DR15" s="10" t="n">
        <f aca="false">DR4*Streams!$E$11/Streams!$E$15</f>
        <v>1</v>
      </c>
    </row>
    <row r="16" customFormat="false" ht="15" hidden="false" customHeight="false" outlineLevel="0" collapsed="false">
      <c r="A16" s="9" t="s">
        <v>185</v>
      </c>
      <c r="B16" s="10" t="n">
        <f aca="false">B4*Streams!$E$12/Streams!$E$15</f>
        <v>0</v>
      </c>
      <c r="C16" s="10" t="n">
        <f aca="false">C4*Streams!$E$12/Streams!$E$15</f>
        <v>1</v>
      </c>
      <c r="D16" s="10" t="n">
        <f aca="false">D4*Streams!$E$12/Streams!$E$15</f>
        <v>1</v>
      </c>
      <c r="E16" s="10" t="n">
        <f aca="false">E4*Streams!$E$12/Streams!$E$15</f>
        <v>1</v>
      </c>
      <c r="F16" s="10" t="n">
        <f aca="false">F4*Streams!$E$12/Streams!$E$15</f>
        <v>1</v>
      </c>
      <c r="G16" s="10" t="n">
        <f aca="false">G4*Streams!$E$12/Streams!$E$15</f>
        <v>1</v>
      </c>
      <c r="H16" s="10" t="n">
        <f aca="false">H4*Streams!$E$12/Streams!$E$15</f>
        <v>1</v>
      </c>
      <c r="I16" s="10" t="n">
        <f aca="false">I4*Streams!$E$12/Streams!$E$15</f>
        <v>1</v>
      </c>
      <c r="J16" s="10" t="n">
        <f aca="false">J4*Streams!$E$12/Streams!$E$15</f>
        <v>1</v>
      </c>
      <c r="K16" s="10" t="n">
        <f aca="false">K4*Streams!$E$12/Streams!$E$15</f>
        <v>1</v>
      </c>
      <c r="L16" s="10" t="n">
        <f aca="false">L4*Streams!$E$12/Streams!$E$15</f>
        <v>1</v>
      </c>
      <c r="M16" s="10" t="n">
        <f aca="false">M4*Streams!$E$12/Streams!$E$15</f>
        <v>1</v>
      </c>
      <c r="N16" s="10" t="n">
        <f aca="false">N4*Streams!$E$12/Streams!$E$15</f>
        <v>1</v>
      </c>
      <c r="O16" s="10" t="n">
        <f aca="false">O4*Streams!$E$12/Streams!$E$15</f>
        <v>1</v>
      </c>
      <c r="P16" s="10" t="n">
        <f aca="false">P4*Streams!$E$12/Streams!$E$15</f>
        <v>1</v>
      </c>
      <c r="Q16" s="10" t="n">
        <f aca="false">Q4*Streams!$E$12/Streams!$E$15</f>
        <v>1</v>
      </c>
      <c r="R16" s="10" t="n">
        <f aca="false">R4*Streams!$E$12/Streams!$E$15</f>
        <v>1</v>
      </c>
      <c r="S16" s="10" t="n">
        <f aca="false">S4*Streams!$E$12/Streams!$E$15</f>
        <v>1</v>
      </c>
      <c r="T16" s="10" t="n">
        <f aca="false">T4*Streams!$E$12/Streams!$E$15</f>
        <v>1</v>
      </c>
      <c r="U16" s="10" t="n">
        <f aca="false">U4*Streams!$E$12/Streams!$E$15</f>
        <v>1</v>
      </c>
      <c r="V16" s="10" t="n">
        <f aca="false">V4*Streams!$E$12/Streams!$E$15</f>
        <v>1</v>
      </c>
      <c r="W16" s="10" t="n">
        <f aca="false">W4*Streams!$E$12/Streams!$E$15</f>
        <v>1</v>
      </c>
      <c r="X16" s="10" t="n">
        <f aca="false">X4*Streams!$E$12/Streams!$E$15</f>
        <v>1</v>
      </c>
      <c r="Y16" s="10" t="n">
        <f aca="false">Y4*Streams!$E$12/Streams!$E$15</f>
        <v>1</v>
      </c>
      <c r="Z16" s="10" t="n">
        <f aca="false">Z4*Streams!$E$12/Streams!$E$15</f>
        <v>1</v>
      </c>
      <c r="AA16" s="10" t="n">
        <f aca="false">AA4*Streams!$E$12/Streams!$E$15</f>
        <v>1</v>
      </c>
      <c r="AB16" s="10" t="n">
        <f aca="false">AB4*Streams!$E$12/Streams!$E$15</f>
        <v>1</v>
      </c>
      <c r="AC16" s="10" t="n">
        <f aca="false">AC4*Streams!$E$12/Streams!$E$15</f>
        <v>1</v>
      </c>
      <c r="AD16" s="10" t="n">
        <f aca="false">AD4*Streams!$E$12/Streams!$E$15</f>
        <v>1</v>
      </c>
      <c r="AE16" s="10" t="n">
        <f aca="false">AE4*Streams!$E$12/Streams!$E$15</f>
        <v>1</v>
      </c>
      <c r="AF16" s="10" t="n">
        <f aca="false">AF4*Streams!$E$12/Streams!$E$15</f>
        <v>1</v>
      </c>
      <c r="AG16" s="10" t="n">
        <f aca="false">AG4*Streams!$E$12/Streams!$E$15</f>
        <v>1</v>
      </c>
      <c r="AH16" s="10" t="n">
        <f aca="false">AH4*Streams!$E$12/Streams!$E$15</f>
        <v>1</v>
      </c>
      <c r="AI16" s="10" t="n">
        <f aca="false">AI4*Streams!$E$12/Streams!$E$15</f>
        <v>1</v>
      </c>
      <c r="AJ16" s="10" t="n">
        <f aca="false">AJ4*Streams!$E$12/Streams!$E$15</f>
        <v>1</v>
      </c>
      <c r="AK16" s="10" t="n">
        <f aca="false">AK4*Streams!$E$12/Streams!$E$15</f>
        <v>1</v>
      </c>
      <c r="AL16" s="10" t="n">
        <f aca="false">AL4*Streams!$E$12/Streams!$E$15</f>
        <v>1</v>
      </c>
      <c r="AM16" s="10" t="n">
        <f aca="false">AM4*Streams!$E$12/Streams!$E$15</f>
        <v>1</v>
      </c>
      <c r="AN16" s="10" t="n">
        <f aca="false">AN4*Streams!$E$12/Streams!$E$15</f>
        <v>1</v>
      </c>
      <c r="AO16" s="10" t="n">
        <f aca="false">AO4*Streams!$E$12/Streams!$E$15</f>
        <v>1</v>
      </c>
      <c r="AP16" s="10" t="n">
        <f aca="false">AP4*Streams!$E$12/Streams!$E$15</f>
        <v>1</v>
      </c>
      <c r="AQ16" s="10" t="n">
        <f aca="false">AQ4*Streams!$E$12/Streams!$E$15</f>
        <v>1</v>
      </c>
      <c r="AR16" s="10" t="n">
        <f aca="false">AR4*Streams!$E$12/Streams!$E$15</f>
        <v>1</v>
      </c>
      <c r="AS16" s="10" t="n">
        <f aca="false">AS4*Streams!$E$12/Streams!$E$15</f>
        <v>1</v>
      </c>
      <c r="AT16" s="10" t="n">
        <f aca="false">AT4*Streams!$E$12/Streams!$E$15</f>
        <v>1</v>
      </c>
      <c r="AU16" s="10" t="n">
        <f aca="false">AU4*Streams!$E$12/Streams!$E$15</f>
        <v>1</v>
      </c>
      <c r="AV16" s="10" t="n">
        <f aca="false">AV4*Streams!$E$12/Streams!$E$15</f>
        <v>1</v>
      </c>
      <c r="AW16" s="10" t="n">
        <f aca="false">AW4*Streams!$E$12/Streams!$E$15</f>
        <v>1</v>
      </c>
      <c r="AX16" s="10" t="n">
        <f aca="false">AX4*Streams!$E$12/Streams!$E$15</f>
        <v>1</v>
      </c>
      <c r="AY16" s="10" t="n">
        <f aca="false">AY4*Streams!$E$12/Streams!$E$15</f>
        <v>1</v>
      </c>
      <c r="AZ16" s="10" t="n">
        <f aca="false">AZ4*Streams!$E$12/Streams!$E$15</f>
        <v>1</v>
      </c>
      <c r="BA16" s="10" t="n">
        <f aca="false">BA4*Streams!$E$12/Streams!$E$15</f>
        <v>1</v>
      </c>
      <c r="BB16" s="10" t="n">
        <f aca="false">BB4*Streams!$E$12/Streams!$E$15</f>
        <v>1</v>
      </c>
      <c r="BC16" s="10" t="n">
        <f aca="false">BC4*Streams!$E$12/Streams!$E$15</f>
        <v>1</v>
      </c>
      <c r="BD16" s="10" t="n">
        <f aca="false">BD4*Streams!$E$12/Streams!$E$15</f>
        <v>1</v>
      </c>
      <c r="BE16" s="10" t="n">
        <f aca="false">BE4*Streams!$E$12/Streams!$E$15</f>
        <v>1</v>
      </c>
      <c r="BF16" s="10" t="n">
        <f aca="false">BF4*Streams!$E$12/Streams!$E$15</f>
        <v>1</v>
      </c>
      <c r="BG16" s="10" t="n">
        <f aca="false">BG4*Streams!$E$12/Streams!$E$15</f>
        <v>1</v>
      </c>
      <c r="BH16" s="10" t="n">
        <f aca="false">BH4*Streams!$E$12/Streams!$E$15</f>
        <v>1</v>
      </c>
      <c r="BI16" s="10" t="n">
        <f aca="false">BI4*Streams!$E$12/Streams!$E$15</f>
        <v>1</v>
      </c>
      <c r="BJ16" s="10" t="n">
        <f aca="false">BJ4*Streams!$E$12/Streams!$E$15</f>
        <v>1</v>
      </c>
      <c r="BK16" s="10" t="n">
        <f aca="false">BK4*Streams!$E$12/Streams!$E$15</f>
        <v>1</v>
      </c>
      <c r="BL16" s="10" t="n">
        <f aca="false">BL4*Streams!$E$12/Streams!$E$15</f>
        <v>1</v>
      </c>
      <c r="BM16" s="10" t="n">
        <f aca="false">BM4*Streams!$E$12/Streams!$E$15</f>
        <v>1</v>
      </c>
      <c r="BN16" s="10" t="n">
        <f aca="false">BN4*Streams!$E$12/Streams!$E$15</f>
        <v>1</v>
      </c>
      <c r="BO16" s="10" t="n">
        <f aca="false">BO4*Streams!$E$12/Streams!$E$15</f>
        <v>1</v>
      </c>
      <c r="BP16" s="10" t="n">
        <f aca="false">BP4*Streams!$E$12/Streams!$E$15</f>
        <v>1</v>
      </c>
      <c r="BQ16" s="10" t="n">
        <f aca="false">BQ4*Streams!$E$12/Streams!$E$15</f>
        <v>1</v>
      </c>
      <c r="BR16" s="10" t="n">
        <f aca="false">BR4*Streams!$E$12/Streams!$E$15</f>
        <v>1</v>
      </c>
      <c r="BS16" s="10" t="n">
        <f aca="false">BS4*Streams!$E$12/Streams!$E$15</f>
        <v>1</v>
      </c>
      <c r="BT16" s="10" t="n">
        <f aca="false">BT4*Streams!$E$12/Streams!$E$15</f>
        <v>1</v>
      </c>
      <c r="BU16" s="10" t="n">
        <f aca="false">BU4*Streams!$E$12/Streams!$E$15</f>
        <v>1</v>
      </c>
      <c r="BV16" s="10" t="n">
        <f aca="false">BV4*Streams!$E$12/Streams!$E$15</f>
        <v>1</v>
      </c>
      <c r="BW16" s="10" t="n">
        <f aca="false">BW4*Streams!$E$12/Streams!$E$15</f>
        <v>1</v>
      </c>
      <c r="BX16" s="10" t="n">
        <f aca="false">BX4*Streams!$E$12/Streams!$E$15</f>
        <v>1</v>
      </c>
      <c r="BY16" s="10" t="n">
        <f aca="false">BY4*Streams!$E$12/Streams!$E$15</f>
        <v>1</v>
      </c>
      <c r="BZ16" s="10" t="n">
        <f aca="false">BZ4*Streams!$E$12/Streams!$E$15</f>
        <v>1</v>
      </c>
      <c r="CA16" s="10" t="n">
        <f aca="false">CA4*Streams!$E$12/Streams!$E$15</f>
        <v>1</v>
      </c>
      <c r="CB16" s="10" t="n">
        <f aca="false">CB4*Streams!$E$12/Streams!$E$15</f>
        <v>1</v>
      </c>
      <c r="CC16" s="10" t="n">
        <f aca="false">CC4*Streams!$E$12/Streams!$E$15</f>
        <v>1</v>
      </c>
      <c r="CD16" s="10" t="n">
        <f aca="false">CD4*Streams!$E$12/Streams!$E$15</f>
        <v>1</v>
      </c>
      <c r="CE16" s="10" t="n">
        <f aca="false">CE4*Streams!$E$12/Streams!$E$15</f>
        <v>1</v>
      </c>
      <c r="CF16" s="10" t="n">
        <f aca="false">CF4*Streams!$E$12/Streams!$E$15</f>
        <v>1</v>
      </c>
      <c r="CG16" s="10" t="n">
        <f aca="false">CG4*Streams!$E$12/Streams!$E$15</f>
        <v>1</v>
      </c>
      <c r="CH16" s="10" t="n">
        <f aca="false">CH4*Streams!$E$12/Streams!$E$15</f>
        <v>1</v>
      </c>
      <c r="CI16" s="10" t="n">
        <f aca="false">CI4*Streams!$E$12/Streams!$E$15</f>
        <v>1</v>
      </c>
      <c r="CJ16" s="10" t="n">
        <f aca="false">CJ4*Streams!$E$12/Streams!$E$15</f>
        <v>1</v>
      </c>
      <c r="CK16" s="10" t="n">
        <f aca="false">CK4*Streams!$E$12/Streams!$E$15</f>
        <v>1</v>
      </c>
      <c r="CL16" s="10" t="n">
        <f aca="false">CL4*Streams!$E$12/Streams!$E$15</f>
        <v>1</v>
      </c>
      <c r="CM16" s="10" t="n">
        <f aca="false">CM4*Streams!$E$12/Streams!$E$15</f>
        <v>1</v>
      </c>
      <c r="CN16" s="10" t="n">
        <f aca="false">CN4*Streams!$E$12/Streams!$E$15</f>
        <v>1</v>
      </c>
      <c r="CO16" s="10" t="n">
        <f aca="false">CO4*Streams!$E$12/Streams!$E$15</f>
        <v>1</v>
      </c>
      <c r="CP16" s="10" t="n">
        <f aca="false">CP4*Streams!$E$12/Streams!$E$15</f>
        <v>1</v>
      </c>
      <c r="CQ16" s="10" t="n">
        <f aca="false">CQ4*Streams!$E$12/Streams!$E$15</f>
        <v>1</v>
      </c>
      <c r="CR16" s="10" t="n">
        <f aca="false">CR4*Streams!$E$12/Streams!$E$15</f>
        <v>1</v>
      </c>
      <c r="CS16" s="10" t="n">
        <f aca="false">CS4*Streams!$E$12/Streams!$E$15</f>
        <v>1</v>
      </c>
      <c r="CT16" s="10" t="n">
        <f aca="false">CT4*Streams!$E$12/Streams!$E$15</f>
        <v>1</v>
      </c>
      <c r="CU16" s="10" t="n">
        <f aca="false">CU4*Streams!$E$12/Streams!$E$15</f>
        <v>1</v>
      </c>
      <c r="CV16" s="10" t="n">
        <f aca="false">CV4*Streams!$E$12/Streams!$E$15</f>
        <v>1</v>
      </c>
      <c r="CW16" s="10" t="n">
        <f aca="false">CW4*Streams!$E$12/Streams!$E$15</f>
        <v>1</v>
      </c>
      <c r="CX16" s="10" t="n">
        <f aca="false">CX4*Streams!$E$12/Streams!$E$15</f>
        <v>1</v>
      </c>
      <c r="CY16" s="10" t="n">
        <f aca="false">CY4*Streams!$E$12/Streams!$E$15</f>
        <v>1</v>
      </c>
      <c r="CZ16" s="10" t="n">
        <f aca="false">CZ4*Streams!$E$12/Streams!$E$15</f>
        <v>1</v>
      </c>
      <c r="DA16" s="10" t="n">
        <f aca="false">DA4*Streams!$E$12/Streams!$E$15</f>
        <v>1</v>
      </c>
      <c r="DB16" s="10" t="n">
        <f aca="false">DB4*Streams!$E$12/Streams!$E$15</f>
        <v>1</v>
      </c>
      <c r="DC16" s="10" t="n">
        <f aca="false">DC4*Streams!$E$12/Streams!$E$15</f>
        <v>1</v>
      </c>
      <c r="DD16" s="10" t="n">
        <f aca="false">DD4*Streams!$E$12/Streams!$E$15</f>
        <v>1</v>
      </c>
      <c r="DE16" s="10" t="n">
        <f aca="false">DE4*Streams!$E$12/Streams!$E$15</f>
        <v>1</v>
      </c>
      <c r="DF16" s="10" t="n">
        <f aca="false">DF4*Streams!$E$12/Streams!$E$15</f>
        <v>1</v>
      </c>
      <c r="DG16" s="10" t="n">
        <f aca="false">DG4*Streams!$E$12/Streams!$E$15</f>
        <v>1</v>
      </c>
      <c r="DH16" s="10" t="n">
        <f aca="false">DH4*Streams!$E$12/Streams!$E$15</f>
        <v>1</v>
      </c>
      <c r="DI16" s="10" t="n">
        <f aca="false">DI4*Streams!$E$12/Streams!$E$15</f>
        <v>1</v>
      </c>
      <c r="DJ16" s="10" t="n">
        <f aca="false">DJ4*Streams!$E$12/Streams!$E$15</f>
        <v>1</v>
      </c>
      <c r="DK16" s="10" t="n">
        <f aca="false">DK4*Streams!$E$12/Streams!$E$15</f>
        <v>1</v>
      </c>
      <c r="DL16" s="10" t="n">
        <f aca="false">DL4*Streams!$E$12/Streams!$E$15</f>
        <v>1</v>
      </c>
      <c r="DM16" s="10" t="n">
        <f aca="false">DM4*Streams!$E$12/Streams!$E$15</f>
        <v>1</v>
      </c>
      <c r="DN16" s="10" t="n">
        <f aca="false">DN4*Streams!$E$12/Streams!$E$15</f>
        <v>1</v>
      </c>
      <c r="DO16" s="10" t="n">
        <f aca="false">DO4*Streams!$E$12/Streams!$E$15</f>
        <v>1</v>
      </c>
      <c r="DP16" s="10" t="n">
        <f aca="false">DP4*Streams!$E$12/Streams!$E$15</f>
        <v>1</v>
      </c>
      <c r="DQ16" s="10" t="n">
        <f aca="false">DQ4*Streams!$E$12/Streams!$E$15</f>
        <v>1</v>
      </c>
      <c r="DR16" s="10" t="n">
        <f aca="false">DR4*Streams!$E$12/Streams!$E$15</f>
        <v>1</v>
      </c>
    </row>
    <row r="17" customFormat="false" ht="15" hidden="false" customHeight="false" outlineLevel="0" collapsed="false">
      <c r="A17" s="9" t="s">
        <v>186</v>
      </c>
      <c r="B17" s="10" t="n">
        <f aca="false">B4*Streams!$E$13/Streams!$E$15</f>
        <v>0</v>
      </c>
      <c r="C17" s="10" t="n">
        <f aca="false">C4*Streams!$E$13/Streams!$E$15</f>
        <v>2</v>
      </c>
      <c r="D17" s="10" t="n">
        <f aca="false">D4*Streams!$E$13/Streams!$E$15</f>
        <v>2</v>
      </c>
      <c r="E17" s="10" t="n">
        <f aca="false">E4*Streams!$E$13/Streams!$E$15</f>
        <v>2</v>
      </c>
      <c r="F17" s="10" t="n">
        <f aca="false">F4*Streams!$E$13/Streams!$E$15</f>
        <v>2</v>
      </c>
      <c r="G17" s="10" t="n">
        <f aca="false">G4*Streams!$E$13/Streams!$E$15</f>
        <v>2</v>
      </c>
      <c r="H17" s="10" t="n">
        <f aca="false">H4*Streams!$E$13/Streams!$E$15</f>
        <v>2</v>
      </c>
      <c r="I17" s="10" t="n">
        <f aca="false">I4*Streams!$E$13/Streams!$E$15</f>
        <v>2</v>
      </c>
      <c r="J17" s="10" t="n">
        <f aca="false">J4*Streams!$E$13/Streams!$E$15</f>
        <v>2</v>
      </c>
      <c r="K17" s="10" t="n">
        <f aca="false">K4*Streams!$E$13/Streams!$E$15</f>
        <v>2</v>
      </c>
      <c r="L17" s="10" t="n">
        <f aca="false">L4*Streams!$E$13/Streams!$E$15</f>
        <v>2</v>
      </c>
      <c r="M17" s="10" t="n">
        <f aca="false">M4*Streams!$E$13/Streams!$E$15</f>
        <v>2</v>
      </c>
      <c r="N17" s="10" t="n">
        <f aca="false">N4*Streams!$E$13/Streams!$E$15</f>
        <v>2</v>
      </c>
      <c r="O17" s="10" t="n">
        <f aca="false">O4*Streams!$E$13/Streams!$E$15</f>
        <v>2</v>
      </c>
      <c r="P17" s="10" t="n">
        <f aca="false">P4*Streams!$E$13/Streams!$E$15</f>
        <v>2</v>
      </c>
      <c r="Q17" s="10" t="n">
        <f aca="false">Q4*Streams!$E$13/Streams!$E$15</f>
        <v>2</v>
      </c>
      <c r="R17" s="10" t="n">
        <f aca="false">R4*Streams!$E$13/Streams!$E$15</f>
        <v>2</v>
      </c>
      <c r="S17" s="10" t="n">
        <f aca="false">S4*Streams!$E$13/Streams!$E$15</f>
        <v>2</v>
      </c>
      <c r="T17" s="10" t="n">
        <f aca="false">T4*Streams!$E$13/Streams!$E$15</f>
        <v>2</v>
      </c>
      <c r="U17" s="10" t="n">
        <f aca="false">U4*Streams!$E$13/Streams!$E$15</f>
        <v>2</v>
      </c>
      <c r="V17" s="10" t="n">
        <f aca="false">V4*Streams!$E$13/Streams!$E$15</f>
        <v>2</v>
      </c>
      <c r="W17" s="10" t="n">
        <f aca="false">W4*Streams!$E$13/Streams!$E$15</f>
        <v>2</v>
      </c>
      <c r="X17" s="10" t="n">
        <f aca="false">X4*Streams!$E$13/Streams!$E$15</f>
        <v>2</v>
      </c>
      <c r="Y17" s="10" t="n">
        <f aca="false">Y4*Streams!$E$13/Streams!$E$15</f>
        <v>2</v>
      </c>
      <c r="Z17" s="10" t="n">
        <f aca="false">Z4*Streams!$E$13/Streams!$E$15</f>
        <v>2</v>
      </c>
      <c r="AA17" s="10" t="n">
        <f aca="false">AA4*Streams!$E$13/Streams!$E$15</f>
        <v>2</v>
      </c>
      <c r="AB17" s="10" t="n">
        <f aca="false">AB4*Streams!$E$13/Streams!$E$15</f>
        <v>2</v>
      </c>
      <c r="AC17" s="10" t="n">
        <f aca="false">AC4*Streams!$E$13/Streams!$E$15</f>
        <v>2</v>
      </c>
      <c r="AD17" s="10" t="n">
        <f aca="false">AD4*Streams!$E$13/Streams!$E$15</f>
        <v>2</v>
      </c>
      <c r="AE17" s="10" t="n">
        <f aca="false">AE4*Streams!$E$13/Streams!$E$15</f>
        <v>2</v>
      </c>
      <c r="AF17" s="10" t="n">
        <f aca="false">AF4*Streams!$E$13/Streams!$E$15</f>
        <v>2</v>
      </c>
      <c r="AG17" s="10" t="n">
        <f aca="false">AG4*Streams!$E$13/Streams!$E$15</f>
        <v>2</v>
      </c>
      <c r="AH17" s="10" t="n">
        <f aca="false">AH4*Streams!$E$13/Streams!$E$15</f>
        <v>2</v>
      </c>
      <c r="AI17" s="10" t="n">
        <f aca="false">AI4*Streams!$E$13/Streams!$E$15</f>
        <v>2</v>
      </c>
      <c r="AJ17" s="10" t="n">
        <f aca="false">AJ4*Streams!$E$13/Streams!$E$15</f>
        <v>2</v>
      </c>
      <c r="AK17" s="10" t="n">
        <f aca="false">AK4*Streams!$E$13/Streams!$E$15</f>
        <v>2</v>
      </c>
      <c r="AL17" s="10" t="n">
        <f aca="false">AL4*Streams!$E$13/Streams!$E$15</f>
        <v>2</v>
      </c>
      <c r="AM17" s="10" t="n">
        <f aca="false">AM4*Streams!$E$13/Streams!$E$15</f>
        <v>2</v>
      </c>
      <c r="AN17" s="10" t="n">
        <f aca="false">AN4*Streams!$E$13/Streams!$E$15</f>
        <v>2</v>
      </c>
      <c r="AO17" s="10" t="n">
        <f aca="false">AO4*Streams!$E$13/Streams!$E$15</f>
        <v>2</v>
      </c>
      <c r="AP17" s="10" t="n">
        <f aca="false">AP4*Streams!$E$13/Streams!$E$15</f>
        <v>2</v>
      </c>
      <c r="AQ17" s="10" t="n">
        <f aca="false">AQ4*Streams!$E$13/Streams!$E$15</f>
        <v>2</v>
      </c>
      <c r="AR17" s="10" t="n">
        <f aca="false">AR4*Streams!$E$13/Streams!$E$15</f>
        <v>2</v>
      </c>
      <c r="AS17" s="10" t="n">
        <f aca="false">AS4*Streams!$E$13/Streams!$E$15</f>
        <v>2</v>
      </c>
      <c r="AT17" s="10" t="n">
        <f aca="false">AT4*Streams!$E$13/Streams!$E$15</f>
        <v>2</v>
      </c>
      <c r="AU17" s="10" t="n">
        <f aca="false">AU4*Streams!$E$13/Streams!$E$15</f>
        <v>2</v>
      </c>
      <c r="AV17" s="10" t="n">
        <f aca="false">AV4*Streams!$E$13/Streams!$E$15</f>
        <v>2</v>
      </c>
      <c r="AW17" s="10" t="n">
        <f aca="false">AW4*Streams!$E$13/Streams!$E$15</f>
        <v>2</v>
      </c>
      <c r="AX17" s="10" t="n">
        <f aca="false">AX4*Streams!$E$13/Streams!$E$15</f>
        <v>2</v>
      </c>
      <c r="AY17" s="10" t="n">
        <f aca="false">AY4*Streams!$E$13/Streams!$E$15</f>
        <v>2</v>
      </c>
      <c r="AZ17" s="10" t="n">
        <f aca="false">AZ4*Streams!$E$13/Streams!$E$15</f>
        <v>2</v>
      </c>
      <c r="BA17" s="10" t="n">
        <f aca="false">BA4*Streams!$E$13/Streams!$E$15</f>
        <v>2</v>
      </c>
      <c r="BB17" s="10" t="n">
        <f aca="false">BB4*Streams!$E$13/Streams!$E$15</f>
        <v>2</v>
      </c>
      <c r="BC17" s="10" t="n">
        <f aca="false">BC4*Streams!$E$13/Streams!$E$15</f>
        <v>2</v>
      </c>
      <c r="BD17" s="10" t="n">
        <f aca="false">BD4*Streams!$E$13/Streams!$E$15</f>
        <v>2</v>
      </c>
      <c r="BE17" s="10" t="n">
        <f aca="false">BE4*Streams!$E$13/Streams!$E$15</f>
        <v>2</v>
      </c>
      <c r="BF17" s="10" t="n">
        <f aca="false">BF4*Streams!$E$13/Streams!$E$15</f>
        <v>2</v>
      </c>
      <c r="BG17" s="10" t="n">
        <f aca="false">BG4*Streams!$E$13/Streams!$E$15</f>
        <v>2</v>
      </c>
      <c r="BH17" s="10" t="n">
        <f aca="false">BH4*Streams!$E$13/Streams!$E$15</f>
        <v>2</v>
      </c>
      <c r="BI17" s="10" t="n">
        <f aca="false">BI4*Streams!$E$13/Streams!$E$15</f>
        <v>2</v>
      </c>
      <c r="BJ17" s="10" t="n">
        <f aca="false">BJ4*Streams!$E$13/Streams!$E$15</f>
        <v>2</v>
      </c>
      <c r="BK17" s="10" t="n">
        <f aca="false">BK4*Streams!$E$13/Streams!$E$15</f>
        <v>2</v>
      </c>
      <c r="BL17" s="10" t="n">
        <f aca="false">BL4*Streams!$E$13/Streams!$E$15</f>
        <v>2</v>
      </c>
      <c r="BM17" s="10" t="n">
        <f aca="false">BM4*Streams!$E$13/Streams!$E$15</f>
        <v>2</v>
      </c>
      <c r="BN17" s="10" t="n">
        <f aca="false">BN4*Streams!$E$13/Streams!$E$15</f>
        <v>2</v>
      </c>
      <c r="BO17" s="10" t="n">
        <f aca="false">BO4*Streams!$E$13/Streams!$E$15</f>
        <v>2</v>
      </c>
      <c r="BP17" s="10" t="n">
        <f aca="false">BP4*Streams!$E$13/Streams!$E$15</f>
        <v>2</v>
      </c>
      <c r="BQ17" s="10" t="n">
        <f aca="false">BQ4*Streams!$E$13/Streams!$E$15</f>
        <v>2</v>
      </c>
      <c r="BR17" s="10" t="n">
        <f aca="false">BR4*Streams!$E$13/Streams!$E$15</f>
        <v>2</v>
      </c>
      <c r="BS17" s="10" t="n">
        <f aca="false">BS4*Streams!$E$13/Streams!$E$15</f>
        <v>2</v>
      </c>
      <c r="BT17" s="10" t="n">
        <f aca="false">BT4*Streams!$E$13/Streams!$E$15</f>
        <v>2</v>
      </c>
      <c r="BU17" s="10" t="n">
        <f aca="false">BU4*Streams!$E$13/Streams!$E$15</f>
        <v>2</v>
      </c>
      <c r="BV17" s="10" t="n">
        <f aca="false">BV4*Streams!$E$13/Streams!$E$15</f>
        <v>2</v>
      </c>
      <c r="BW17" s="10" t="n">
        <f aca="false">BW4*Streams!$E$13/Streams!$E$15</f>
        <v>2</v>
      </c>
      <c r="BX17" s="10" t="n">
        <f aca="false">BX4*Streams!$E$13/Streams!$E$15</f>
        <v>2</v>
      </c>
      <c r="BY17" s="10" t="n">
        <f aca="false">BY4*Streams!$E$13/Streams!$E$15</f>
        <v>2</v>
      </c>
      <c r="BZ17" s="10" t="n">
        <f aca="false">BZ4*Streams!$E$13/Streams!$E$15</f>
        <v>2</v>
      </c>
      <c r="CA17" s="10" t="n">
        <f aca="false">CA4*Streams!$E$13/Streams!$E$15</f>
        <v>2</v>
      </c>
      <c r="CB17" s="10" t="n">
        <f aca="false">CB4*Streams!$E$13/Streams!$E$15</f>
        <v>2</v>
      </c>
      <c r="CC17" s="10" t="n">
        <f aca="false">CC4*Streams!$E$13/Streams!$E$15</f>
        <v>2</v>
      </c>
      <c r="CD17" s="10" t="n">
        <f aca="false">CD4*Streams!$E$13/Streams!$E$15</f>
        <v>2</v>
      </c>
      <c r="CE17" s="10" t="n">
        <f aca="false">CE4*Streams!$E$13/Streams!$E$15</f>
        <v>2</v>
      </c>
      <c r="CF17" s="10" t="n">
        <f aca="false">CF4*Streams!$E$13/Streams!$E$15</f>
        <v>2</v>
      </c>
      <c r="CG17" s="10" t="n">
        <f aca="false">CG4*Streams!$E$13/Streams!$E$15</f>
        <v>2</v>
      </c>
      <c r="CH17" s="10" t="n">
        <f aca="false">CH4*Streams!$E$13/Streams!$E$15</f>
        <v>2</v>
      </c>
      <c r="CI17" s="10" t="n">
        <f aca="false">CI4*Streams!$E$13/Streams!$E$15</f>
        <v>2</v>
      </c>
      <c r="CJ17" s="10" t="n">
        <f aca="false">CJ4*Streams!$E$13/Streams!$E$15</f>
        <v>2</v>
      </c>
      <c r="CK17" s="10" t="n">
        <f aca="false">CK4*Streams!$E$13/Streams!$E$15</f>
        <v>2</v>
      </c>
      <c r="CL17" s="10" t="n">
        <f aca="false">CL4*Streams!$E$13/Streams!$E$15</f>
        <v>2</v>
      </c>
      <c r="CM17" s="10" t="n">
        <f aca="false">CM4*Streams!$E$13/Streams!$E$15</f>
        <v>2</v>
      </c>
      <c r="CN17" s="10" t="n">
        <f aca="false">CN4*Streams!$E$13/Streams!$E$15</f>
        <v>2</v>
      </c>
      <c r="CO17" s="10" t="n">
        <f aca="false">CO4*Streams!$E$13/Streams!$E$15</f>
        <v>2</v>
      </c>
      <c r="CP17" s="10" t="n">
        <f aca="false">CP4*Streams!$E$13/Streams!$E$15</f>
        <v>2</v>
      </c>
      <c r="CQ17" s="10" t="n">
        <f aca="false">CQ4*Streams!$E$13/Streams!$E$15</f>
        <v>2</v>
      </c>
      <c r="CR17" s="10" t="n">
        <f aca="false">CR4*Streams!$E$13/Streams!$E$15</f>
        <v>2</v>
      </c>
      <c r="CS17" s="10" t="n">
        <f aca="false">CS4*Streams!$E$13/Streams!$E$15</f>
        <v>2</v>
      </c>
      <c r="CT17" s="10" t="n">
        <f aca="false">CT4*Streams!$E$13/Streams!$E$15</f>
        <v>2</v>
      </c>
      <c r="CU17" s="10" t="n">
        <f aca="false">CU4*Streams!$E$13/Streams!$E$15</f>
        <v>2</v>
      </c>
      <c r="CV17" s="10" t="n">
        <f aca="false">CV4*Streams!$E$13/Streams!$E$15</f>
        <v>2</v>
      </c>
      <c r="CW17" s="10" t="n">
        <f aca="false">CW4*Streams!$E$13/Streams!$E$15</f>
        <v>2</v>
      </c>
      <c r="CX17" s="10" t="n">
        <f aca="false">CX4*Streams!$E$13/Streams!$E$15</f>
        <v>2</v>
      </c>
      <c r="CY17" s="10" t="n">
        <f aca="false">CY4*Streams!$E$13/Streams!$E$15</f>
        <v>2</v>
      </c>
      <c r="CZ17" s="10" t="n">
        <f aca="false">CZ4*Streams!$E$13/Streams!$E$15</f>
        <v>2</v>
      </c>
      <c r="DA17" s="10" t="n">
        <f aca="false">DA4*Streams!$E$13/Streams!$E$15</f>
        <v>2</v>
      </c>
      <c r="DB17" s="10" t="n">
        <f aca="false">DB4*Streams!$E$13/Streams!$E$15</f>
        <v>2</v>
      </c>
      <c r="DC17" s="10" t="n">
        <f aca="false">DC4*Streams!$E$13/Streams!$E$15</f>
        <v>2</v>
      </c>
      <c r="DD17" s="10" t="n">
        <f aca="false">DD4*Streams!$E$13/Streams!$E$15</f>
        <v>2</v>
      </c>
      <c r="DE17" s="10" t="n">
        <f aca="false">DE4*Streams!$E$13/Streams!$E$15</f>
        <v>2</v>
      </c>
      <c r="DF17" s="10" t="n">
        <f aca="false">DF4*Streams!$E$13/Streams!$E$15</f>
        <v>2</v>
      </c>
      <c r="DG17" s="10" t="n">
        <f aca="false">DG4*Streams!$E$13/Streams!$E$15</f>
        <v>2</v>
      </c>
      <c r="DH17" s="10" t="n">
        <f aca="false">DH4*Streams!$E$13/Streams!$E$15</f>
        <v>2</v>
      </c>
      <c r="DI17" s="10" t="n">
        <f aca="false">DI4*Streams!$E$13/Streams!$E$15</f>
        <v>2</v>
      </c>
      <c r="DJ17" s="10" t="n">
        <f aca="false">DJ4*Streams!$E$13/Streams!$E$15</f>
        <v>2</v>
      </c>
      <c r="DK17" s="10" t="n">
        <f aca="false">DK4*Streams!$E$13/Streams!$E$15</f>
        <v>2</v>
      </c>
      <c r="DL17" s="10" t="n">
        <f aca="false">DL4*Streams!$E$13/Streams!$E$15</f>
        <v>2</v>
      </c>
      <c r="DM17" s="10" t="n">
        <f aca="false">DM4*Streams!$E$13/Streams!$E$15</f>
        <v>2</v>
      </c>
      <c r="DN17" s="10" t="n">
        <f aca="false">DN4*Streams!$E$13/Streams!$E$15</f>
        <v>2</v>
      </c>
      <c r="DO17" s="10" t="n">
        <f aca="false">DO4*Streams!$E$13/Streams!$E$15</f>
        <v>2</v>
      </c>
      <c r="DP17" s="10" t="n">
        <f aca="false">DP4*Streams!$E$13/Streams!$E$15</f>
        <v>2</v>
      </c>
      <c r="DQ17" s="10" t="n">
        <f aca="false">DQ4*Streams!$E$13/Streams!$E$15</f>
        <v>2</v>
      </c>
      <c r="DR17" s="10" t="n">
        <f aca="false">DR4*Streams!$E$13/Streams!$E$15</f>
        <v>2</v>
      </c>
    </row>
    <row r="18" customFormat="false" ht="15" hidden="false" customHeight="false" outlineLevel="0" collapsed="false">
      <c r="A18" s="9" t="s">
        <v>187</v>
      </c>
      <c r="B18" s="10" t="n">
        <f aca="false">B4*Streams!$E$14/Streams!$E$15</f>
        <v>0</v>
      </c>
      <c r="C18" s="10" t="n">
        <f aca="false">C4*Streams!$E$14/Streams!$E$15</f>
        <v>1</v>
      </c>
      <c r="D18" s="10" t="n">
        <f aca="false">D4*Streams!$E$14/Streams!$E$15</f>
        <v>1</v>
      </c>
      <c r="E18" s="10" t="n">
        <f aca="false">E4*Streams!$E$14/Streams!$E$15</f>
        <v>1</v>
      </c>
      <c r="F18" s="10" t="n">
        <f aca="false">F4*Streams!$E$14/Streams!$E$15</f>
        <v>1</v>
      </c>
      <c r="G18" s="10" t="n">
        <f aca="false">G4*Streams!$E$14/Streams!$E$15</f>
        <v>1</v>
      </c>
      <c r="H18" s="10" t="n">
        <f aca="false">H4*Streams!$E$14/Streams!$E$15</f>
        <v>1</v>
      </c>
      <c r="I18" s="10" t="n">
        <f aca="false">I4*Streams!$E$14/Streams!$E$15</f>
        <v>1</v>
      </c>
      <c r="J18" s="10" t="n">
        <f aca="false">J4*Streams!$E$14/Streams!$E$15</f>
        <v>1</v>
      </c>
      <c r="K18" s="10" t="n">
        <f aca="false">K4*Streams!$E$14/Streams!$E$15</f>
        <v>1</v>
      </c>
      <c r="L18" s="10" t="n">
        <f aca="false">L4*Streams!$E$14/Streams!$E$15</f>
        <v>1</v>
      </c>
      <c r="M18" s="10" t="n">
        <f aca="false">M4*Streams!$E$14/Streams!$E$15</f>
        <v>1</v>
      </c>
      <c r="N18" s="10" t="n">
        <f aca="false">N4*Streams!$E$14/Streams!$E$15</f>
        <v>1</v>
      </c>
      <c r="O18" s="10" t="n">
        <f aca="false">O4*Streams!$E$14/Streams!$E$15</f>
        <v>1</v>
      </c>
      <c r="P18" s="10" t="n">
        <f aca="false">P4*Streams!$E$14/Streams!$E$15</f>
        <v>1</v>
      </c>
      <c r="Q18" s="10" t="n">
        <f aca="false">Q4*Streams!$E$14/Streams!$E$15</f>
        <v>1</v>
      </c>
      <c r="R18" s="10" t="n">
        <f aca="false">R4*Streams!$E$14/Streams!$E$15</f>
        <v>1</v>
      </c>
      <c r="S18" s="10" t="n">
        <f aca="false">S4*Streams!$E$14/Streams!$E$15</f>
        <v>1</v>
      </c>
      <c r="T18" s="10" t="n">
        <f aca="false">T4*Streams!$E$14/Streams!$E$15</f>
        <v>1</v>
      </c>
      <c r="U18" s="10" t="n">
        <f aca="false">U4*Streams!$E$14/Streams!$E$15</f>
        <v>1</v>
      </c>
      <c r="V18" s="10" t="n">
        <f aca="false">V4*Streams!$E$14/Streams!$E$15</f>
        <v>1</v>
      </c>
      <c r="W18" s="10" t="n">
        <f aca="false">W4*Streams!$E$14/Streams!$E$15</f>
        <v>1</v>
      </c>
      <c r="X18" s="10" t="n">
        <f aca="false">X4*Streams!$E$14/Streams!$E$15</f>
        <v>1</v>
      </c>
      <c r="Y18" s="10" t="n">
        <f aca="false">Y4*Streams!$E$14/Streams!$E$15</f>
        <v>1</v>
      </c>
      <c r="Z18" s="10" t="n">
        <f aca="false">Z4*Streams!$E$14/Streams!$E$15</f>
        <v>1</v>
      </c>
      <c r="AA18" s="10" t="n">
        <f aca="false">AA4*Streams!$E$14/Streams!$E$15</f>
        <v>1</v>
      </c>
      <c r="AB18" s="10" t="n">
        <f aca="false">AB4*Streams!$E$14/Streams!$E$15</f>
        <v>1</v>
      </c>
      <c r="AC18" s="10" t="n">
        <f aca="false">AC4*Streams!$E$14/Streams!$E$15</f>
        <v>1</v>
      </c>
      <c r="AD18" s="10" t="n">
        <f aca="false">AD4*Streams!$E$14/Streams!$E$15</f>
        <v>1</v>
      </c>
      <c r="AE18" s="10" t="n">
        <f aca="false">AE4*Streams!$E$14/Streams!$E$15</f>
        <v>1</v>
      </c>
      <c r="AF18" s="10" t="n">
        <f aca="false">AF4*Streams!$E$14/Streams!$E$15</f>
        <v>1</v>
      </c>
      <c r="AG18" s="10" t="n">
        <f aca="false">AG4*Streams!$E$14/Streams!$E$15</f>
        <v>1</v>
      </c>
      <c r="AH18" s="10" t="n">
        <f aca="false">AH4*Streams!$E$14/Streams!$E$15</f>
        <v>1</v>
      </c>
      <c r="AI18" s="10" t="n">
        <f aca="false">AI4*Streams!$E$14/Streams!$E$15</f>
        <v>1</v>
      </c>
      <c r="AJ18" s="10" t="n">
        <f aca="false">AJ4*Streams!$E$14/Streams!$E$15</f>
        <v>1</v>
      </c>
      <c r="AK18" s="10" t="n">
        <f aca="false">AK4*Streams!$E$14/Streams!$E$15</f>
        <v>1</v>
      </c>
      <c r="AL18" s="10" t="n">
        <f aca="false">AL4*Streams!$E$14/Streams!$E$15</f>
        <v>1</v>
      </c>
      <c r="AM18" s="10" t="n">
        <f aca="false">AM4*Streams!$E$14/Streams!$E$15</f>
        <v>1</v>
      </c>
      <c r="AN18" s="10" t="n">
        <f aca="false">AN4*Streams!$E$14/Streams!$E$15</f>
        <v>1</v>
      </c>
      <c r="AO18" s="10" t="n">
        <f aca="false">AO4*Streams!$E$14/Streams!$E$15</f>
        <v>1</v>
      </c>
      <c r="AP18" s="10" t="n">
        <f aca="false">AP4*Streams!$E$14/Streams!$E$15</f>
        <v>1</v>
      </c>
      <c r="AQ18" s="10" t="n">
        <f aca="false">AQ4*Streams!$E$14/Streams!$E$15</f>
        <v>1</v>
      </c>
      <c r="AR18" s="10" t="n">
        <f aca="false">AR4*Streams!$E$14/Streams!$E$15</f>
        <v>1</v>
      </c>
      <c r="AS18" s="10" t="n">
        <f aca="false">AS4*Streams!$E$14/Streams!$E$15</f>
        <v>1</v>
      </c>
      <c r="AT18" s="10" t="n">
        <f aca="false">AT4*Streams!$E$14/Streams!$E$15</f>
        <v>1</v>
      </c>
      <c r="AU18" s="10" t="n">
        <f aca="false">AU4*Streams!$E$14/Streams!$E$15</f>
        <v>1</v>
      </c>
      <c r="AV18" s="10" t="n">
        <f aca="false">AV4*Streams!$E$14/Streams!$E$15</f>
        <v>1</v>
      </c>
      <c r="AW18" s="10" t="n">
        <f aca="false">AW4*Streams!$E$14/Streams!$E$15</f>
        <v>1</v>
      </c>
      <c r="AX18" s="10" t="n">
        <f aca="false">AX4*Streams!$E$14/Streams!$E$15</f>
        <v>1</v>
      </c>
      <c r="AY18" s="10" t="n">
        <f aca="false">AY4*Streams!$E$14/Streams!$E$15</f>
        <v>1</v>
      </c>
      <c r="AZ18" s="10" t="n">
        <f aca="false">AZ4*Streams!$E$14/Streams!$E$15</f>
        <v>1</v>
      </c>
      <c r="BA18" s="10" t="n">
        <f aca="false">BA4*Streams!$E$14/Streams!$E$15</f>
        <v>1</v>
      </c>
      <c r="BB18" s="10" t="n">
        <f aca="false">BB4*Streams!$E$14/Streams!$E$15</f>
        <v>1</v>
      </c>
      <c r="BC18" s="10" t="n">
        <f aca="false">BC4*Streams!$E$14/Streams!$E$15</f>
        <v>1</v>
      </c>
      <c r="BD18" s="10" t="n">
        <f aca="false">BD4*Streams!$E$14/Streams!$E$15</f>
        <v>1</v>
      </c>
      <c r="BE18" s="10" t="n">
        <f aca="false">BE4*Streams!$E$14/Streams!$E$15</f>
        <v>1</v>
      </c>
      <c r="BF18" s="10" t="n">
        <f aca="false">BF4*Streams!$E$14/Streams!$E$15</f>
        <v>1</v>
      </c>
      <c r="BG18" s="10" t="n">
        <f aca="false">BG4*Streams!$E$14/Streams!$E$15</f>
        <v>1</v>
      </c>
      <c r="BH18" s="10" t="n">
        <f aca="false">BH4*Streams!$E$14/Streams!$E$15</f>
        <v>1</v>
      </c>
      <c r="BI18" s="10" t="n">
        <f aca="false">BI4*Streams!$E$14/Streams!$E$15</f>
        <v>1</v>
      </c>
      <c r="BJ18" s="10" t="n">
        <f aca="false">BJ4*Streams!$E$14/Streams!$E$15</f>
        <v>1</v>
      </c>
      <c r="BK18" s="10" t="n">
        <f aca="false">BK4*Streams!$E$14/Streams!$E$15</f>
        <v>1</v>
      </c>
      <c r="BL18" s="10" t="n">
        <f aca="false">BL4*Streams!$E$14/Streams!$E$15</f>
        <v>1</v>
      </c>
      <c r="BM18" s="10" t="n">
        <f aca="false">BM4*Streams!$E$14/Streams!$E$15</f>
        <v>1</v>
      </c>
      <c r="BN18" s="10" t="n">
        <f aca="false">BN4*Streams!$E$14/Streams!$E$15</f>
        <v>1</v>
      </c>
      <c r="BO18" s="10" t="n">
        <f aca="false">BO4*Streams!$E$14/Streams!$E$15</f>
        <v>1</v>
      </c>
      <c r="BP18" s="10" t="n">
        <f aca="false">BP4*Streams!$E$14/Streams!$E$15</f>
        <v>1</v>
      </c>
      <c r="BQ18" s="10" t="n">
        <f aca="false">BQ4*Streams!$E$14/Streams!$E$15</f>
        <v>1</v>
      </c>
      <c r="BR18" s="10" t="n">
        <f aca="false">BR4*Streams!$E$14/Streams!$E$15</f>
        <v>1</v>
      </c>
      <c r="BS18" s="10" t="n">
        <f aca="false">BS4*Streams!$E$14/Streams!$E$15</f>
        <v>1</v>
      </c>
      <c r="BT18" s="10" t="n">
        <f aca="false">BT4*Streams!$E$14/Streams!$E$15</f>
        <v>1</v>
      </c>
      <c r="BU18" s="10" t="n">
        <f aca="false">BU4*Streams!$E$14/Streams!$E$15</f>
        <v>1</v>
      </c>
      <c r="BV18" s="10" t="n">
        <f aca="false">BV4*Streams!$E$14/Streams!$E$15</f>
        <v>1</v>
      </c>
      <c r="BW18" s="10" t="n">
        <f aca="false">BW4*Streams!$E$14/Streams!$E$15</f>
        <v>1</v>
      </c>
      <c r="BX18" s="10" t="n">
        <f aca="false">BX4*Streams!$E$14/Streams!$E$15</f>
        <v>1</v>
      </c>
      <c r="BY18" s="10" t="n">
        <f aca="false">BY4*Streams!$E$14/Streams!$E$15</f>
        <v>1</v>
      </c>
      <c r="BZ18" s="10" t="n">
        <f aca="false">BZ4*Streams!$E$14/Streams!$E$15</f>
        <v>1</v>
      </c>
      <c r="CA18" s="10" t="n">
        <f aca="false">CA4*Streams!$E$14/Streams!$E$15</f>
        <v>1</v>
      </c>
      <c r="CB18" s="10" t="n">
        <f aca="false">CB4*Streams!$E$14/Streams!$E$15</f>
        <v>1</v>
      </c>
      <c r="CC18" s="10" t="n">
        <f aca="false">CC4*Streams!$E$14/Streams!$E$15</f>
        <v>1</v>
      </c>
      <c r="CD18" s="10" t="n">
        <f aca="false">CD4*Streams!$E$14/Streams!$E$15</f>
        <v>1</v>
      </c>
      <c r="CE18" s="10" t="n">
        <f aca="false">CE4*Streams!$E$14/Streams!$E$15</f>
        <v>1</v>
      </c>
      <c r="CF18" s="10" t="n">
        <f aca="false">CF4*Streams!$E$14/Streams!$E$15</f>
        <v>1</v>
      </c>
      <c r="CG18" s="10" t="n">
        <f aca="false">CG4*Streams!$E$14/Streams!$E$15</f>
        <v>1</v>
      </c>
      <c r="CH18" s="10" t="n">
        <f aca="false">CH4*Streams!$E$14/Streams!$E$15</f>
        <v>1</v>
      </c>
      <c r="CI18" s="10" t="n">
        <f aca="false">CI4*Streams!$E$14/Streams!$E$15</f>
        <v>1</v>
      </c>
      <c r="CJ18" s="10" t="n">
        <f aca="false">CJ4*Streams!$E$14/Streams!$E$15</f>
        <v>1</v>
      </c>
      <c r="CK18" s="10" t="n">
        <f aca="false">CK4*Streams!$E$14/Streams!$E$15</f>
        <v>1</v>
      </c>
      <c r="CL18" s="10" t="n">
        <f aca="false">CL4*Streams!$E$14/Streams!$E$15</f>
        <v>1</v>
      </c>
      <c r="CM18" s="10" t="n">
        <f aca="false">CM4*Streams!$E$14/Streams!$E$15</f>
        <v>1</v>
      </c>
      <c r="CN18" s="10" t="n">
        <f aca="false">CN4*Streams!$E$14/Streams!$E$15</f>
        <v>1</v>
      </c>
      <c r="CO18" s="10" t="n">
        <f aca="false">CO4*Streams!$E$14/Streams!$E$15</f>
        <v>1</v>
      </c>
      <c r="CP18" s="10" t="n">
        <f aca="false">CP4*Streams!$E$14/Streams!$E$15</f>
        <v>1</v>
      </c>
      <c r="CQ18" s="10" t="n">
        <f aca="false">CQ4*Streams!$E$14/Streams!$E$15</f>
        <v>1</v>
      </c>
      <c r="CR18" s="10" t="n">
        <f aca="false">CR4*Streams!$E$14/Streams!$E$15</f>
        <v>1</v>
      </c>
      <c r="CS18" s="10" t="n">
        <f aca="false">CS4*Streams!$E$14/Streams!$E$15</f>
        <v>1</v>
      </c>
      <c r="CT18" s="10" t="n">
        <f aca="false">CT4*Streams!$E$14/Streams!$E$15</f>
        <v>1</v>
      </c>
      <c r="CU18" s="10" t="n">
        <f aca="false">CU4*Streams!$E$14/Streams!$E$15</f>
        <v>1</v>
      </c>
      <c r="CV18" s="10" t="n">
        <f aca="false">CV4*Streams!$E$14/Streams!$E$15</f>
        <v>1</v>
      </c>
      <c r="CW18" s="10" t="n">
        <f aca="false">CW4*Streams!$E$14/Streams!$E$15</f>
        <v>1</v>
      </c>
      <c r="CX18" s="10" t="n">
        <f aca="false">CX4*Streams!$E$14/Streams!$E$15</f>
        <v>1</v>
      </c>
      <c r="CY18" s="10" t="n">
        <f aca="false">CY4*Streams!$E$14/Streams!$E$15</f>
        <v>1</v>
      </c>
      <c r="CZ18" s="10" t="n">
        <f aca="false">CZ4*Streams!$E$14/Streams!$E$15</f>
        <v>1</v>
      </c>
      <c r="DA18" s="10" t="n">
        <f aca="false">DA4*Streams!$E$14/Streams!$E$15</f>
        <v>1</v>
      </c>
      <c r="DB18" s="10" t="n">
        <f aca="false">DB4*Streams!$E$14/Streams!$E$15</f>
        <v>1</v>
      </c>
      <c r="DC18" s="10" t="n">
        <f aca="false">DC4*Streams!$E$14/Streams!$E$15</f>
        <v>1</v>
      </c>
      <c r="DD18" s="10" t="n">
        <f aca="false">DD4*Streams!$E$14/Streams!$E$15</f>
        <v>1</v>
      </c>
      <c r="DE18" s="10" t="n">
        <f aca="false">DE4*Streams!$E$14/Streams!$E$15</f>
        <v>1</v>
      </c>
      <c r="DF18" s="10" t="n">
        <f aca="false">DF4*Streams!$E$14/Streams!$E$15</f>
        <v>1</v>
      </c>
      <c r="DG18" s="10" t="n">
        <f aca="false">DG4*Streams!$E$14/Streams!$E$15</f>
        <v>1</v>
      </c>
      <c r="DH18" s="10" t="n">
        <f aca="false">DH4*Streams!$E$14/Streams!$E$15</f>
        <v>1</v>
      </c>
      <c r="DI18" s="10" t="n">
        <f aca="false">DI4*Streams!$E$14/Streams!$E$15</f>
        <v>1</v>
      </c>
      <c r="DJ18" s="10" t="n">
        <f aca="false">DJ4*Streams!$E$14/Streams!$E$15</f>
        <v>1</v>
      </c>
      <c r="DK18" s="10" t="n">
        <f aca="false">DK4*Streams!$E$14/Streams!$E$15</f>
        <v>1</v>
      </c>
      <c r="DL18" s="10" t="n">
        <f aca="false">DL4*Streams!$E$14/Streams!$E$15</f>
        <v>1</v>
      </c>
      <c r="DM18" s="10" t="n">
        <f aca="false">DM4*Streams!$E$14/Streams!$E$15</f>
        <v>1</v>
      </c>
      <c r="DN18" s="10" t="n">
        <f aca="false">DN4*Streams!$E$14/Streams!$E$15</f>
        <v>1</v>
      </c>
      <c r="DO18" s="10" t="n">
        <f aca="false">DO4*Streams!$E$14/Streams!$E$15</f>
        <v>1</v>
      </c>
      <c r="DP18" s="10" t="n">
        <f aca="false">DP4*Streams!$E$14/Streams!$E$15</f>
        <v>1</v>
      </c>
      <c r="DQ18" s="10" t="n">
        <f aca="false">DQ4*Streams!$E$14/Streams!$E$15</f>
        <v>1</v>
      </c>
      <c r="DR18" s="10" t="n">
        <f aca="false">DR4*Streams!$E$14/Streams!$E$15</f>
        <v>1</v>
      </c>
    </row>
    <row r="19" customFormat="false" ht="15" hidden="false" customHeight="false" outlineLevel="0" collapsed="false">
      <c r="A19" s="12" t="s">
        <v>188</v>
      </c>
      <c r="B19" s="13" t="n">
        <f aca="false">SUM(B6:B18)</f>
        <v>0</v>
      </c>
      <c r="C19" s="13" t="n">
        <f aca="false">SUM(C6:C18)</f>
        <v>35</v>
      </c>
      <c r="D19" s="13" t="n">
        <f aca="false">SUM(D6:D18)</f>
        <v>35</v>
      </c>
      <c r="E19" s="13" t="n">
        <f aca="false">SUM(E6:E18)</f>
        <v>35</v>
      </c>
      <c r="F19" s="13" t="n">
        <f aca="false">SUM(F6:F18)</f>
        <v>35</v>
      </c>
      <c r="G19" s="13" t="n">
        <f aca="false">SUM(G6:G18)</f>
        <v>35</v>
      </c>
      <c r="H19" s="13" t="n">
        <f aca="false">SUM(H6:H18)</f>
        <v>35</v>
      </c>
      <c r="I19" s="13" t="n">
        <f aca="false">SUM(I6:I18)</f>
        <v>35</v>
      </c>
      <c r="J19" s="13" t="n">
        <f aca="false">SUM(J6:J18)</f>
        <v>35</v>
      </c>
      <c r="K19" s="13" t="n">
        <f aca="false">SUM(K6:K18)</f>
        <v>35</v>
      </c>
      <c r="L19" s="13" t="n">
        <f aca="false">SUM(L6:L18)</f>
        <v>35</v>
      </c>
      <c r="M19" s="13" t="n">
        <f aca="false">SUM(M6:M18)</f>
        <v>35</v>
      </c>
      <c r="N19" s="13" t="n">
        <f aca="false">SUM(N6:N18)</f>
        <v>35</v>
      </c>
      <c r="O19" s="13" t="n">
        <f aca="false">SUM(O6:O18)</f>
        <v>35</v>
      </c>
      <c r="P19" s="13" t="n">
        <f aca="false">SUM(P6:P18)</f>
        <v>35</v>
      </c>
      <c r="Q19" s="13" t="n">
        <f aca="false">SUM(Q6:Q18)</f>
        <v>35</v>
      </c>
      <c r="R19" s="13" t="n">
        <f aca="false">SUM(R6:R18)</f>
        <v>35</v>
      </c>
      <c r="S19" s="13" t="n">
        <f aca="false">SUM(S6:S18)</f>
        <v>35</v>
      </c>
      <c r="T19" s="13" t="n">
        <f aca="false">SUM(T6:T18)</f>
        <v>35</v>
      </c>
      <c r="U19" s="13" t="n">
        <f aca="false">SUM(U6:U18)</f>
        <v>35</v>
      </c>
      <c r="V19" s="13" t="n">
        <f aca="false">SUM(V6:V18)</f>
        <v>35</v>
      </c>
      <c r="W19" s="13" t="n">
        <f aca="false">SUM(W6:W18)</f>
        <v>35</v>
      </c>
      <c r="X19" s="13" t="n">
        <f aca="false">SUM(X6:X18)</f>
        <v>35</v>
      </c>
      <c r="Y19" s="13" t="n">
        <f aca="false">SUM(Y6:Y18)</f>
        <v>35</v>
      </c>
      <c r="Z19" s="13" t="n">
        <f aca="false">SUM(Z6:Z18)</f>
        <v>35</v>
      </c>
      <c r="AA19" s="13" t="n">
        <f aca="false">SUM(AA6:AA18)</f>
        <v>35</v>
      </c>
      <c r="AB19" s="13" t="n">
        <f aca="false">SUM(AB6:AB18)</f>
        <v>35</v>
      </c>
      <c r="AC19" s="13" t="n">
        <f aca="false">SUM(AC6:AC18)</f>
        <v>35</v>
      </c>
      <c r="AD19" s="13" t="n">
        <f aca="false">SUM(AD6:AD18)</f>
        <v>35</v>
      </c>
      <c r="AE19" s="13" t="n">
        <f aca="false">SUM(AE6:AE18)</f>
        <v>35</v>
      </c>
      <c r="AF19" s="13" t="n">
        <f aca="false">SUM(AF6:AF18)</f>
        <v>35</v>
      </c>
      <c r="AG19" s="13" t="n">
        <f aca="false">SUM(AG6:AG18)</f>
        <v>35</v>
      </c>
      <c r="AH19" s="13" t="n">
        <f aca="false">SUM(AH6:AH18)</f>
        <v>35</v>
      </c>
      <c r="AI19" s="13" t="n">
        <f aca="false">SUM(AI6:AI18)</f>
        <v>35</v>
      </c>
      <c r="AJ19" s="13" t="n">
        <f aca="false">SUM(AJ6:AJ18)</f>
        <v>35</v>
      </c>
      <c r="AK19" s="13" t="n">
        <f aca="false">SUM(AK6:AK18)</f>
        <v>35</v>
      </c>
      <c r="AL19" s="13" t="n">
        <f aca="false">SUM(AL6:AL18)</f>
        <v>35</v>
      </c>
      <c r="AM19" s="13" t="n">
        <f aca="false">SUM(AM6:AM18)</f>
        <v>35</v>
      </c>
      <c r="AN19" s="13" t="n">
        <f aca="false">SUM(AN6:AN18)</f>
        <v>35</v>
      </c>
      <c r="AO19" s="13" t="n">
        <f aca="false">SUM(AO6:AO18)</f>
        <v>35</v>
      </c>
      <c r="AP19" s="13" t="n">
        <f aca="false">SUM(AP6:AP18)</f>
        <v>35</v>
      </c>
      <c r="AQ19" s="13" t="n">
        <f aca="false">SUM(AQ6:AQ18)</f>
        <v>35</v>
      </c>
      <c r="AR19" s="13" t="n">
        <f aca="false">SUM(AR6:AR18)</f>
        <v>35</v>
      </c>
      <c r="AS19" s="13" t="n">
        <f aca="false">SUM(AS6:AS18)</f>
        <v>35</v>
      </c>
      <c r="AT19" s="13" t="n">
        <f aca="false">SUM(AT6:AT18)</f>
        <v>35</v>
      </c>
      <c r="AU19" s="13" t="n">
        <f aca="false">SUM(AU6:AU18)</f>
        <v>35</v>
      </c>
      <c r="AV19" s="13" t="n">
        <f aca="false">SUM(AV6:AV18)</f>
        <v>35</v>
      </c>
      <c r="AW19" s="13" t="n">
        <f aca="false">SUM(AW6:AW18)</f>
        <v>35</v>
      </c>
      <c r="AX19" s="13" t="n">
        <f aca="false">SUM(AX6:AX18)</f>
        <v>35</v>
      </c>
      <c r="AY19" s="13" t="n">
        <f aca="false">SUM(AY6:AY18)</f>
        <v>35</v>
      </c>
      <c r="AZ19" s="13" t="n">
        <f aca="false">SUM(AZ6:AZ18)</f>
        <v>35</v>
      </c>
      <c r="BA19" s="13" t="n">
        <f aca="false">SUM(BA6:BA18)</f>
        <v>35</v>
      </c>
      <c r="BB19" s="13" t="n">
        <f aca="false">SUM(BB6:BB18)</f>
        <v>35</v>
      </c>
      <c r="BC19" s="13" t="n">
        <f aca="false">SUM(BC6:BC18)</f>
        <v>35</v>
      </c>
      <c r="BD19" s="13" t="n">
        <f aca="false">SUM(BD6:BD18)</f>
        <v>35</v>
      </c>
      <c r="BE19" s="13" t="n">
        <f aca="false">SUM(BE6:BE18)</f>
        <v>35</v>
      </c>
      <c r="BF19" s="13" t="n">
        <f aca="false">SUM(BF6:BF18)</f>
        <v>35</v>
      </c>
      <c r="BG19" s="13" t="n">
        <f aca="false">SUM(BG6:BG18)</f>
        <v>35</v>
      </c>
      <c r="BH19" s="13" t="n">
        <f aca="false">SUM(BH6:BH18)</f>
        <v>35</v>
      </c>
      <c r="BI19" s="13" t="n">
        <f aca="false">SUM(BI6:BI18)</f>
        <v>35</v>
      </c>
      <c r="BJ19" s="13" t="n">
        <f aca="false">SUM(BJ6:BJ18)</f>
        <v>35</v>
      </c>
      <c r="BK19" s="13" t="n">
        <f aca="false">SUM(BK6:BK18)</f>
        <v>35</v>
      </c>
      <c r="BL19" s="13" t="n">
        <f aca="false">SUM(BL6:BL18)</f>
        <v>35</v>
      </c>
      <c r="BM19" s="13" t="n">
        <f aca="false">SUM(BM6:BM18)</f>
        <v>35</v>
      </c>
      <c r="BN19" s="13" t="n">
        <f aca="false">SUM(BN6:BN18)</f>
        <v>35</v>
      </c>
      <c r="BO19" s="13" t="n">
        <f aca="false">SUM(BO6:BO18)</f>
        <v>35</v>
      </c>
      <c r="BP19" s="13" t="n">
        <f aca="false">SUM(BP6:BP18)</f>
        <v>35</v>
      </c>
      <c r="BQ19" s="13" t="n">
        <f aca="false">SUM(BQ6:BQ18)</f>
        <v>35</v>
      </c>
      <c r="BR19" s="13" t="n">
        <f aca="false">SUM(BR6:BR18)</f>
        <v>35</v>
      </c>
      <c r="BS19" s="13" t="n">
        <f aca="false">SUM(BS6:BS18)</f>
        <v>35</v>
      </c>
      <c r="BT19" s="13" t="n">
        <f aca="false">SUM(BT6:BT18)</f>
        <v>35</v>
      </c>
      <c r="BU19" s="13" t="n">
        <f aca="false">SUM(BU6:BU18)</f>
        <v>35</v>
      </c>
      <c r="BV19" s="13" t="n">
        <f aca="false">SUM(BV6:BV18)</f>
        <v>35</v>
      </c>
      <c r="BW19" s="13" t="n">
        <f aca="false">SUM(BW6:BW18)</f>
        <v>35</v>
      </c>
      <c r="BX19" s="13" t="n">
        <f aca="false">SUM(BX6:BX18)</f>
        <v>35</v>
      </c>
      <c r="BY19" s="13" t="n">
        <f aca="false">SUM(BY6:BY18)</f>
        <v>35</v>
      </c>
      <c r="BZ19" s="13" t="n">
        <f aca="false">SUM(BZ6:BZ18)</f>
        <v>35</v>
      </c>
      <c r="CA19" s="13" t="n">
        <f aca="false">SUM(CA6:CA18)</f>
        <v>35</v>
      </c>
      <c r="CB19" s="13" t="n">
        <f aca="false">SUM(CB6:CB18)</f>
        <v>35</v>
      </c>
      <c r="CC19" s="13" t="n">
        <f aca="false">SUM(CC6:CC18)</f>
        <v>35</v>
      </c>
      <c r="CD19" s="13" t="n">
        <f aca="false">SUM(CD6:CD18)</f>
        <v>35</v>
      </c>
      <c r="CE19" s="13" t="n">
        <f aca="false">SUM(CE6:CE18)</f>
        <v>35</v>
      </c>
      <c r="CF19" s="13" t="n">
        <f aca="false">SUM(CF6:CF18)</f>
        <v>35</v>
      </c>
      <c r="CG19" s="13" t="n">
        <f aca="false">SUM(CG6:CG18)</f>
        <v>35</v>
      </c>
      <c r="CH19" s="13" t="n">
        <f aca="false">SUM(CH6:CH18)</f>
        <v>35</v>
      </c>
      <c r="CI19" s="13" t="n">
        <f aca="false">SUM(CI6:CI18)</f>
        <v>35</v>
      </c>
      <c r="CJ19" s="13" t="n">
        <f aca="false">SUM(CJ6:CJ18)</f>
        <v>35</v>
      </c>
      <c r="CK19" s="13" t="n">
        <f aca="false">SUM(CK6:CK18)</f>
        <v>35</v>
      </c>
      <c r="CL19" s="13" t="n">
        <f aca="false">SUM(CL6:CL18)</f>
        <v>35</v>
      </c>
      <c r="CM19" s="13" t="n">
        <f aca="false">SUM(CM6:CM18)</f>
        <v>35</v>
      </c>
      <c r="CN19" s="13" t="n">
        <f aca="false">SUM(CN6:CN18)</f>
        <v>35</v>
      </c>
      <c r="CO19" s="13" t="n">
        <f aca="false">SUM(CO6:CO18)</f>
        <v>35</v>
      </c>
      <c r="CP19" s="13" t="n">
        <f aca="false">SUM(CP6:CP18)</f>
        <v>35</v>
      </c>
      <c r="CQ19" s="13" t="n">
        <f aca="false">SUM(CQ6:CQ18)</f>
        <v>35</v>
      </c>
      <c r="CR19" s="13" t="n">
        <f aca="false">SUM(CR6:CR18)</f>
        <v>35</v>
      </c>
      <c r="CS19" s="13" t="n">
        <f aca="false">SUM(CS6:CS18)</f>
        <v>35</v>
      </c>
      <c r="CT19" s="13" t="n">
        <f aca="false">SUM(CT6:CT18)</f>
        <v>35</v>
      </c>
      <c r="CU19" s="13" t="n">
        <f aca="false">SUM(CU6:CU18)</f>
        <v>35</v>
      </c>
      <c r="CV19" s="13" t="n">
        <f aca="false">SUM(CV6:CV18)</f>
        <v>35</v>
      </c>
      <c r="CW19" s="13" t="n">
        <f aca="false">SUM(CW6:CW18)</f>
        <v>35</v>
      </c>
      <c r="CX19" s="13" t="n">
        <f aca="false">SUM(CX6:CX18)</f>
        <v>35</v>
      </c>
      <c r="CY19" s="13" t="n">
        <f aca="false">SUM(CY6:CY18)</f>
        <v>35</v>
      </c>
      <c r="CZ19" s="13" t="n">
        <f aca="false">SUM(CZ6:CZ18)</f>
        <v>35</v>
      </c>
      <c r="DA19" s="13" t="n">
        <f aca="false">SUM(DA6:DA18)</f>
        <v>35</v>
      </c>
      <c r="DB19" s="13" t="n">
        <f aca="false">SUM(DB6:DB18)</f>
        <v>35</v>
      </c>
      <c r="DC19" s="13" t="n">
        <f aca="false">SUM(DC6:DC18)</f>
        <v>35</v>
      </c>
      <c r="DD19" s="13" t="n">
        <f aca="false">SUM(DD6:DD18)</f>
        <v>35</v>
      </c>
      <c r="DE19" s="13" t="n">
        <f aca="false">SUM(DE6:DE18)</f>
        <v>35</v>
      </c>
      <c r="DF19" s="13" t="n">
        <f aca="false">SUM(DF6:DF18)</f>
        <v>35</v>
      </c>
      <c r="DG19" s="13" t="n">
        <f aca="false">SUM(DG6:DG18)</f>
        <v>35</v>
      </c>
      <c r="DH19" s="13" t="n">
        <f aca="false">SUM(DH6:DH18)</f>
        <v>35</v>
      </c>
      <c r="DI19" s="13" t="n">
        <f aca="false">SUM(DI6:DI18)</f>
        <v>35</v>
      </c>
      <c r="DJ19" s="13" t="n">
        <f aca="false">SUM(DJ6:DJ18)</f>
        <v>35</v>
      </c>
      <c r="DK19" s="13" t="n">
        <f aca="false">SUM(DK6:DK18)</f>
        <v>35</v>
      </c>
      <c r="DL19" s="13" t="n">
        <f aca="false">SUM(DL6:DL18)</f>
        <v>35</v>
      </c>
      <c r="DM19" s="13" t="n">
        <f aca="false">SUM(DM6:DM18)</f>
        <v>35</v>
      </c>
      <c r="DN19" s="13" t="n">
        <f aca="false">SUM(DN6:DN18)</f>
        <v>35</v>
      </c>
      <c r="DO19" s="13" t="n">
        <f aca="false">SUM(DO6:DO18)</f>
        <v>35</v>
      </c>
      <c r="DP19" s="13" t="n">
        <f aca="false">SUM(DP6:DP18)</f>
        <v>35</v>
      </c>
      <c r="DQ19" s="13" t="n">
        <f aca="false">SUM(DQ6:DQ18)</f>
        <v>35</v>
      </c>
      <c r="DR19" s="13" t="n">
        <f aca="false">SUM(DR6:DR18)</f>
        <v>35</v>
      </c>
    </row>
    <row r="20" customFormat="false" ht="15" hidden="false" customHeight="false" outlineLevel="0" collapsed="false">
      <c r="A20" s="9" t="s">
        <v>189</v>
      </c>
      <c r="B20" s="10" t="n">
        <f aca="false">B19*Inputs!$B$16/Inputs!$B$18</f>
        <v>0</v>
      </c>
      <c r="C20" s="10" t="n">
        <f aca="false">C19*Inputs!$B$16/Inputs!$B$18</f>
        <v>0</v>
      </c>
      <c r="D20" s="10" t="n">
        <f aca="false">D19*Inputs!$B$16/Inputs!$B$18</f>
        <v>0</v>
      </c>
      <c r="E20" s="10" t="n">
        <f aca="false">E19*Inputs!$B$16/Inputs!$B$18</f>
        <v>0</v>
      </c>
      <c r="F20" s="10" t="n">
        <f aca="false">F19*Inputs!$B$16/Inputs!$B$18</f>
        <v>0</v>
      </c>
      <c r="G20" s="10" t="n">
        <f aca="false">G19*Inputs!$B$16/Inputs!$B$18</f>
        <v>0</v>
      </c>
      <c r="H20" s="10" t="n">
        <f aca="false">H19*Inputs!$B$16/Inputs!$B$18</f>
        <v>0</v>
      </c>
      <c r="I20" s="10" t="n">
        <f aca="false">I19*Inputs!$B$16/Inputs!$B$18</f>
        <v>0</v>
      </c>
      <c r="J20" s="10" t="n">
        <f aca="false">J19*Inputs!$B$16/Inputs!$B$18</f>
        <v>0</v>
      </c>
      <c r="K20" s="10" t="n">
        <f aca="false">K19*Inputs!$B$16/Inputs!$B$18</f>
        <v>0</v>
      </c>
      <c r="L20" s="10" t="n">
        <f aca="false">L19*Inputs!$B$16/Inputs!$B$18</f>
        <v>0</v>
      </c>
      <c r="M20" s="10" t="n">
        <f aca="false">M19*Inputs!$B$16/Inputs!$B$18</f>
        <v>0</v>
      </c>
      <c r="N20" s="10" t="n">
        <f aca="false">N19*Inputs!$B$16/Inputs!$B$18</f>
        <v>0</v>
      </c>
      <c r="O20" s="10" t="n">
        <f aca="false">O19*Inputs!$B$16/Inputs!$B$18</f>
        <v>0</v>
      </c>
      <c r="P20" s="10" t="n">
        <f aca="false">P19*Inputs!$B$16/Inputs!$B$18</f>
        <v>0</v>
      </c>
      <c r="Q20" s="10" t="n">
        <f aca="false">Q19*Inputs!$B$16/Inputs!$B$18</f>
        <v>0</v>
      </c>
      <c r="R20" s="10" t="n">
        <f aca="false">R19*Inputs!$B$16/Inputs!$B$18</f>
        <v>0</v>
      </c>
      <c r="S20" s="10" t="n">
        <f aca="false">S19*Inputs!$B$16/Inputs!$B$18</f>
        <v>0</v>
      </c>
      <c r="T20" s="10" t="n">
        <f aca="false">T19*Inputs!$B$16/Inputs!$B$18</f>
        <v>0</v>
      </c>
      <c r="U20" s="10" t="n">
        <f aca="false">U19*Inputs!$B$16/Inputs!$B$18</f>
        <v>0</v>
      </c>
      <c r="V20" s="10" t="n">
        <f aca="false">V19*Inputs!$B$16/Inputs!$B$18</f>
        <v>0</v>
      </c>
      <c r="W20" s="10" t="n">
        <f aca="false">W19*Inputs!$B$16/Inputs!$B$18</f>
        <v>0</v>
      </c>
      <c r="X20" s="10" t="n">
        <f aca="false">X19*Inputs!$B$16/Inputs!$B$18</f>
        <v>0</v>
      </c>
      <c r="Y20" s="10" t="n">
        <f aca="false">Y19*Inputs!$B$16/Inputs!$B$18</f>
        <v>0</v>
      </c>
      <c r="Z20" s="10" t="n">
        <f aca="false">Z19*Inputs!$B$16/Inputs!$B$18</f>
        <v>0</v>
      </c>
      <c r="AA20" s="10" t="n">
        <f aca="false">AA19*Inputs!$B$16/Inputs!$B$18</f>
        <v>0</v>
      </c>
      <c r="AB20" s="10" t="n">
        <f aca="false">AB19*Inputs!$B$16/Inputs!$B$18</f>
        <v>0</v>
      </c>
      <c r="AC20" s="10" t="n">
        <f aca="false">AC19*Inputs!$B$16/Inputs!$B$18</f>
        <v>0</v>
      </c>
      <c r="AD20" s="10" t="n">
        <f aca="false">AD19*Inputs!$B$16/Inputs!$B$18</f>
        <v>0</v>
      </c>
      <c r="AE20" s="10" t="n">
        <f aca="false">AE19*Inputs!$B$16/Inputs!$B$18</f>
        <v>0</v>
      </c>
      <c r="AF20" s="10" t="n">
        <f aca="false">AF19*Inputs!$B$16/Inputs!$B$18</f>
        <v>0</v>
      </c>
      <c r="AG20" s="10" t="n">
        <f aca="false">AG19*Inputs!$B$16/Inputs!$B$18</f>
        <v>0</v>
      </c>
      <c r="AH20" s="10" t="n">
        <f aca="false">AH19*Inputs!$B$16/Inputs!$B$18</f>
        <v>0</v>
      </c>
      <c r="AI20" s="10" t="n">
        <f aca="false">AI19*Inputs!$B$16/Inputs!$B$18</f>
        <v>0</v>
      </c>
      <c r="AJ20" s="10" t="n">
        <f aca="false">AJ19*Inputs!$B$16/Inputs!$B$18</f>
        <v>0</v>
      </c>
      <c r="AK20" s="10" t="n">
        <f aca="false">AK19*Inputs!$B$16/Inputs!$B$18</f>
        <v>0</v>
      </c>
      <c r="AL20" s="10" t="n">
        <f aca="false">AL19*Inputs!$B$16/Inputs!$B$18</f>
        <v>0</v>
      </c>
      <c r="AM20" s="10" t="n">
        <f aca="false">AM19*Inputs!$B$16/Inputs!$B$18</f>
        <v>0</v>
      </c>
      <c r="AN20" s="10" t="n">
        <f aca="false">AN19*Inputs!$B$16/Inputs!$B$18</f>
        <v>0</v>
      </c>
      <c r="AO20" s="10" t="n">
        <f aca="false">AO19*Inputs!$B$16/Inputs!$B$18</f>
        <v>0</v>
      </c>
      <c r="AP20" s="10" t="n">
        <f aca="false">AP19*Inputs!$B$16/Inputs!$B$18</f>
        <v>0</v>
      </c>
      <c r="AQ20" s="10" t="n">
        <f aca="false">AQ19*Inputs!$B$16/Inputs!$B$18</f>
        <v>0</v>
      </c>
      <c r="AR20" s="10" t="n">
        <f aca="false">AR19*Inputs!$B$16/Inputs!$B$18</f>
        <v>0</v>
      </c>
      <c r="AS20" s="10" t="n">
        <f aca="false">AS19*Inputs!$B$16/Inputs!$B$18</f>
        <v>0</v>
      </c>
      <c r="AT20" s="10" t="n">
        <f aca="false">AT19*Inputs!$B$16/Inputs!$B$18</f>
        <v>0</v>
      </c>
      <c r="AU20" s="10" t="n">
        <f aca="false">AU19*Inputs!$B$16/Inputs!$B$18</f>
        <v>0</v>
      </c>
      <c r="AV20" s="10" t="n">
        <f aca="false">AV19*Inputs!$B$16/Inputs!$B$18</f>
        <v>0</v>
      </c>
      <c r="AW20" s="10" t="n">
        <f aca="false">AW19*Inputs!$B$16/Inputs!$B$18</f>
        <v>0</v>
      </c>
      <c r="AX20" s="10" t="n">
        <f aca="false">AX19*Inputs!$B$16/Inputs!$B$18</f>
        <v>0</v>
      </c>
      <c r="AY20" s="10" t="n">
        <f aca="false">AY19*Inputs!$B$16/Inputs!$B$18</f>
        <v>0</v>
      </c>
      <c r="AZ20" s="10" t="n">
        <f aca="false">AZ19*Inputs!$B$16/Inputs!$B$18</f>
        <v>0</v>
      </c>
      <c r="BA20" s="10" t="n">
        <f aca="false">BA19*Inputs!$B$16/Inputs!$B$18</f>
        <v>0</v>
      </c>
      <c r="BB20" s="10" t="n">
        <f aca="false">BB19*Inputs!$B$16/Inputs!$B$18</f>
        <v>0</v>
      </c>
      <c r="BC20" s="10" t="n">
        <f aca="false">BC19*Inputs!$B$16/Inputs!$B$18</f>
        <v>0</v>
      </c>
      <c r="BD20" s="10" t="n">
        <f aca="false">BD19*Inputs!$B$16/Inputs!$B$18</f>
        <v>0</v>
      </c>
      <c r="BE20" s="10" t="n">
        <f aca="false">BE19*Inputs!$B$16/Inputs!$B$18</f>
        <v>0</v>
      </c>
      <c r="BF20" s="10" t="n">
        <f aca="false">BF19*Inputs!$B$16/Inputs!$B$18</f>
        <v>0</v>
      </c>
      <c r="BG20" s="10" t="n">
        <f aca="false">BG19*Inputs!$B$16/Inputs!$B$18</f>
        <v>0</v>
      </c>
      <c r="BH20" s="10" t="n">
        <f aca="false">BH19*Inputs!$B$16/Inputs!$B$18</f>
        <v>0</v>
      </c>
      <c r="BI20" s="10" t="n">
        <f aca="false">BI19*Inputs!$B$16/Inputs!$B$18</f>
        <v>0</v>
      </c>
      <c r="BJ20" s="10" t="n">
        <f aca="false">BJ19*Inputs!$B$16/Inputs!$B$18</f>
        <v>0</v>
      </c>
      <c r="BK20" s="10" t="n">
        <f aca="false">BK19*Inputs!$B$16/Inputs!$B$18</f>
        <v>0</v>
      </c>
      <c r="BL20" s="10" t="n">
        <f aca="false">BL19*Inputs!$B$16/Inputs!$B$18</f>
        <v>0</v>
      </c>
      <c r="BM20" s="10" t="n">
        <f aca="false">BM19*Inputs!$B$16/Inputs!$B$18</f>
        <v>0</v>
      </c>
      <c r="BN20" s="10" t="n">
        <f aca="false">BN19*Inputs!$B$16/Inputs!$B$18</f>
        <v>0</v>
      </c>
      <c r="BO20" s="10" t="n">
        <f aca="false">BO19*Inputs!$B$16/Inputs!$B$18</f>
        <v>0</v>
      </c>
      <c r="BP20" s="10" t="n">
        <f aca="false">BP19*Inputs!$B$16/Inputs!$B$18</f>
        <v>0</v>
      </c>
      <c r="BQ20" s="10" t="n">
        <f aca="false">BQ19*Inputs!$B$16/Inputs!$B$18</f>
        <v>0</v>
      </c>
      <c r="BR20" s="10" t="n">
        <f aca="false">BR19*Inputs!$B$16/Inputs!$B$18</f>
        <v>0</v>
      </c>
      <c r="BS20" s="10" t="n">
        <f aca="false">BS19*Inputs!$B$16/Inputs!$B$18</f>
        <v>0</v>
      </c>
      <c r="BT20" s="10" t="n">
        <f aca="false">BT19*Inputs!$B$16/Inputs!$B$18</f>
        <v>0</v>
      </c>
      <c r="BU20" s="10" t="n">
        <f aca="false">BU19*Inputs!$B$16/Inputs!$B$18</f>
        <v>0</v>
      </c>
      <c r="BV20" s="10" t="n">
        <f aca="false">BV19*Inputs!$B$16/Inputs!$B$18</f>
        <v>0</v>
      </c>
      <c r="BW20" s="10" t="n">
        <f aca="false">BW19*Inputs!$B$16/Inputs!$B$18</f>
        <v>0</v>
      </c>
      <c r="BX20" s="10" t="n">
        <f aca="false">BX19*Inputs!$B$16/Inputs!$B$18</f>
        <v>0</v>
      </c>
      <c r="BY20" s="10" t="n">
        <f aca="false">BY19*Inputs!$B$16/Inputs!$B$18</f>
        <v>0</v>
      </c>
      <c r="BZ20" s="10" t="n">
        <f aca="false">BZ19*Inputs!$B$16/Inputs!$B$18</f>
        <v>0</v>
      </c>
      <c r="CA20" s="10" t="n">
        <f aca="false">CA19*Inputs!$B$16/Inputs!$B$18</f>
        <v>0</v>
      </c>
      <c r="CB20" s="10" t="n">
        <f aca="false">CB19*Inputs!$B$16/Inputs!$B$18</f>
        <v>0</v>
      </c>
      <c r="CC20" s="10" t="n">
        <f aca="false">CC19*Inputs!$B$16/Inputs!$B$18</f>
        <v>0</v>
      </c>
      <c r="CD20" s="10" t="n">
        <f aca="false">CD19*Inputs!$B$16/Inputs!$B$18</f>
        <v>0</v>
      </c>
      <c r="CE20" s="10" t="n">
        <f aca="false">CE19*Inputs!$B$16/Inputs!$B$18</f>
        <v>0</v>
      </c>
      <c r="CF20" s="10" t="n">
        <f aca="false">CF19*Inputs!$B$16/Inputs!$B$18</f>
        <v>0</v>
      </c>
      <c r="CG20" s="10" t="n">
        <f aca="false">CG19*Inputs!$B$16/Inputs!$B$18</f>
        <v>0</v>
      </c>
      <c r="CH20" s="10" t="n">
        <f aca="false">CH19*Inputs!$B$16/Inputs!$B$18</f>
        <v>0</v>
      </c>
      <c r="CI20" s="10" t="n">
        <f aca="false">CI19*Inputs!$B$16/Inputs!$B$18</f>
        <v>0</v>
      </c>
      <c r="CJ20" s="10" t="n">
        <f aca="false">CJ19*Inputs!$B$16/Inputs!$B$18</f>
        <v>0</v>
      </c>
      <c r="CK20" s="10" t="n">
        <f aca="false">CK19*Inputs!$B$16/Inputs!$B$18</f>
        <v>0</v>
      </c>
      <c r="CL20" s="10" t="n">
        <f aca="false">CL19*Inputs!$B$16/Inputs!$B$18</f>
        <v>0</v>
      </c>
      <c r="CM20" s="10" t="n">
        <f aca="false">CM19*Inputs!$B$16/Inputs!$B$18</f>
        <v>0</v>
      </c>
      <c r="CN20" s="10" t="n">
        <f aca="false">CN19*Inputs!$B$16/Inputs!$B$18</f>
        <v>0</v>
      </c>
      <c r="CO20" s="10" t="n">
        <f aca="false">CO19*Inputs!$B$16/Inputs!$B$18</f>
        <v>0</v>
      </c>
      <c r="CP20" s="10" t="n">
        <f aca="false">CP19*Inputs!$B$16/Inputs!$B$18</f>
        <v>0</v>
      </c>
      <c r="CQ20" s="10" t="n">
        <f aca="false">CQ19*Inputs!$B$16/Inputs!$B$18</f>
        <v>0</v>
      </c>
      <c r="CR20" s="10" t="n">
        <f aca="false">CR19*Inputs!$B$16/Inputs!$B$18</f>
        <v>0</v>
      </c>
      <c r="CS20" s="10" t="n">
        <f aca="false">CS19*Inputs!$B$16/Inputs!$B$18</f>
        <v>0</v>
      </c>
      <c r="CT20" s="10" t="n">
        <f aca="false">CT19*Inputs!$B$16/Inputs!$B$18</f>
        <v>0</v>
      </c>
      <c r="CU20" s="10" t="n">
        <f aca="false">CU19*Inputs!$B$16/Inputs!$B$18</f>
        <v>0</v>
      </c>
      <c r="CV20" s="10" t="n">
        <f aca="false">CV19*Inputs!$B$16/Inputs!$B$18</f>
        <v>0</v>
      </c>
      <c r="CW20" s="10" t="n">
        <f aca="false">CW19*Inputs!$B$16/Inputs!$B$18</f>
        <v>0</v>
      </c>
      <c r="CX20" s="10" t="n">
        <f aca="false">CX19*Inputs!$B$16/Inputs!$B$18</f>
        <v>0</v>
      </c>
      <c r="CY20" s="10" t="n">
        <f aca="false">CY19*Inputs!$B$16/Inputs!$B$18</f>
        <v>0</v>
      </c>
      <c r="CZ20" s="10" t="n">
        <f aca="false">CZ19*Inputs!$B$16/Inputs!$B$18</f>
        <v>0</v>
      </c>
      <c r="DA20" s="10" t="n">
        <f aca="false">DA19*Inputs!$B$16/Inputs!$B$18</f>
        <v>0</v>
      </c>
      <c r="DB20" s="10" t="n">
        <f aca="false">DB19*Inputs!$B$16/Inputs!$B$18</f>
        <v>0</v>
      </c>
      <c r="DC20" s="10" t="n">
        <f aca="false">DC19*Inputs!$B$16/Inputs!$B$18</f>
        <v>0</v>
      </c>
      <c r="DD20" s="10" t="n">
        <f aca="false">DD19*Inputs!$B$16/Inputs!$B$18</f>
        <v>0</v>
      </c>
      <c r="DE20" s="10" t="n">
        <f aca="false">DE19*Inputs!$B$16/Inputs!$B$18</f>
        <v>0</v>
      </c>
      <c r="DF20" s="10" t="n">
        <f aca="false">DF19*Inputs!$B$16/Inputs!$B$18</f>
        <v>0</v>
      </c>
      <c r="DG20" s="10" t="n">
        <f aca="false">DG19*Inputs!$B$16/Inputs!$B$18</f>
        <v>0</v>
      </c>
      <c r="DH20" s="10" t="n">
        <f aca="false">DH19*Inputs!$B$16/Inputs!$B$18</f>
        <v>0</v>
      </c>
      <c r="DI20" s="10" t="n">
        <f aca="false">DI19*Inputs!$B$16/Inputs!$B$18</f>
        <v>0</v>
      </c>
      <c r="DJ20" s="10" t="n">
        <f aca="false">DJ19*Inputs!$B$16/Inputs!$B$18</f>
        <v>0</v>
      </c>
      <c r="DK20" s="10" t="n">
        <f aca="false">DK19*Inputs!$B$16/Inputs!$B$18</f>
        <v>0</v>
      </c>
      <c r="DL20" s="10" t="n">
        <f aca="false">DL19*Inputs!$B$16/Inputs!$B$18</f>
        <v>0</v>
      </c>
      <c r="DM20" s="10" t="n">
        <f aca="false">DM19*Inputs!$B$16/Inputs!$B$18</f>
        <v>0</v>
      </c>
      <c r="DN20" s="10" t="n">
        <f aca="false">DN19*Inputs!$B$16/Inputs!$B$18</f>
        <v>0</v>
      </c>
      <c r="DO20" s="10" t="n">
        <f aca="false">DO19*Inputs!$B$16/Inputs!$B$18</f>
        <v>0</v>
      </c>
      <c r="DP20" s="10" t="n">
        <f aca="false">DP19*Inputs!$B$16/Inputs!$B$18</f>
        <v>0</v>
      </c>
      <c r="DQ20" s="10" t="n">
        <f aca="false">DQ19*Inputs!$B$16/Inputs!$B$18</f>
        <v>0</v>
      </c>
      <c r="DR20" s="10" t="n">
        <f aca="false">DR19*Inputs!$B$16/Inputs!$B$18</f>
        <v>0</v>
      </c>
    </row>
    <row r="21" customFormat="false" ht="15" hidden="false" customHeight="false" outlineLevel="0" collapsed="false">
      <c r="A21" s="9" t="s">
        <v>190</v>
      </c>
      <c r="B21" s="10" t="n">
        <f aca="false">B20-Inputs!$B$34</f>
        <v>0</v>
      </c>
      <c r="C21" s="11" t="n">
        <f aca="false">C20-B20</f>
        <v>0</v>
      </c>
      <c r="D21" s="11" t="n">
        <f aca="false">D20-C20</f>
        <v>0</v>
      </c>
      <c r="E21" s="11" t="n">
        <f aca="false">E20-D20</f>
        <v>0</v>
      </c>
      <c r="F21" s="11" t="n">
        <f aca="false">F20-E20</f>
        <v>0</v>
      </c>
      <c r="G21" s="11" t="n">
        <f aca="false">G20-F20</f>
        <v>0</v>
      </c>
      <c r="H21" s="11" t="n">
        <f aca="false">H20-G20</f>
        <v>0</v>
      </c>
      <c r="I21" s="11" t="n">
        <f aca="false">I20-H20</f>
        <v>0</v>
      </c>
      <c r="J21" s="11" t="n">
        <f aca="false">J20-I20</f>
        <v>0</v>
      </c>
      <c r="K21" s="11" t="n">
        <f aca="false">K20-J20</f>
        <v>0</v>
      </c>
      <c r="L21" s="11" t="n">
        <f aca="false">L20-K20</f>
        <v>0</v>
      </c>
      <c r="M21" s="11" t="n">
        <f aca="false">M20-L20</f>
        <v>0</v>
      </c>
      <c r="N21" s="11" t="n">
        <f aca="false">N20-M20</f>
        <v>0</v>
      </c>
      <c r="O21" s="11" t="n">
        <f aca="false">O20-N20</f>
        <v>0</v>
      </c>
      <c r="P21" s="11" t="n">
        <f aca="false">P20-O20</f>
        <v>0</v>
      </c>
      <c r="Q21" s="11" t="n">
        <f aca="false">Q20-P20</f>
        <v>0</v>
      </c>
      <c r="R21" s="11" t="n">
        <f aca="false">R20-Q20</f>
        <v>0</v>
      </c>
      <c r="S21" s="11" t="n">
        <f aca="false">S20-R20</f>
        <v>0</v>
      </c>
      <c r="T21" s="11" t="n">
        <f aca="false">T20-S20</f>
        <v>0</v>
      </c>
      <c r="U21" s="11" t="n">
        <f aca="false">U20-T20</f>
        <v>0</v>
      </c>
      <c r="V21" s="11" t="n">
        <f aca="false">V20-U20</f>
        <v>0</v>
      </c>
      <c r="W21" s="11" t="n">
        <f aca="false">W20-V20</f>
        <v>0</v>
      </c>
      <c r="X21" s="11" t="n">
        <f aca="false">X20-W20</f>
        <v>0</v>
      </c>
      <c r="Y21" s="11" t="n">
        <f aca="false">Y20-X20</f>
        <v>0</v>
      </c>
      <c r="Z21" s="11" t="n">
        <f aca="false">Z20-Y20</f>
        <v>0</v>
      </c>
      <c r="AA21" s="11" t="n">
        <f aca="false">AA20-Z20</f>
        <v>0</v>
      </c>
      <c r="AB21" s="11" t="n">
        <f aca="false">AB20-AA20</f>
        <v>0</v>
      </c>
      <c r="AC21" s="11" t="n">
        <f aca="false">AC20-AB20</f>
        <v>0</v>
      </c>
      <c r="AD21" s="11" t="n">
        <f aca="false">AD20-AC20</f>
        <v>0</v>
      </c>
      <c r="AE21" s="11" t="n">
        <f aca="false">AE20-AD20</f>
        <v>0</v>
      </c>
      <c r="AF21" s="11" t="n">
        <f aca="false">AF20-AE20</f>
        <v>0</v>
      </c>
      <c r="AG21" s="11" t="n">
        <f aca="false">AG20-AF20</f>
        <v>0</v>
      </c>
      <c r="AH21" s="11" t="n">
        <f aca="false">AH20-AG20</f>
        <v>0</v>
      </c>
      <c r="AI21" s="11" t="n">
        <f aca="false">AI20-AH20</f>
        <v>0</v>
      </c>
      <c r="AJ21" s="11" t="n">
        <f aca="false">AJ20-AI20</f>
        <v>0</v>
      </c>
      <c r="AK21" s="11" t="n">
        <f aca="false">AK20-AJ20</f>
        <v>0</v>
      </c>
      <c r="AL21" s="11" t="n">
        <f aca="false">AL20-AK20</f>
        <v>0</v>
      </c>
      <c r="AM21" s="11" t="n">
        <f aca="false">AM20-AL20</f>
        <v>0</v>
      </c>
      <c r="AN21" s="11" t="n">
        <f aca="false">AN20-AM20</f>
        <v>0</v>
      </c>
      <c r="AO21" s="11" t="n">
        <f aca="false">AO20-AN20</f>
        <v>0</v>
      </c>
      <c r="AP21" s="11" t="n">
        <f aca="false">AP20-AO20</f>
        <v>0</v>
      </c>
      <c r="AQ21" s="11" t="n">
        <f aca="false">AQ20-AP20</f>
        <v>0</v>
      </c>
      <c r="AR21" s="11" t="n">
        <f aca="false">AR20-AQ20</f>
        <v>0</v>
      </c>
      <c r="AS21" s="11" t="n">
        <f aca="false">AS20-AR20</f>
        <v>0</v>
      </c>
      <c r="AT21" s="11" t="n">
        <f aca="false">AT20-AS20</f>
        <v>0</v>
      </c>
      <c r="AU21" s="11" t="n">
        <f aca="false">AU20-AT20</f>
        <v>0</v>
      </c>
      <c r="AV21" s="11" t="n">
        <f aca="false">AV20-AU20</f>
        <v>0</v>
      </c>
      <c r="AW21" s="11" t="n">
        <f aca="false">AW20-AV20</f>
        <v>0</v>
      </c>
      <c r="AX21" s="11" t="n">
        <f aca="false">AX20-AW20</f>
        <v>0</v>
      </c>
      <c r="AY21" s="11" t="n">
        <f aca="false">AY20-AX20</f>
        <v>0</v>
      </c>
      <c r="AZ21" s="11" t="n">
        <f aca="false">AZ20-AY20</f>
        <v>0</v>
      </c>
      <c r="BA21" s="11" t="n">
        <f aca="false">BA20-AZ20</f>
        <v>0</v>
      </c>
      <c r="BB21" s="11" t="n">
        <f aca="false">BB20-BA20</f>
        <v>0</v>
      </c>
      <c r="BC21" s="11" t="n">
        <f aca="false">BC20-BB20</f>
        <v>0</v>
      </c>
      <c r="BD21" s="11" t="n">
        <f aca="false">BD20-BC20</f>
        <v>0</v>
      </c>
      <c r="BE21" s="11" t="n">
        <f aca="false">BE20-BD20</f>
        <v>0</v>
      </c>
      <c r="BF21" s="11" t="n">
        <f aca="false">BF20-BE20</f>
        <v>0</v>
      </c>
      <c r="BG21" s="11" t="n">
        <f aca="false">BG20-BF20</f>
        <v>0</v>
      </c>
      <c r="BH21" s="11" t="n">
        <f aca="false">BH20-BG20</f>
        <v>0</v>
      </c>
      <c r="BI21" s="11" t="n">
        <f aca="false">BI20-BH20</f>
        <v>0</v>
      </c>
      <c r="BJ21" s="11" t="n">
        <f aca="false">BJ20-BI20</f>
        <v>0</v>
      </c>
      <c r="BK21" s="11" t="n">
        <f aca="false">BK20-BJ20</f>
        <v>0</v>
      </c>
      <c r="BL21" s="11" t="n">
        <f aca="false">BL20-BK20</f>
        <v>0</v>
      </c>
      <c r="BM21" s="11" t="n">
        <f aca="false">BM20-BL20</f>
        <v>0</v>
      </c>
      <c r="BN21" s="11" t="n">
        <f aca="false">BN20-BM20</f>
        <v>0</v>
      </c>
      <c r="BO21" s="11" t="n">
        <f aca="false">BO20-BN20</f>
        <v>0</v>
      </c>
      <c r="BP21" s="11" t="n">
        <f aca="false">BP20-BO20</f>
        <v>0</v>
      </c>
      <c r="BQ21" s="11" t="n">
        <f aca="false">BQ20-BP20</f>
        <v>0</v>
      </c>
      <c r="BR21" s="11" t="n">
        <f aca="false">BR20-BQ20</f>
        <v>0</v>
      </c>
      <c r="BS21" s="11" t="n">
        <f aca="false">BS20-BR20</f>
        <v>0</v>
      </c>
      <c r="BT21" s="11" t="n">
        <f aca="false">BT20-BS20</f>
        <v>0</v>
      </c>
      <c r="BU21" s="11" t="n">
        <f aca="false">BU20-BT20</f>
        <v>0</v>
      </c>
      <c r="BV21" s="11" t="n">
        <f aca="false">BV20-BU20</f>
        <v>0</v>
      </c>
      <c r="BW21" s="11" t="n">
        <f aca="false">BW20-BV20</f>
        <v>0</v>
      </c>
      <c r="BX21" s="11" t="n">
        <f aca="false">BX20-BW20</f>
        <v>0</v>
      </c>
      <c r="BY21" s="11" t="n">
        <f aca="false">BY20-BX20</f>
        <v>0</v>
      </c>
      <c r="BZ21" s="11" t="n">
        <f aca="false">BZ20-BY20</f>
        <v>0</v>
      </c>
      <c r="CA21" s="11" t="n">
        <f aca="false">CA20-BZ20</f>
        <v>0</v>
      </c>
      <c r="CB21" s="11" t="n">
        <f aca="false">CB20-CA20</f>
        <v>0</v>
      </c>
      <c r="CC21" s="11" t="n">
        <f aca="false">CC20-CB20</f>
        <v>0</v>
      </c>
      <c r="CD21" s="11" t="n">
        <f aca="false">CD20-CC20</f>
        <v>0</v>
      </c>
      <c r="CE21" s="11" t="n">
        <f aca="false">CE20-CD20</f>
        <v>0</v>
      </c>
      <c r="CF21" s="11" t="n">
        <f aca="false">CF20-CE20</f>
        <v>0</v>
      </c>
      <c r="CG21" s="11" t="n">
        <f aca="false">CG20-CF20</f>
        <v>0</v>
      </c>
      <c r="CH21" s="11" t="n">
        <f aca="false">CH20-CG20</f>
        <v>0</v>
      </c>
      <c r="CI21" s="11" t="n">
        <f aca="false">CI20-CH20</f>
        <v>0</v>
      </c>
      <c r="CJ21" s="11" t="n">
        <f aca="false">CJ20-CI20</f>
        <v>0</v>
      </c>
      <c r="CK21" s="11" t="n">
        <f aca="false">CK20-CJ20</f>
        <v>0</v>
      </c>
      <c r="CL21" s="11" t="n">
        <f aca="false">CL20-CK20</f>
        <v>0</v>
      </c>
      <c r="CM21" s="11" t="n">
        <f aca="false">CM20-CL20</f>
        <v>0</v>
      </c>
      <c r="CN21" s="11" t="n">
        <f aca="false">CN20-CM20</f>
        <v>0</v>
      </c>
      <c r="CO21" s="11" t="n">
        <f aca="false">CO20-CN20</f>
        <v>0</v>
      </c>
      <c r="CP21" s="11" t="n">
        <f aca="false">CP20-CO20</f>
        <v>0</v>
      </c>
      <c r="CQ21" s="11" t="n">
        <f aca="false">CQ20-CP20</f>
        <v>0</v>
      </c>
      <c r="CR21" s="11" t="n">
        <f aca="false">CR20-CQ20</f>
        <v>0</v>
      </c>
      <c r="CS21" s="11" t="n">
        <f aca="false">CS20-CR20</f>
        <v>0</v>
      </c>
      <c r="CT21" s="11" t="n">
        <f aca="false">CT20-CS20</f>
        <v>0</v>
      </c>
      <c r="CU21" s="11" t="n">
        <f aca="false">CU20-CT20</f>
        <v>0</v>
      </c>
      <c r="CV21" s="11" t="n">
        <f aca="false">CV20-CU20</f>
        <v>0</v>
      </c>
      <c r="CW21" s="11" t="n">
        <f aca="false">CW20-CV20</f>
        <v>0</v>
      </c>
      <c r="CX21" s="11" t="n">
        <f aca="false">CX20-CW20</f>
        <v>0</v>
      </c>
      <c r="CY21" s="11" t="n">
        <f aca="false">CY20-CX20</f>
        <v>0</v>
      </c>
      <c r="CZ21" s="11" t="n">
        <f aca="false">CZ20-CY20</f>
        <v>0</v>
      </c>
      <c r="DA21" s="11" t="n">
        <f aca="false">DA20-CZ20</f>
        <v>0</v>
      </c>
      <c r="DB21" s="11" t="n">
        <f aca="false">DB20-DA20</f>
        <v>0</v>
      </c>
      <c r="DC21" s="11" t="n">
        <f aca="false">DC20-DB20</f>
        <v>0</v>
      </c>
      <c r="DD21" s="11" t="n">
        <f aca="false">DD20-DC20</f>
        <v>0</v>
      </c>
      <c r="DE21" s="11" t="n">
        <f aca="false">DE20-DD20</f>
        <v>0</v>
      </c>
      <c r="DF21" s="11" t="n">
        <f aca="false">DF20-DE20</f>
        <v>0</v>
      </c>
      <c r="DG21" s="11" t="n">
        <f aca="false">DG20-DF20</f>
        <v>0</v>
      </c>
      <c r="DH21" s="11" t="n">
        <f aca="false">DH20-DG20</f>
        <v>0</v>
      </c>
      <c r="DI21" s="11" t="n">
        <f aca="false">DI20-DH20</f>
        <v>0</v>
      </c>
      <c r="DJ21" s="11" t="n">
        <f aca="false">DJ20-DI20</f>
        <v>0</v>
      </c>
      <c r="DK21" s="11" t="n">
        <f aca="false">DK20-DJ20</f>
        <v>0</v>
      </c>
      <c r="DL21" s="11" t="n">
        <f aca="false">DL20-DK20</f>
        <v>0</v>
      </c>
      <c r="DM21" s="11" t="n">
        <f aca="false">DM20-DL20</f>
        <v>0</v>
      </c>
      <c r="DN21" s="11" t="n">
        <f aca="false">DN20-DM20</f>
        <v>0</v>
      </c>
      <c r="DO21" s="11" t="n">
        <f aca="false">DO20-DN20</f>
        <v>0</v>
      </c>
      <c r="DP21" s="11" t="n">
        <f aca="false">DP20-DO20</f>
        <v>0</v>
      </c>
      <c r="DQ21" s="11" t="n">
        <f aca="false">DQ20-DP20</f>
        <v>0</v>
      </c>
      <c r="DR21" s="11" t="n">
        <f aca="false">DR20-DQ20</f>
        <v>0</v>
      </c>
    </row>
    <row r="22" customFormat="false" ht="15" hidden="false" customHeight="false" outlineLevel="0" collapsed="false">
      <c r="A22" s="9" t="s">
        <v>191</v>
      </c>
      <c r="B22" s="11" t="n">
        <f aca="false">B19-B21</f>
        <v>0</v>
      </c>
      <c r="C22" s="11" t="n">
        <f aca="false">C19-C21</f>
        <v>35</v>
      </c>
      <c r="D22" s="11" t="n">
        <f aca="false">D19-D21</f>
        <v>35</v>
      </c>
      <c r="E22" s="11" t="n">
        <f aca="false">E19-E21</f>
        <v>35</v>
      </c>
      <c r="F22" s="11" t="n">
        <f aca="false">F19-F21</f>
        <v>35</v>
      </c>
      <c r="G22" s="11" t="n">
        <f aca="false">G19-G21</f>
        <v>35</v>
      </c>
      <c r="H22" s="11" t="n">
        <f aca="false">H19-H21</f>
        <v>35</v>
      </c>
      <c r="I22" s="11" t="n">
        <f aca="false">I19-I21</f>
        <v>35</v>
      </c>
      <c r="J22" s="11" t="n">
        <f aca="false">J19-J21</f>
        <v>35</v>
      </c>
      <c r="K22" s="11" t="n">
        <f aca="false">K19-K21</f>
        <v>35</v>
      </c>
      <c r="L22" s="11" t="n">
        <f aca="false">L19-L21</f>
        <v>35</v>
      </c>
      <c r="M22" s="11" t="n">
        <f aca="false">M19-M21</f>
        <v>35</v>
      </c>
      <c r="N22" s="11" t="n">
        <f aca="false">N19-N21</f>
        <v>35</v>
      </c>
      <c r="O22" s="11" t="n">
        <f aca="false">O19-O21</f>
        <v>35</v>
      </c>
      <c r="P22" s="11" t="n">
        <f aca="false">P19-P21</f>
        <v>35</v>
      </c>
      <c r="Q22" s="11" t="n">
        <f aca="false">Q19-Q21</f>
        <v>35</v>
      </c>
      <c r="R22" s="11" t="n">
        <f aca="false">R19-R21</f>
        <v>35</v>
      </c>
      <c r="S22" s="11" t="n">
        <f aca="false">S19-S21</f>
        <v>35</v>
      </c>
      <c r="T22" s="11" t="n">
        <f aca="false">T19-T21</f>
        <v>35</v>
      </c>
      <c r="U22" s="11" t="n">
        <f aca="false">U19-U21</f>
        <v>35</v>
      </c>
      <c r="V22" s="11" t="n">
        <f aca="false">V19-V21</f>
        <v>35</v>
      </c>
      <c r="W22" s="11" t="n">
        <f aca="false">W19-W21</f>
        <v>35</v>
      </c>
      <c r="X22" s="11" t="n">
        <f aca="false">X19-X21</f>
        <v>35</v>
      </c>
      <c r="Y22" s="11" t="n">
        <f aca="false">Y19-Y21</f>
        <v>35</v>
      </c>
      <c r="Z22" s="11" t="n">
        <f aca="false">Z19-Z21</f>
        <v>35</v>
      </c>
      <c r="AA22" s="11" t="n">
        <f aca="false">AA19-AA21</f>
        <v>35</v>
      </c>
      <c r="AB22" s="11" t="n">
        <f aca="false">AB19-AB21</f>
        <v>35</v>
      </c>
      <c r="AC22" s="11" t="n">
        <f aca="false">AC19-AC21</f>
        <v>35</v>
      </c>
      <c r="AD22" s="11" t="n">
        <f aca="false">AD19-AD21</f>
        <v>35</v>
      </c>
      <c r="AE22" s="11" t="n">
        <f aca="false">AE19-AE21</f>
        <v>35</v>
      </c>
      <c r="AF22" s="11" t="n">
        <f aca="false">AF19-AF21</f>
        <v>35</v>
      </c>
      <c r="AG22" s="11" t="n">
        <f aca="false">AG19-AG21</f>
        <v>35</v>
      </c>
      <c r="AH22" s="11" t="n">
        <f aca="false">AH19-AH21</f>
        <v>35</v>
      </c>
      <c r="AI22" s="11" t="n">
        <f aca="false">AI19-AI21</f>
        <v>35</v>
      </c>
      <c r="AJ22" s="11" t="n">
        <f aca="false">AJ19-AJ21</f>
        <v>35</v>
      </c>
      <c r="AK22" s="11" t="n">
        <f aca="false">AK19-AK21</f>
        <v>35</v>
      </c>
      <c r="AL22" s="11" t="n">
        <f aca="false">AL19-AL21</f>
        <v>35</v>
      </c>
      <c r="AM22" s="11" t="n">
        <f aca="false">AM19-AM21</f>
        <v>35</v>
      </c>
      <c r="AN22" s="11" t="n">
        <f aca="false">AN19-AN21</f>
        <v>35</v>
      </c>
      <c r="AO22" s="11" t="n">
        <f aca="false">AO19-AO21</f>
        <v>35</v>
      </c>
      <c r="AP22" s="11" t="n">
        <f aca="false">AP19-AP21</f>
        <v>35</v>
      </c>
      <c r="AQ22" s="11" t="n">
        <f aca="false">AQ19-AQ21</f>
        <v>35</v>
      </c>
      <c r="AR22" s="11" t="n">
        <f aca="false">AR19-AR21</f>
        <v>35</v>
      </c>
      <c r="AS22" s="11" t="n">
        <f aca="false">AS19-AS21</f>
        <v>35</v>
      </c>
      <c r="AT22" s="11" t="n">
        <f aca="false">AT19-AT21</f>
        <v>35</v>
      </c>
      <c r="AU22" s="11" t="n">
        <f aca="false">AU19-AU21</f>
        <v>35</v>
      </c>
      <c r="AV22" s="11" t="n">
        <f aca="false">AV19-AV21</f>
        <v>35</v>
      </c>
      <c r="AW22" s="11" t="n">
        <f aca="false">AW19-AW21</f>
        <v>35</v>
      </c>
      <c r="AX22" s="11" t="n">
        <f aca="false">AX19-AX21</f>
        <v>35</v>
      </c>
      <c r="AY22" s="11" t="n">
        <f aca="false">AY19-AY21</f>
        <v>35</v>
      </c>
      <c r="AZ22" s="11" t="n">
        <f aca="false">AZ19-AZ21</f>
        <v>35</v>
      </c>
      <c r="BA22" s="11" t="n">
        <f aca="false">BA19-BA21</f>
        <v>35</v>
      </c>
      <c r="BB22" s="11" t="n">
        <f aca="false">BB19-BB21</f>
        <v>35</v>
      </c>
      <c r="BC22" s="11" t="n">
        <f aca="false">BC19-BC21</f>
        <v>35</v>
      </c>
      <c r="BD22" s="11" t="n">
        <f aca="false">BD19-BD21</f>
        <v>35</v>
      </c>
      <c r="BE22" s="11" t="n">
        <f aca="false">BE19-BE21</f>
        <v>35</v>
      </c>
      <c r="BF22" s="11" t="n">
        <f aca="false">BF19-BF21</f>
        <v>35</v>
      </c>
      <c r="BG22" s="11" t="n">
        <f aca="false">BG19-BG21</f>
        <v>35</v>
      </c>
      <c r="BH22" s="11" t="n">
        <f aca="false">BH19-BH21</f>
        <v>35</v>
      </c>
      <c r="BI22" s="11" t="n">
        <f aca="false">BI19-BI21</f>
        <v>35</v>
      </c>
      <c r="BJ22" s="11" t="n">
        <f aca="false">BJ19-BJ21</f>
        <v>35</v>
      </c>
      <c r="BK22" s="11" t="n">
        <f aca="false">BK19-BK21</f>
        <v>35</v>
      </c>
      <c r="BL22" s="11" t="n">
        <f aca="false">BL19-BL21</f>
        <v>35</v>
      </c>
      <c r="BM22" s="11" t="n">
        <f aca="false">BM19-BM21</f>
        <v>35</v>
      </c>
      <c r="BN22" s="11" t="n">
        <f aca="false">BN19-BN21</f>
        <v>35</v>
      </c>
      <c r="BO22" s="11" t="n">
        <f aca="false">BO19-BO21</f>
        <v>35</v>
      </c>
      <c r="BP22" s="11" t="n">
        <f aca="false">BP19-BP21</f>
        <v>35</v>
      </c>
      <c r="BQ22" s="11" t="n">
        <f aca="false">BQ19-BQ21</f>
        <v>35</v>
      </c>
      <c r="BR22" s="11" t="n">
        <f aca="false">BR19-BR21</f>
        <v>35</v>
      </c>
      <c r="BS22" s="11" t="n">
        <f aca="false">BS19-BS21</f>
        <v>35</v>
      </c>
      <c r="BT22" s="11" t="n">
        <f aca="false">BT19-BT21</f>
        <v>35</v>
      </c>
      <c r="BU22" s="11" t="n">
        <f aca="false">BU19-BU21</f>
        <v>35</v>
      </c>
      <c r="BV22" s="11" t="n">
        <f aca="false">BV19-BV21</f>
        <v>35</v>
      </c>
      <c r="BW22" s="11" t="n">
        <f aca="false">BW19-BW21</f>
        <v>35</v>
      </c>
      <c r="BX22" s="11" t="n">
        <f aca="false">BX19-BX21</f>
        <v>35</v>
      </c>
      <c r="BY22" s="11" t="n">
        <f aca="false">BY19-BY21</f>
        <v>35</v>
      </c>
      <c r="BZ22" s="11" t="n">
        <f aca="false">BZ19-BZ21</f>
        <v>35</v>
      </c>
      <c r="CA22" s="11" t="n">
        <f aca="false">CA19-CA21</f>
        <v>35</v>
      </c>
      <c r="CB22" s="11" t="n">
        <f aca="false">CB19-CB21</f>
        <v>35</v>
      </c>
      <c r="CC22" s="11" t="n">
        <f aca="false">CC19-CC21</f>
        <v>35</v>
      </c>
      <c r="CD22" s="11" t="n">
        <f aca="false">CD19-CD21</f>
        <v>35</v>
      </c>
      <c r="CE22" s="11" t="n">
        <f aca="false">CE19-CE21</f>
        <v>35</v>
      </c>
      <c r="CF22" s="11" t="n">
        <f aca="false">CF19-CF21</f>
        <v>35</v>
      </c>
      <c r="CG22" s="11" t="n">
        <f aca="false">CG19-CG21</f>
        <v>35</v>
      </c>
      <c r="CH22" s="11" t="n">
        <f aca="false">CH19-CH21</f>
        <v>35</v>
      </c>
      <c r="CI22" s="11" t="n">
        <f aca="false">CI19-CI21</f>
        <v>35</v>
      </c>
      <c r="CJ22" s="11" t="n">
        <f aca="false">CJ19-CJ21</f>
        <v>35</v>
      </c>
      <c r="CK22" s="11" t="n">
        <f aca="false">CK19-CK21</f>
        <v>35</v>
      </c>
      <c r="CL22" s="11" t="n">
        <f aca="false">CL19-CL21</f>
        <v>35</v>
      </c>
      <c r="CM22" s="11" t="n">
        <f aca="false">CM19-CM21</f>
        <v>35</v>
      </c>
      <c r="CN22" s="11" t="n">
        <f aca="false">CN19-CN21</f>
        <v>35</v>
      </c>
      <c r="CO22" s="11" t="n">
        <f aca="false">CO19-CO21</f>
        <v>35</v>
      </c>
      <c r="CP22" s="11" t="n">
        <f aca="false">CP19-CP21</f>
        <v>35</v>
      </c>
      <c r="CQ22" s="11" t="n">
        <f aca="false">CQ19-CQ21</f>
        <v>35</v>
      </c>
      <c r="CR22" s="11" t="n">
        <f aca="false">CR19-CR21</f>
        <v>35</v>
      </c>
      <c r="CS22" s="11" t="n">
        <f aca="false">CS19-CS21</f>
        <v>35</v>
      </c>
      <c r="CT22" s="11" t="n">
        <f aca="false">CT19-CT21</f>
        <v>35</v>
      </c>
      <c r="CU22" s="11" t="n">
        <f aca="false">CU19-CU21</f>
        <v>35</v>
      </c>
      <c r="CV22" s="11" t="n">
        <f aca="false">CV19-CV21</f>
        <v>35</v>
      </c>
      <c r="CW22" s="11" t="n">
        <f aca="false">CW19-CW21</f>
        <v>35</v>
      </c>
      <c r="CX22" s="11" t="n">
        <f aca="false">CX19-CX21</f>
        <v>35</v>
      </c>
      <c r="CY22" s="11" t="n">
        <f aca="false">CY19-CY21</f>
        <v>35</v>
      </c>
      <c r="CZ22" s="11" t="n">
        <f aca="false">CZ19-CZ21</f>
        <v>35</v>
      </c>
      <c r="DA22" s="11" t="n">
        <f aca="false">DA19-DA21</f>
        <v>35</v>
      </c>
      <c r="DB22" s="11" t="n">
        <f aca="false">DB19-DB21</f>
        <v>35</v>
      </c>
      <c r="DC22" s="11" t="n">
        <f aca="false">DC19-DC21</f>
        <v>35</v>
      </c>
      <c r="DD22" s="11" t="n">
        <f aca="false">DD19-DD21</f>
        <v>35</v>
      </c>
      <c r="DE22" s="11" t="n">
        <f aca="false">DE19-DE21</f>
        <v>35</v>
      </c>
      <c r="DF22" s="11" t="n">
        <f aca="false">DF19-DF21</f>
        <v>35</v>
      </c>
      <c r="DG22" s="11" t="n">
        <f aca="false">DG19-DG21</f>
        <v>35</v>
      </c>
      <c r="DH22" s="11" t="n">
        <f aca="false">DH19-DH21</f>
        <v>35</v>
      </c>
      <c r="DI22" s="11" t="n">
        <f aca="false">DI19-DI21</f>
        <v>35</v>
      </c>
      <c r="DJ22" s="11" t="n">
        <f aca="false">DJ19-DJ21</f>
        <v>35</v>
      </c>
      <c r="DK22" s="11" t="n">
        <f aca="false">DK19-DK21</f>
        <v>35</v>
      </c>
      <c r="DL22" s="11" t="n">
        <f aca="false">DL19-DL21</f>
        <v>35</v>
      </c>
      <c r="DM22" s="11" t="n">
        <f aca="false">DM19-DM21</f>
        <v>35</v>
      </c>
      <c r="DN22" s="11" t="n">
        <f aca="false">DN19-DN21</f>
        <v>35</v>
      </c>
      <c r="DO22" s="11" t="n">
        <f aca="false">DO19-DO21</f>
        <v>35</v>
      </c>
      <c r="DP22" s="11" t="n">
        <f aca="false">DP19-DP21</f>
        <v>35</v>
      </c>
      <c r="DQ22" s="11" t="n">
        <f aca="false">DQ19-DQ21</f>
        <v>35</v>
      </c>
      <c r="DR22" s="11" t="n">
        <f aca="false">DR19-DR21</f>
        <v>35</v>
      </c>
    </row>
    <row r="23" customFormat="false" ht="15" hidden="false" customHeight="false" outlineLevel="0" collapsed="false">
      <c r="A23" s="9" t="s">
        <v>192</v>
      </c>
      <c r="B23" s="10" t="n">
        <f aca="false">B19*Inputs!$B$4</f>
        <v>0</v>
      </c>
      <c r="C23" s="10" t="n">
        <f aca="false">C19*Inputs!$B$4</f>
        <v>14</v>
      </c>
      <c r="D23" s="10" t="n">
        <f aca="false">D19*Inputs!$B$4</f>
        <v>14</v>
      </c>
      <c r="E23" s="10" t="n">
        <f aca="false">E19*Inputs!$B$4</f>
        <v>14</v>
      </c>
      <c r="F23" s="10" t="n">
        <f aca="false">F19*Inputs!$B$4</f>
        <v>14</v>
      </c>
      <c r="G23" s="10" t="n">
        <f aca="false">G19*Inputs!$B$4</f>
        <v>14</v>
      </c>
      <c r="H23" s="10" t="n">
        <f aca="false">H19*Inputs!$B$4</f>
        <v>14</v>
      </c>
      <c r="I23" s="10" t="n">
        <f aca="false">I19*Inputs!$B$4</f>
        <v>14</v>
      </c>
      <c r="J23" s="10" t="n">
        <f aca="false">J19*Inputs!$B$4</f>
        <v>14</v>
      </c>
      <c r="K23" s="10" t="n">
        <f aca="false">K19*Inputs!$B$4</f>
        <v>14</v>
      </c>
      <c r="L23" s="10" t="n">
        <f aca="false">L19*Inputs!$B$4</f>
        <v>14</v>
      </c>
      <c r="M23" s="10" t="n">
        <f aca="false">M19*Inputs!$B$4</f>
        <v>14</v>
      </c>
      <c r="N23" s="10" t="n">
        <f aca="false">N19*Inputs!$B$4</f>
        <v>14</v>
      </c>
      <c r="O23" s="10" t="n">
        <f aca="false">O19*Inputs!$B$4</f>
        <v>14</v>
      </c>
      <c r="P23" s="10" t="n">
        <f aca="false">P19*Inputs!$B$4</f>
        <v>14</v>
      </c>
      <c r="Q23" s="10" t="n">
        <f aca="false">Q19*Inputs!$B$4</f>
        <v>14</v>
      </c>
      <c r="R23" s="10" t="n">
        <f aca="false">R19*Inputs!$B$4</f>
        <v>14</v>
      </c>
      <c r="S23" s="10" t="n">
        <f aca="false">S19*Inputs!$B$4</f>
        <v>14</v>
      </c>
      <c r="T23" s="10" t="n">
        <f aca="false">T19*Inputs!$B$4</f>
        <v>14</v>
      </c>
      <c r="U23" s="10" t="n">
        <f aca="false">U19*Inputs!$B$4</f>
        <v>14</v>
      </c>
      <c r="V23" s="10" t="n">
        <f aca="false">V19*Inputs!$B$4</f>
        <v>14</v>
      </c>
      <c r="W23" s="10" t="n">
        <f aca="false">W19*Inputs!$B$4</f>
        <v>14</v>
      </c>
      <c r="X23" s="10" t="n">
        <f aca="false">X19*Inputs!$B$4</f>
        <v>14</v>
      </c>
      <c r="Y23" s="10" t="n">
        <f aca="false">Y19*Inputs!$B$4</f>
        <v>14</v>
      </c>
      <c r="Z23" s="10" t="n">
        <f aca="false">Z19*Inputs!$B$4</f>
        <v>14</v>
      </c>
      <c r="AA23" s="10" t="n">
        <f aca="false">AA19*Inputs!$B$4</f>
        <v>14</v>
      </c>
      <c r="AB23" s="10" t="n">
        <f aca="false">AB19*Inputs!$B$4</f>
        <v>14</v>
      </c>
      <c r="AC23" s="10" t="n">
        <f aca="false">AC19*Inputs!$B$4</f>
        <v>14</v>
      </c>
      <c r="AD23" s="10" t="n">
        <f aca="false">AD19*Inputs!$B$4</f>
        <v>14</v>
      </c>
      <c r="AE23" s="10" t="n">
        <f aca="false">AE19*Inputs!$B$4</f>
        <v>14</v>
      </c>
      <c r="AF23" s="10" t="n">
        <f aca="false">AF19*Inputs!$B$4</f>
        <v>14</v>
      </c>
      <c r="AG23" s="10" t="n">
        <f aca="false">AG19*Inputs!$B$4</f>
        <v>14</v>
      </c>
      <c r="AH23" s="10" t="n">
        <f aca="false">AH19*Inputs!$B$4</f>
        <v>14</v>
      </c>
      <c r="AI23" s="10" t="n">
        <f aca="false">AI19*Inputs!$B$4</f>
        <v>14</v>
      </c>
      <c r="AJ23" s="10" t="n">
        <f aca="false">AJ19*Inputs!$B$4</f>
        <v>14</v>
      </c>
      <c r="AK23" s="10" t="n">
        <f aca="false">AK19*Inputs!$B$4</f>
        <v>14</v>
      </c>
      <c r="AL23" s="10" t="n">
        <f aca="false">AL19*Inputs!$B$4</f>
        <v>14</v>
      </c>
      <c r="AM23" s="10" t="n">
        <f aca="false">AM19*Inputs!$B$4</f>
        <v>14</v>
      </c>
      <c r="AN23" s="10" t="n">
        <f aca="false">AN19*Inputs!$B$4</f>
        <v>14</v>
      </c>
      <c r="AO23" s="10" t="n">
        <f aca="false">AO19*Inputs!$B$4</f>
        <v>14</v>
      </c>
      <c r="AP23" s="10" t="n">
        <f aca="false">AP19*Inputs!$B$4</f>
        <v>14</v>
      </c>
      <c r="AQ23" s="10" t="n">
        <f aca="false">AQ19*Inputs!$B$4</f>
        <v>14</v>
      </c>
      <c r="AR23" s="10" t="n">
        <f aca="false">AR19*Inputs!$B$4</f>
        <v>14</v>
      </c>
      <c r="AS23" s="10" t="n">
        <f aca="false">AS19*Inputs!$B$4</f>
        <v>14</v>
      </c>
      <c r="AT23" s="10" t="n">
        <f aca="false">AT19*Inputs!$B$4</f>
        <v>14</v>
      </c>
      <c r="AU23" s="10" t="n">
        <f aca="false">AU19*Inputs!$B$4</f>
        <v>14</v>
      </c>
      <c r="AV23" s="10" t="n">
        <f aca="false">AV19*Inputs!$B$4</f>
        <v>14</v>
      </c>
      <c r="AW23" s="10" t="n">
        <f aca="false">AW19*Inputs!$B$4</f>
        <v>14</v>
      </c>
      <c r="AX23" s="10" t="n">
        <f aca="false">AX19*Inputs!$B$4</f>
        <v>14</v>
      </c>
      <c r="AY23" s="10" t="n">
        <f aca="false">AY19*Inputs!$B$4</f>
        <v>14</v>
      </c>
      <c r="AZ23" s="10" t="n">
        <f aca="false">AZ19*Inputs!$B$4</f>
        <v>14</v>
      </c>
      <c r="BA23" s="10" t="n">
        <f aca="false">BA19*Inputs!$B$4</f>
        <v>14</v>
      </c>
      <c r="BB23" s="10" t="n">
        <f aca="false">BB19*Inputs!$B$4</f>
        <v>14</v>
      </c>
      <c r="BC23" s="10" t="n">
        <f aca="false">BC19*Inputs!$B$4</f>
        <v>14</v>
      </c>
      <c r="BD23" s="10" t="n">
        <f aca="false">BD19*Inputs!$B$4</f>
        <v>14</v>
      </c>
      <c r="BE23" s="10" t="n">
        <f aca="false">BE19*Inputs!$B$4</f>
        <v>14</v>
      </c>
      <c r="BF23" s="10" t="n">
        <f aca="false">BF19*Inputs!$B$4</f>
        <v>14</v>
      </c>
      <c r="BG23" s="10" t="n">
        <f aca="false">BG19*Inputs!$B$4</f>
        <v>14</v>
      </c>
      <c r="BH23" s="10" t="n">
        <f aca="false">BH19*Inputs!$B$4</f>
        <v>14</v>
      </c>
      <c r="BI23" s="10" t="n">
        <f aca="false">BI19*Inputs!$B$4</f>
        <v>14</v>
      </c>
      <c r="BJ23" s="10" t="n">
        <f aca="false">BJ19*Inputs!$B$4</f>
        <v>14</v>
      </c>
      <c r="BK23" s="10" t="n">
        <f aca="false">BK19*Inputs!$B$4</f>
        <v>14</v>
      </c>
      <c r="BL23" s="10" t="n">
        <f aca="false">BL19*Inputs!$B$4</f>
        <v>14</v>
      </c>
      <c r="BM23" s="10" t="n">
        <f aca="false">BM19*Inputs!$B$4</f>
        <v>14</v>
      </c>
      <c r="BN23" s="10" t="n">
        <f aca="false">BN19*Inputs!$B$4</f>
        <v>14</v>
      </c>
      <c r="BO23" s="10" t="n">
        <f aca="false">BO19*Inputs!$B$4</f>
        <v>14</v>
      </c>
      <c r="BP23" s="10" t="n">
        <f aca="false">BP19*Inputs!$B$4</f>
        <v>14</v>
      </c>
      <c r="BQ23" s="10" t="n">
        <f aca="false">BQ19*Inputs!$B$4</f>
        <v>14</v>
      </c>
      <c r="BR23" s="10" t="n">
        <f aca="false">BR19*Inputs!$B$4</f>
        <v>14</v>
      </c>
      <c r="BS23" s="10" t="n">
        <f aca="false">BS19*Inputs!$B$4</f>
        <v>14</v>
      </c>
      <c r="BT23" s="10" t="n">
        <f aca="false">BT19*Inputs!$B$4</f>
        <v>14</v>
      </c>
      <c r="BU23" s="10" t="n">
        <f aca="false">BU19*Inputs!$B$4</f>
        <v>14</v>
      </c>
      <c r="BV23" s="10" t="n">
        <f aca="false">BV19*Inputs!$B$4</f>
        <v>14</v>
      </c>
      <c r="BW23" s="10" t="n">
        <f aca="false">BW19*Inputs!$B$4</f>
        <v>14</v>
      </c>
      <c r="BX23" s="10" t="n">
        <f aca="false">BX19*Inputs!$B$4</f>
        <v>14</v>
      </c>
      <c r="BY23" s="10" t="n">
        <f aca="false">BY19*Inputs!$B$4</f>
        <v>14</v>
      </c>
      <c r="BZ23" s="10" t="n">
        <f aca="false">BZ19*Inputs!$B$4</f>
        <v>14</v>
      </c>
      <c r="CA23" s="10" t="n">
        <f aca="false">CA19*Inputs!$B$4</f>
        <v>14</v>
      </c>
      <c r="CB23" s="10" t="n">
        <f aca="false">CB19*Inputs!$B$4</f>
        <v>14</v>
      </c>
      <c r="CC23" s="10" t="n">
        <f aca="false">CC19*Inputs!$B$4</f>
        <v>14</v>
      </c>
      <c r="CD23" s="10" t="n">
        <f aca="false">CD19*Inputs!$B$4</f>
        <v>14</v>
      </c>
      <c r="CE23" s="10" t="n">
        <f aca="false">CE19*Inputs!$B$4</f>
        <v>14</v>
      </c>
      <c r="CF23" s="10" t="n">
        <f aca="false">CF19*Inputs!$B$4</f>
        <v>14</v>
      </c>
      <c r="CG23" s="10" t="n">
        <f aca="false">CG19*Inputs!$B$4</f>
        <v>14</v>
      </c>
      <c r="CH23" s="10" t="n">
        <f aca="false">CH19*Inputs!$B$4</f>
        <v>14</v>
      </c>
      <c r="CI23" s="10" t="n">
        <f aca="false">CI19*Inputs!$B$4</f>
        <v>14</v>
      </c>
      <c r="CJ23" s="10" t="n">
        <f aca="false">CJ19*Inputs!$B$4</f>
        <v>14</v>
      </c>
      <c r="CK23" s="10" t="n">
        <f aca="false">CK19*Inputs!$B$4</f>
        <v>14</v>
      </c>
      <c r="CL23" s="10" t="n">
        <f aca="false">CL19*Inputs!$B$4</f>
        <v>14</v>
      </c>
      <c r="CM23" s="10" t="n">
        <f aca="false">CM19*Inputs!$B$4</f>
        <v>14</v>
      </c>
      <c r="CN23" s="10" t="n">
        <f aca="false">CN19*Inputs!$B$4</f>
        <v>14</v>
      </c>
      <c r="CO23" s="10" t="n">
        <f aca="false">CO19*Inputs!$B$4</f>
        <v>14</v>
      </c>
      <c r="CP23" s="10" t="n">
        <f aca="false">CP19*Inputs!$B$4</f>
        <v>14</v>
      </c>
      <c r="CQ23" s="10" t="n">
        <f aca="false">CQ19*Inputs!$B$4</f>
        <v>14</v>
      </c>
      <c r="CR23" s="10" t="n">
        <f aca="false">CR19*Inputs!$B$4</f>
        <v>14</v>
      </c>
      <c r="CS23" s="10" t="n">
        <f aca="false">CS19*Inputs!$B$4</f>
        <v>14</v>
      </c>
      <c r="CT23" s="10" t="n">
        <f aca="false">CT19*Inputs!$B$4</f>
        <v>14</v>
      </c>
      <c r="CU23" s="10" t="n">
        <f aca="false">CU19*Inputs!$B$4</f>
        <v>14</v>
      </c>
      <c r="CV23" s="10" t="n">
        <f aca="false">CV19*Inputs!$B$4</f>
        <v>14</v>
      </c>
      <c r="CW23" s="10" t="n">
        <f aca="false">CW19*Inputs!$B$4</f>
        <v>14</v>
      </c>
      <c r="CX23" s="10" t="n">
        <f aca="false">CX19*Inputs!$B$4</f>
        <v>14</v>
      </c>
      <c r="CY23" s="10" t="n">
        <f aca="false">CY19*Inputs!$B$4</f>
        <v>14</v>
      </c>
      <c r="CZ23" s="10" t="n">
        <f aca="false">CZ19*Inputs!$B$4</f>
        <v>14</v>
      </c>
      <c r="DA23" s="10" t="n">
        <f aca="false">DA19*Inputs!$B$4</f>
        <v>14</v>
      </c>
      <c r="DB23" s="10" t="n">
        <f aca="false">DB19*Inputs!$B$4</f>
        <v>14</v>
      </c>
      <c r="DC23" s="10" t="n">
        <f aca="false">DC19*Inputs!$B$4</f>
        <v>14</v>
      </c>
      <c r="DD23" s="10" t="n">
        <f aca="false">DD19*Inputs!$B$4</f>
        <v>14</v>
      </c>
      <c r="DE23" s="10" t="n">
        <f aca="false">DE19*Inputs!$B$4</f>
        <v>14</v>
      </c>
      <c r="DF23" s="10" t="n">
        <f aca="false">DF19*Inputs!$B$4</f>
        <v>14</v>
      </c>
      <c r="DG23" s="10" t="n">
        <f aca="false">DG19*Inputs!$B$4</f>
        <v>14</v>
      </c>
      <c r="DH23" s="10" t="n">
        <f aca="false">DH19*Inputs!$B$4</f>
        <v>14</v>
      </c>
      <c r="DI23" s="10" t="n">
        <f aca="false">DI19*Inputs!$B$4</f>
        <v>14</v>
      </c>
      <c r="DJ23" s="10" t="n">
        <f aca="false">DJ19*Inputs!$B$4</f>
        <v>14</v>
      </c>
      <c r="DK23" s="10" t="n">
        <f aca="false">DK19*Inputs!$B$4</f>
        <v>14</v>
      </c>
      <c r="DL23" s="10" t="n">
        <f aca="false">DL19*Inputs!$B$4</f>
        <v>14</v>
      </c>
      <c r="DM23" s="10" t="n">
        <f aca="false">DM19*Inputs!$B$4</f>
        <v>14</v>
      </c>
      <c r="DN23" s="10" t="n">
        <f aca="false">DN19*Inputs!$B$4</f>
        <v>14</v>
      </c>
      <c r="DO23" s="10" t="n">
        <f aca="false">DO19*Inputs!$B$4</f>
        <v>14</v>
      </c>
      <c r="DP23" s="10" t="n">
        <f aca="false">DP19*Inputs!$B$4</f>
        <v>14</v>
      </c>
      <c r="DQ23" s="10" t="n">
        <f aca="false">DQ19*Inputs!$B$4</f>
        <v>14</v>
      </c>
      <c r="DR23" s="10" t="n">
        <f aca="false">DR19*Inputs!$B$4</f>
        <v>14</v>
      </c>
    </row>
    <row r="24" customFormat="false" ht="15" hidden="false" customHeight="false" outlineLevel="0" collapsed="false">
      <c r="A24" s="9" t="s">
        <v>193</v>
      </c>
      <c r="B24" s="10" t="n">
        <f aca="false">B22*Inputs!$B$5</f>
        <v>0</v>
      </c>
      <c r="C24" s="10" t="n">
        <f aca="false">C22*Inputs!$B$5</f>
        <v>3.5</v>
      </c>
      <c r="D24" s="10" t="n">
        <f aca="false">D22*Inputs!$B$5</f>
        <v>3.5</v>
      </c>
      <c r="E24" s="10" t="n">
        <f aca="false">E22*Inputs!$B$5</f>
        <v>3.5</v>
      </c>
      <c r="F24" s="10" t="n">
        <f aca="false">F22*Inputs!$B$5</f>
        <v>3.5</v>
      </c>
      <c r="G24" s="10" t="n">
        <f aca="false">G22*Inputs!$B$5</f>
        <v>3.5</v>
      </c>
      <c r="H24" s="10" t="n">
        <f aca="false">H22*Inputs!$B$5</f>
        <v>3.5</v>
      </c>
      <c r="I24" s="10" t="n">
        <f aca="false">I22*Inputs!$B$5</f>
        <v>3.5</v>
      </c>
      <c r="J24" s="10" t="n">
        <f aca="false">J22*Inputs!$B$5</f>
        <v>3.5</v>
      </c>
      <c r="K24" s="10" t="n">
        <f aca="false">K22*Inputs!$B$5</f>
        <v>3.5</v>
      </c>
      <c r="L24" s="10" t="n">
        <f aca="false">L22*Inputs!$B$5</f>
        <v>3.5</v>
      </c>
      <c r="M24" s="10" t="n">
        <f aca="false">M22*Inputs!$B$5</f>
        <v>3.5</v>
      </c>
      <c r="N24" s="10" t="n">
        <f aca="false">N22*Inputs!$B$5</f>
        <v>3.5</v>
      </c>
      <c r="O24" s="10" t="n">
        <f aca="false">O22*Inputs!$B$5</f>
        <v>3.5</v>
      </c>
      <c r="P24" s="10" t="n">
        <f aca="false">P22*Inputs!$B$5</f>
        <v>3.5</v>
      </c>
      <c r="Q24" s="10" t="n">
        <f aca="false">Q22*Inputs!$B$5</f>
        <v>3.5</v>
      </c>
      <c r="R24" s="10" t="n">
        <f aca="false">R22*Inputs!$B$5</f>
        <v>3.5</v>
      </c>
      <c r="S24" s="10" t="n">
        <f aca="false">S22*Inputs!$B$5</f>
        <v>3.5</v>
      </c>
      <c r="T24" s="10" t="n">
        <f aca="false">T22*Inputs!$B$5</f>
        <v>3.5</v>
      </c>
      <c r="U24" s="10" t="n">
        <f aca="false">U22*Inputs!$B$5</f>
        <v>3.5</v>
      </c>
      <c r="V24" s="10" t="n">
        <f aca="false">V22*Inputs!$B$5</f>
        <v>3.5</v>
      </c>
      <c r="W24" s="10" t="n">
        <f aca="false">W22*Inputs!$B$5</f>
        <v>3.5</v>
      </c>
      <c r="X24" s="10" t="n">
        <f aca="false">X22*Inputs!$B$5</f>
        <v>3.5</v>
      </c>
      <c r="Y24" s="10" t="n">
        <f aca="false">Y22*Inputs!$B$5</f>
        <v>3.5</v>
      </c>
      <c r="Z24" s="10" t="n">
        <f aca="false">Z22*Inputs!$B$5</f>
        <v>3.5</v>
      </c>
      <c r="AA24" s="10" t="n">
        <f aca="false">AA22*Inputs!$B$5</f>
        <v>3.5</v>
      </c>
      <c r="AB24" s="10" t="n">
        <f aca="false">AB22*Inputs!$B$5</f>
        <v>3.5</v>
      </c>
      <c r="AC24" s="10" t="n">
        <f aca="false">AC22*Inputs!$B$5</f>
        <v>3.5</v>
      </c>
      <c r="AD24" s="10" t="n">
        <f aca="false">AD22*Inputs!$B$5</f>
        <v>3.5</v>
      </c>
      <c r="AE24" s="10" t="n">
        <f aca="false">AE22*Inputs!$B$5</f>
        <v>3.5</v>
      </c>
      <c r="AF24" s="10" t="n">
        <f aca="false">AF22*Inputs!$B$5</f>
        <v>3.5</v>
      </c>
      <c r="AG24" s="10" t="n">
        <f aca="false">AG22*Inputs!$B$5</f>
        <v>3.5</v>
      </c>
      <c r="AH24" s="10" t="n">
        <f aca="false">AH22*Inputs!$B$5</f>
        <v>3.5</v>
      </c>
      <c r="AI24" s="10" t="n">
        <f aca="false">AI22*Inputs!$B$5</f>
        <v>3.5</v>
      </c>
      <c r="AJ24" s="10" t="n">
        <f aca="false">AJ22*Inputs!$B$5</f>
        <v>3.5</v>
      </c>
      <c r="AK24" s="10" t="n">
        <f aca="false">AK22*Inputs!$B$5</f>
        <v>3.5</v>
      </c>
      <c r="AL24" s="10" t="n">
        <f aca="false">AL22*Inputs!$B$5</f>
        <v>3.5</v>
      </c>
      <c r="AM24" s="10" t="n">
        <f aca="false">AM22*Inputs!$B$5</f>
        <v>3.5</v>
      </c>
      <c r="AN24" s="10" t="n">
        <f aca="false">AN22*Inputs!$B$5</f>
        <v>3.5</v>
      </c>
      <c r="AO24" s="10" t="n">
        <f aca="false">AO22*Inputs!$B$5</f>
        <v>3.5</v>
      </c>
      <c r="AP24" s="10" t="n">
        <f aca="false">AP22*Inputs!$B$5</f>
        <v>3.5</v>
      </c>
      <c r="AQ24" s="10" t="n">
        <f aca="false">AQ22*Inputs!$B$5</f>
        <v>3.5</v>
      </c>
      <c r="AR24" s="10" t="n">
        <f aca="false">AR22*Inputs!$B$5</f>
        <v>3.5</v>
      </c>
      <c r="AS24" s="10" t="n">
        <f aca="false">AS22*Inputs!$B$5</f>
        <v>3.5</v>
      </c>
      <c r="AT24" s="10" t="n">
        <f aca="false">AT22*Inputs!$B$5</f>
        <v>3.5</v>
      </c>
      <c r="AU24" s="10" t="n">
        <f aca="false">AU22*Inputs!$B$5</f>
        <v>3.5</v>
      </c>
      <c r="AV24" s="10" t="n">
        <f aca="false">AV22*Inputs!$B$5</f>
        <v>3.5</v>
      </c>
      <c r="AW24" s="10" t="n">
        <f aca="false">AW22*Inputs!$B$5</f>
        <v>3.5</v>
      </c>
      <c r="AX24" s="10" t="n">
        <f aca="false">AX22*Inputs!$B$5</f>
        <v>3.5</v>
      </c>
      <c r="AY24" s="10" t="n">
        <f aca="false">AY22*Inputs!$B$5</f>
        <v>3.5</v>
      </c>
      <c r="AZ24" s="10" t="n">
        <f aca="false">AZ22*Inputs!$B$5</f>
        <v>3.5</v>
      </c>
      <c r="BA24" s="10" t="n">
        <f aca="false">BA22*Inputs!$B$5</f>
        <v>3.5</v>
      </c>
      <c r="BB24" s="10" t="n">
        <f aca="false">BB22*Inputs!$B$5</f>
        <v>3.5</v>
      </c>
      <c r="BC24" s="10" t="n">
        <f aca="false">BC22*Inputs!$B$5</f>
        <v>3.5</v>
      </c>
      <c r="BD24" s="10" t="n">
        <f aca="false">BD22*Inputs!$B$5</f>
        <v>3.5</v>
      </c>
      <c r="BE24" s="10" t="n">
        <f aca="false">BE22*Inputs!$B$5</f>
        <v>3.5</v>
      </c>
      <c r="BF24" s="10" t="n">
        <f aca="false">BF22*Inputs!$B$5</f>
        <v>3.5</v>
      </c>
      <c r="BG24" s="10" t="n">
        <f aca="false">BG22*Inputs!$B$5</f>
        <v>3.5</v>
      </c>
      <c r="BH24" s="10" t="n">
        <f aca="false">BH22*Inputs!$B$5</f>
        <v>3.5</v>
      </c>
      <c r="BI24" s="10" t="n">
        <f aca="false">BI22*Inputs!$B$5</f>
        <v>3.5</v>
      </c>
      <c r="BJ24" s="10" t="n">
        <f aca="false">BJ22*Inputs!$B$5</f>
        <v>3.5</v>
      </c>
      <c r="BK24" s="10" t="n">
        <f aca="false">BK22*Inputs!$B$5</f>
        <v>3.5</v>
      </c>
      <c r="BL24" s="10" t="n">
        <f aca="false">BL22*Inputs!$B$5</f>
        <v>3.5</v>
      </c>
      <c r="BM24" s="10" t="n">
        <f aca="false">BM22*Inputs!$B$5</f>
        <v>3.5</v>
      </c>
      <c r="BN24" s="10" t="n">
        <f aca="false">BN22*Inputs!$B$5</f>
        <v>3.5</v>
      </c>
      <c r="BO24" s="10" t="n">
        <f aca="false">BO22*Inputs!$B$5</f>
        <v>3.5</v>
      </c>
      <c r="BP24" s="10" t="n">
        <f aca="false">BP22*Inputs!$B$5</f>
        <v>3.5</v>
      </c>
      <c r="BQ24" s="10" t="n">
        <f aca="false">BQ22*Inputs!$B$5</f>
        <v>3.5</v>
      </c>
      <c r="BR24" s="10" t="n">
        <f aca="false">BR22*Inputs!$B$5</f>
        <v>3.5</v>
      </c>
      <c r="BS24" s="10" t="n">
        <f aca="false">BS22*Inputs!$B$5</f>
        <v>3.5</v>
      </c>
      <c r="BT24" s="10" t="n">
        <f aca="false">BT22*Inputs!$B$5</f>
        <v>3.5</v>
      </c>
      <c r="BU24" s="10" t="n">
        <f aca="false">BU22*Inputs!$B$5</f>
        <v>3.5</v>
      </c>
      <c r="BV24" s="10" t="n">
        <f aca="false">BV22*Inputs!$B$5</f>
        <v>3.5</v>
      </c>
      <c r="BW24" s="10" t="n">
        <f aca="false">BW22*Inputs!$B$5</f>
        <v>3.5</v>
      </c>
      <c r="BX24" s="10" t="n">
        <f aca="false">BX22*Inputs!$B$5</f>
        <v>3.5</v>
      </c>
      <c r="BY24" s="10" t="n">
        <f aca="false">BY22*Inputs!$B$5</f>
        <v>3.5</v>
      </c>
      <c r="BZ24" s="10" t="n">
        <f aca="false">BZ22*Inputs!$B$5</f>
        <v>3.5</v>
      </c>
      <c r="CA24" s="10" t="n">
        <f aca="false">CA22*Inputs!$B$5</f>
        <v>3.5</v>
      </c>
      <c r="CB24" s="10" t="n">
        <f aca="false">CB22*Inputs!$B$5</f>
        <v>3.5</v>
      </c>
      <c r="CC24" s="10" t="n">
        <f aca="false">CC22*Inputs!$B$5</f>
        <v>3.5</v>
      </c>
      <c r="CD24" s="10" t="n">
        <f aca="false">CD22*Inputs!$B$5</f>
        <v>3.5</v>
      </c>
      <c r="CE24" s="10" t="n">
        <f aca="false">CE22*Inputs!$B$5</f>
        <v>3.5</v>
      </c>
      <c r="CF24" s="10" t="n">
        <f aca="false">CF22*Inputs!$B$5</f>
        <v>3.5</v>
      </c>
      <c r="CG24" s="10" t="n">
        <f aca="false">CG22*Inputs!$B$5</f>
        <v>3.5</v>
      </c>
      <c r="CH24" s="10" t="n">
        <f aca="false">CH22*Inputs!$B$5</f>
        <v>3.5</v>
      </c>
      <c r="CI24" s="10" t="n">
        <f aca="false">CI22*Inputs!$B$5</f>
        <v>3.5</v>
      </c>
      <c r="CJ24" s="10" t="n">
        <f aca="false">CJ22*Inputs!$B$5</f>
        <v>3.5</v>
      </c>
      <c r="CK24" s="10" t="n">
        <f aca="false">CK22*Inputs!$B$5</f>
        <v>3.5</v>
      </c>
      <c r="CL24" s="10" t="n">
        <f aca="false">CL22*Inputs!$B$5</f>
        <v>3.5</v>
      </c>
      <c r="CM24" s="10" t="n">
        <f aca="false">CM22*Inputs!$B$5</f>
        <v>3.5</v>
      </c>
      <c r="CN24" s="10" t="n">
        <f aca="false">CN22*Inputs!$B$5</f>
        <v>3.5</v>
      </c>
      <c r="CO24" s="10" t="n">
        <f aca="false">CO22*Inputs!$B$5</f>
        <v>3.5</v>
      </c>
      <c r="CP24" s="10" t="n">
        <f aca="false">CP22*Inputs!$B$5</f>
        <v>3.5</v>
      </c>
      <c r="CQ24" s="10" t="n">
        <f aca="false">CQ22*Inputs!$B$5</f>
        <v>3.5</v>
      </c>
      <c r="CR24" s="10" t="n">
        <f aca="false">CR22*Inputs!$B$5</f>
        <v>3.5</v>
      </c>
      <c r="CS24" s="10" t="n">
        <f aca="false">CS22*Inputs!$B$5</f>
        <v>3.5</v>
      </c>
      <c r="CT24" s="10" t="n">
        <f aca="false">CT22*Inputs!$B$5</f>
        <v>3.5</v>
      </c>
      <c r="CU24" s="10" t="n">
        <f aca="false">CU22*Inputs!$B$5</f>
        <v>3.5</v>
      </c>
      <c r="CV24" s="10" t="n">
        <f aca="false">CV22*Inputs!$B$5</f>
        <v>3.5</v>
      </c>
      <c r="CW24" s="10" t="n">
        <f aca="false">CW22*Inputs!$B$5</f>
        <v>3.5</v>
      </c>
      <c r="CX24" s="10" t="n">
        <f aca="false">CX22*Inputs!$B$5</f>
        <v>3.5</v>
      </c>
      <c r="CY24" s="10" t="n">
        <f aca="false">CY22*Inputs!$B$5</f>
        <v>3.5</v>
      </c>
      <c r="CZ24" s="10" t="n">
        <f aca="false">CZ22*Inputs!$B$5</f>
        <v>3.5</v>
      </c>
      <c r="DA24" s="10" t="n">
        <f aca="false">DA22*Inputs!$B$5</f>
        <v>3.5</v>
      </c>
      <c r="DB24" s="10" t="n">
        <f aca="false">DB22*Inputs!$B$5</f>
        <v>3.5</v>
      </c>
      <c r="DC24" s="10" t="n">
        <f aca="false">DC22*Inputs!$B$5</f>
        <v>3.5</v>
      </c>
      <c r="DD24" s="10" t="n">
        <f aca="false">DD22*Inputs!$B$5</f>
        <v>3.5</v>
      </c>
      <c r="DE24" s="10" t="n">
        <f aca="false">DE22*Inputs!$B$5</f>
        <v>3.5</v>
      </c>
      <c r="DF24" s="10" t="n">
        <f aca="false">DF22*Inputs!$B$5</f>
        <v>3.5</v>
      </c>
      <c r="DG24" s="10" t="n">
        <f aca="false">DG22*Inputs!$B$5</f>
        <v>3.5</v>
      </c>
      <c r="DH24" s="10" t="n">
        <f aca="false">DH22*Inputs!$B$5</f>
        <v>3.5</v>
      </c>
      <c r="DI24" s="10" t="n">
        <f aca="false">DI22*Inputs!$B$5</f>
        <v>3.5</v>
      </c>
      <c r="DJ24" s="10" t="n">
        <f aca="false">DJ22*Inputs!$B$5</f>
        <v>3.5</v>
      </c>
      <c r="DK24" s="10" t="n">
        <f aca="false">DK22*Inputs!$B$5</f>
        <v>3.5</v>
      </c>
      <c r="DL24" s="10" t="n">
        <f aca="false">DL22*Inputs!$B$5</f>
        <v>3.5</v>
      </c>
      <c r="DM24" s="10" t="n">
        <f aca="false">DM22*Inputs!$B$5</f>
        <v>3.5</v>
      </c>
      <c r="DN24" s="10" t="n">
        <f aca="false">DN22*Inputs!$B$5</f>
        <v>3.5</v>
      </c>
      <c r="DO24" s="10" t="n">
        <f aca="false">DO22*Inputs!$B$5</f>
        <v>3.5</v>
      </c>
      <c r="DP24" s="10" t="n">
        <f aca="false">DP22*Inputs!$B$5</f>
        <v>3.5</v>
      </c>
      <c r="DQ24" s="10" t="n">
        <f aca="false">DQ22*Inputs!$B$5</f>
        <v>3.5</v>
      </c>
      <c r="DR24" s="10" t="n">
        <f aca="false">DR22*Inputs!$B$5</f>
        <v>3.5</v>
      </c>
    </row>
    <row r="25" customFormat="false" ht="15" hidden="false" customHeight="false" outlineLevel="0" collapsed="false">
      <c r="A25" s="9" t="s">
        <v>194</v>
      </c>
      <c r="B25" s="10" t="n">
        <f aca="false">B22*Inputs!$B$6</f>
        <v>0</v>
      </c>
      <c r="C25" s="10" t="n">
        <f aca="false">C22*Inputs!$B$6</f>
        <v>17.5</v>
      </c>
      <c r="D25" s="10" t="n">
        <f aca="false">D22*Inputs!$B$6</f>
        <v>17.5</v>
      </c>
      <c r="E25" s="10" t="n">
        <f aca="false">E22*Inputs!$B$6</f>
        <v>17.5</v>
      </c>
      <c r="F25" s="10" t="n">
        <f aca="false">F22*Inputs!$B$6</f>
        <v>17.5</v>
      </c>
      <c r="G25" s="10" t="n">
        <f aca="false">G22*Inputs!$B$6</f>
        <v>17.5</v>
      </c>
      <c r="H25" s="10" t="n">
        <f aca="false">H22*Inputs!$B$6</f>
        <v>17.5</v>
      </c>
      <c r="I25" s="10" t="n">
        <f aca="false">I22*Inputs!$B$6</f>
        <v>17.5</v>
      </c>
      <c r="J25" s="10" t="n">
        <f aca="false">J22*Inputs!$B$6</f>
        <v>17.5</v>
      </c>
      <c r="K25" s="10" t="n">
        <f aca="false">K22*Inputs!$B$6</f>
        <v>17.5</v>
      </c>
      <c r="L25" s="10" t="n">
        <f aca="false">L22*Inputs!$B$6</f>
        <v>17.5</v>
      </c>
      <c r="M25" s="10" t="n">
        <f aca="false">M22*Inputs!$B$6</f>
        <v>17.5</v>
      </c>
      <c r="N25" s="10" t="n">
        <f aca="false">N22*Inputs!$B$6</f>
        <v>17.5</v>
      </c>
      <c r="O25" s="10" t="n">
        <f aca="false">O22*Inputs!$B$6</f>
        <v>17.5</v>
      </c>
      <c r="P25" s="10" t="n">
        <f aca="false">P22*Inputs!$B$6</f>
        <v>17.5</v>
      </c>
      <c r="Q25" s="10" t="n">
        <f aca="false">Q22*Inputs!$B$6</f>
        <v>17.5</v>
      </c>
      <c r="R25" s="10" t="n">
        <f aca="false">R22*Inputs!$B$6</f>
        <v>17.5</v>
      </c>
      <c r="S25" s="10" t="n">
        <f aca="false">S22*Inputs!$B$6</f>
        <v>17.5</v>
      </c>
      <c r="T25" s="10" t="n">
        <f aca="false">T22*Inputs!$B$6</f>
        <v>17.5</v>
      </c>
      <c r="U25" s="10" t="n">
        <f aca="false">U22*Inputs!$B$6</f>
        <v>17.5</v>
      </c>
      <c r="V25" s="10" t="n">
        <f aca="false">V22*Inputs!$B$6</f>
        <v>17.5</v>
      </c>
      <c r="W25" s="10" t="n">
        <f aca="false">W22*Inputs!$B$6</f>
        <v>17.5</v>
      </c>
      <c r="X25" s="10" t="n">
        <f aca="false">X22*Inputs!$B$6</f>
        <v>17.5</v>
      </c>
      <c r="Y25" s="10" t="n">
        <f aca="false">Y22*Inputs!$B$6</f>
        <v>17.5</v>
      </c>
      <c r="Z25" s="10" t="n">
        <f aca="false">Z22*Inputs!$B$6</f>
        <v>17.5</v>
      </c>
      <c r="AA25" s="10" t="n">
        <f aca="false">AA22*Inputs!$B$6</f>
        <v>17.5</v>
      </c>
      <c r="AB25" s="10" t="n">
        <f aca="false">AB22*Inputs!$B$6</f>
        <v>17.5</v>
      </c>
      <c r="AC25" s="10" t="n">
        <f aca="false">AC22*Inputs!$B$6</f>
        <v>17.5</v>
      </c>
      <c r="AD25" s="10" t="n">
        <f aca="false">AD22*Inputs!$B$6</f>
        <v>17.5</v>
      </c>
      <c r="AE25" s="10" t="n">
        <f aca="false">AE22*Inputs!$B$6</f>
        <v>17.5</v>
      </c>
      <c r="AF25" s="10" t="n">
        <f aca="false">AF22*Inputs!$B$6</f>
        <v>17.5</v>
      </c>
      <c r="AG25" s="10" t="n">
        <f aca="false">AG22*Inputs!$B$6</f>
        <v>17.5</v>
      </c>
      <c r="AH25" s="10" t="n">
        <f aca="false">AH22*Inputs!$B$6</f>
        <v>17.5</v>
      </c>
      <c r="AI25" s="10" t="n">
        <f aca="false">AI22*Inputs!$B$6</f>
        <v>17.5</v>
      </c>
      <c r="AJ25" s="10" t="n">
        <f aca="false">AJ22*Inputs!$B$6</f>
        <v>17.5</v>
      </c>
      <c r="AK25" s="10" t="n">
        <f aca="false">AK22*Inputs!$B$6</f>
        <v>17.5</v>
      </c>
      <c r="AL25" s="10" t="n">
        <f aca="false">AL22*Inputs!$B$6</f>
        <v>17.5</v>
      </c>
      <c r="AM25" s="10" t="n">
        <f aca="false">AM22*Inputs!$B$6</f>
        <v>17.5</v>
      </c>
      <c r="AN25" s="10" t="n">
        <f aca="false">AN22*Inputs!$B$6</f>
        <v>17.5</v>
      </c>
      <c r="AO25" s="10" t="n">
        <f aca="false">AO22*Inputs!$B$6</f>
        <v>17.5</v>
      </c>
      <c r="AP25" s="10" t="n">
        <f aca="false">AP22*Inputs!$B$6</f>
        <v>17.5</v>
      </c>
      <c r="AQ25" s="10" t="n">
        <f aca="false">AQ22*Inputs!$B$6</f>
        <v>17.5</v>
      </c>
      <c r="AR25" s="10" t="n">
        <f aca="false">AR22*Inputs!$B$6</f>
        <v>17.5</v>
      </c>
      <c r="AS25" s="10" t="n">
        <f aca="false">AS22*Inputs!$B$6</f>
        <v>17.5</v>
      </c>
      <c r="AT25" s="10" t="n">
        <f aca="false">AT22*Inputs!$B$6</f>
        <v>17.5</v>
      </c>
      <c r="AU25" s="10" t="n">
        <f aca="false">AU22*Inputs!$B$6</f>
        <v>17.5</v>
      </c>
      <c r="AV25" s="10" t="n">
        <f aca="false">AV22*Inputs!$B$6</f>
        <v>17.5</v>
      </c>
      <c r="AW25" s="10" t="n">
        <f aca="false">AW22*Inputs!$B$6</f>
        <v>17.5</v>
      </c>
      <c r="AX25" s="10" t="n">
        <f aca="false">AX22*Inputs!$B$6</f>
        <v>17.5</v>
      </c>
      <c r="AY25" s="10" t="n">
        <f aca="false">AY22*Inputs!$B$6</f>
        <v>17.5</v>
      </c>
      <c r="AZ25" s="10" t="n">
        <f aca="false">AZ22*Inputs!$B$6</f>
        <v>17.5</v>
      </c>
      <c r="BA25" s="10" t="n">
        <f aca="false">BA22*Inputs!$B$6</f>
        <v>17.5</v>
      </c>
      <c r="BB25" s="10" t="n">
        <f aca="false">BB22*Inputs!$B$6</f>
        <v>17.5</v>
      </c>
      <c r="BC25" s="10" t="n">
        <f aca="false">BC22*Inputs!$B$6</f>
        <v>17.5</v>
      </c>
      <c r="BD25" s="10" t="n">
        <f aca="false">BD22*Inputs!$B$6</f>
        <v>17.5</v>
      </c>
      <c r="BE25" s="10" t="n">
        <f aca="false">BE22*Inputs!$B$6</f>
        <v>17.5</v>
      </c>
      <c r="BF25" s="10" t="n">
        <f aca="false">BF22*Inputs!$B$6</f>
        <v>17.5</v>
      </c>
      <c r="BG25" s="10" t="n">
        <f aca="false">BG22*Inputs!$B$6</f>
        <v>17.5</v>
      </c>
      <c r="BH25" s="10" t="n">
        <f aca="false">BH22*Inputs!$B$6</f>
        <v>17.5</v>
      </c>
      <c r="BI25" s="10" t="n">
        <f aca="false">BI22*Inputs!$B$6</f>
        <v>17.5</v>
      </c>
      <c r="BJ25" s="10" t="n">
        <f aca="false">BJ22*Inputs!$B$6</f>
        <v>17.5</v>
      </c>
      <c r="BK25" s="10" t="n">
        <f aca="false">BK22*Inputs!$B$6</f>
        <v>17.5</v>
      </c>
      <c r="BL25" s="10" t="n">
        <f aca="false">BL22*Inputs!$B$6</f>
        <v>17.5</v>
      </c>
      <c r="BM25" s="10" t="n">
        <f aca="false">BM22*Inputs!$B$6</f>
        <v>17.5</v>
      </c>
      <c r="BN25" s="10" t="n">
        <f aca="false">BN22*Inputs!$B$6</f>
        <v>17.5</v>
      </c>
      <c r="BO25" s="10" t="n">
        <f aca="false">BO22*Inputs!$B$6</f>
        <v>17.5</v>
      </c>
      <c r="BP25" s="10" t="n">
        <f aca="false">BP22*Inputs!$B$6</f>
        <v>17.5</v>
      </c>
      <c r="BQ25" s="10" t="n">
        <f aca="false">BQ22*Inputs!$B$6</f>
        <v>17.5</v>
      </c>
      <c r="BR25" s="10" t="n">
        <f aca="false">BR22*Inputs!$B$6</f>
        <v>17.5</v>
      </c>
      <c r="BS25" s="10" t="n">
        <f aca="false">BS22*Inputs!$B$6</f>
        <v>17.5</v>
      </c>
      <c r="BT25" s="10" t="n">
        <f aca="false">BT22*Inputs!$B$6</f>
        <v>17.5</v>
      </c>
      <c r="BU25" s="10" t="n">
        <f aca="false">BU22*Inputs!$B$6</f>
        <v>17.5</v>
      </c>
      <c r="BV25" s="10" t="n">
        <f aca="false">BV22*Inputs!$B$6</f>
        <v>17.5</v>
      </c>
      <c r="BW25" s="10" t="n">
        <f aca="false">BW22*Inputs!$B$6</f>
        <v>17.5</v>
      </c>
      <c r="BX25" s="10" t="n">
        <f aca="false">BX22*Inputs!$B$6</f>
        <v>17.5</v>
      </c>
      <c r="BY25" s="10" t="n">
        <f aca="false">BY22*Inputs!$B$6</f>
        <v>17.5</v>
      </c>
      <c r="BZ25" s="10" t="n">
        <f aca="false">BZ22*Inputs!$B$6</f>
        <v>17.5</v>
      </c>
      <c r="CA25" s="10" t="n">
        <f aca="false">CA22*Inputs!$B$6</f>
        <v>17.5</v>
      </c>
      <c r="CB25" s="10" t="n">
        <f aca="false">CB22*Inputs!$B$6</f>
        <v>17.5</v>
      </c>
      <c r="CC25" s="10" t="n">
        <f aca="false">CC22*Inputs!$B$6</f>
        <v>17.5</v>
      </c>
      <c r="CD25" s="10" t="n">
        <f aca="false">CD22*Inputs!$B$6</f>
        <v>17.5</v>
      </c>
      <c r="CE25" s="10" t="n">
        <f aca="false">CE22*Inputs!$B$6</f>
        <v>17.5</v>
      </c>
      <c r="CF25" s="10" t="n">
        <f aca="false">CF22*Inputs!$B$6</f>
        <v>17.5</v>
      </c>
      <c r="CG25" s="10" t="n">
        <f aca="false">CG22*Inputs!$B$6</f>
        <v>17.5</v>
      </c>
      <c r="CH25" s="10" t="n">
        <f aca="false">CH22*Inputs!$B$6</f>
        <v>17.5</v>
      </c>
      <c r="CI25" s="10" t="n">
        <f aca="false">CI22*Inputs!$B$6</f>
        <v>17.5</v>
      </c>
      <c r="CJ25" s="10" t="n">
        <f aca="false">CJ22*Inputs!$B$6</f>
        <v>17.5</v>
      </c>
      <c r="CK25" s="10" t="n">
        <f aca="false">CK22*Inputs!$B$6</f>
        <v>17.5</v>
      </c>
      <c r="CL25" s="10" t="n">
        <f aca="false">CL22*Inputs!$B$6</f>
        <v>17.5</v>
      </c>
      <c r="CM25" s="10" t="n">
        <f aca="false">CM22*Inputs!$B$6</f>
        <v>17.5</v>
      </c>
      <c r="CN25" s="10" t="n">
        <f aca="false">CN22*Inputs!$B$6</f>
        <v>17.5</v>
      </c>
      <c r="CO25" s="10" t="n">
        <f aca="false">CO22*Inputs!$B$6</f>
        <v>17.5</v>
      </c>
      <c r="CP25" s="10" t="n">
        <f aca="false">CP22*Inputs!$B$6</f>
        <v>17.5</v>
      </c>
      <c r="CQ25" s="10" t="n">
        <f aca="false">CQ22*Inputs!$B$6</f>
        <v>17.5</v>
      </c>
      <c r="CR25" s="10" t="n">
        <f aca="false">CR22*Inputs!$B$6</f>
        <v>17.5</v>
      </c>
      <c r="CS25" s="10" t="n">
        <f aca="false">CS22*Inputs!$B$6</f>
        <v>17.5</v>
      </c>
      <c r="CT25" s="10" t="n">
        <f aca="false">CT22*Inputs!$B$6</f>
        <v>17.5</v>
      </c>
      <c r="CU25" s="10" t="n">
        <f aca="false">CU22*Inputs!$B$6</f>
        <v>17.5</v>
      </c>
      <c r="CV25" s="10" t="n">
        <f aca="false">CV22*Inputs!$B$6</f>
        <v>17.5</v>
      </c>
      <c r="CW25" s="10" t="n">
        <f aca="false">CW22*Inputs!$B$6</f>
        <v>17.5</v>
      </c>
      <c r="CX25" s="10" t="n">
        <f aca="false">CX22*Inputs!$B$6</f>
        <v>17.5</v>
      </c>
      <c r="CY25" s="10" t="n">
        <f aca="false">CY22*Inputs!$B$6</f>
        <v>17.5</v>
      </c>
      <c r="CZ25" s="10" t="n">
        <f aca="false">CZ22*Inputs!$B$6</f>
        <v>17.5</v>
      </c>
      <c r="DA25" s="10" t="n">
        <f aca="false">DA22*Inputs!$B$6</f>
        <v>17.5</v>
      </c>
      <c r="DB25" s="10" t="n">
        <f aca="false">DB22*Inputs!$B$6</f>
        <v>17.5</v>
      </c>
      <c r="DC25" s="10" t="n">
        <f aca="false">DC22*Inputs!$B$6</f>
        <v>17.5</v>
      </c>
      <c r="DD25" s="10" t="n">
        <f aca="false">DD22*Inputs!$B$6</f>
        <v>17.5</v>
      </c>
      <c r="DE25" s="10" t="n">
        <f aca="false">DE22*Inputs!$B$6</f>
        <v>17.5</v>
      </c>
      <c r="DF25" s="10" t="n">
        <f aca="false">DF22*Inputs!$B$6</f>
        <v>17.5</v>
      </c>
      <c r="DG25" s="10" t="n">
        <f aca="false">DG22*Inputs!$B$6</f>
        <v>17.5</v>
      </c>
      <c r="DH25" s="10" t="n">
        <f aca="false">DH22*Inputs!$B$6</f>
        <v>17.5</v>
      </c>
      <c r="DI25" s="10" t="n">
        <f aca="false">DI22*Inputs!$B$6</f>
        <v>17.5</v>
      </c>
      <c r="DJ25" s="10" t="n">
        <f aca="false">DJ22*Inputs!$B$6</f>
        <v>17.5</v>
      </c>
      <c r="DK25" s="10" t="n">
        <f aca="false">DK22*Inputs!$B$6</f>
        <v>17.5</v>
      </c>
      <c r="DL25" s="10" t="n">
        <f aca="false">DL22*Inputs!$B$6</f>
        <v>17.5</v>
      </c>
      <c r="DM25" s="10" t="n">
        <f aca="false">DM22*Inputs!$B$6</f>
        <v>17.5</v>
      </c>
      <c r="DN25" s="10" t="n">
        <f aca="false">DN22*Inputs!$B$6</f>
        <v>17.5</v>
      </c>
      <c r="DO25" s="10" t="n">
        <f aca="false">DO22*Inputs!$B$6</f>
        <v>17.5</v>
      </c>
      <c r="DP25" s="10" t="n">
        <f aca="false">DP22*Inputs!$B$6</f>
        <v>17.5</v>
      </c>
      <c r="DQ25" s="10" t="n">
        <f aca="false">DQ22*Inputs!$B$6</f>
        <v>17.5</v>
      </c>
      <c r="DR25" s="10" t="n">
        <f aca="false">DR22*Inputs!$B$6</f>
        <v>17.5</v>
      </c>
    </row>
    <row r="26" customFormat="false" ht="15" hidden="false" customHeight="false" outlineLevel="0" collapsed="false">
      <c r="A26" s="9" t="s">
        <v>195</v>
      </c>
      <c r="B26" s="10" t="n">
        <f aca="false">B22*Inputs!$B$7</f>
        <v>0</v>
      </c>
      <c r="C26" s="10" t="n">
        <f aca="false">C22*Inputs!$B$7</f>
        <v>7</v>
      </c>
      <c r="D26" s="10" t="n">
        <f aca="false">D22*Inputs!$B$7</f>
        <v>7</v>
      </c>
      <c r="E26" s="10" t="n">
        <f aca="false">E22*Inputs!$B$7</f>
        <v>7</v>
      </c>
      <c r="F26" s="10" t="n">
        <f aca="false">F22*Inputs!$B$7</f>
        <v>7</v>
      </c>
      <c r="G26" s="10" t="n">
        <f aca="false">G22*Inputs!$B$7</f>
        <v>7</v>
      </c>
      <c r="H26" s="10" t="n">
        <f aca="false">H22*Inputs!$B$7</f>
        <v>7</v>
      </c>
      <c r="I26" s="10" t="n">
        <f aca="false">I22*Inputs!$B$7</f>
        <v>7</v>
      </c>
      <c r="J26" s="10" t="n">
        <f aca="false">J22*Inputs!$B$7</f>
        <v>7</v>
      </c>
      <c r="K26" s="10" t="n">
        <f aca="false">K22*Inputs!$B$7</f>
        <v>7</v>
      </c>
      <c r="L26" s="10" t="n">
        <f aca="false">L22*Inputs!$B$7</f>
        <v>7</v>
      </c>
      <c r="M26" s="10" t="n">
        <f aca="false">M22*Inputs!$B$7</f>
        <v>7</v>
      </c>
      <c r="N26" s="10" t="n">
        <f aca="false">N22*Inputs!$B$7</f>
        <v>7</v>
      </c>
      <c r="O26" s="10" t="n">
        <f aca="false">O22*Inputs!$B$7</f>
        <v>7</v>
      </c>
      <c r="P26" s="10" t="n">
        <f aca="false">P22*Inputs!$B$7</f>
        <v>7</v>
      </c>
      <c r="Q26" s="10" t="n">
        <f aca="false">Q22*Inputs!$B$7</f>
        <v>7</v>
      </c>
      <c r="R26" s="10" t="n">
        <f aca="false">R22*Inputs!$B$7</f>
        <v>7</v>
      </c>
      <c r="S26" s="10" t="n">
        <f aca="false">S22*Inputs!$B$7</f>
        <v>7</v>
      </c>
      <c r="T26" s="10" t="n">
        <f aca="false">T22*Inputs!$B$7</f>
        <v>7</v>
      </c>
      <c r="U26" s="10" t="n">
        <f aca="false">U22*Inputs!$B$7</f>
        <v>7</v>
      </c>
      <c r="V26" s="10" t="n">
        <f aca="false">V22*Inputs!$B$7</f>
        <v>7</v>
      </c>
      <c r="W26" s="10" t="n">
        <f aca="false">W22*Inputs!$B$7</f>
        <v>7</v>
      </c>
      <c r="X26" s="10" t="n">
        <f aca="false">X22*Inputs!$B$7</f>
        <v>7</v>
      </c>
      <c r="Y26" s="10" t="n">
        <f aca="false">Y22*Inputs!$B$7</f>
        <v>7</v>
      </c>
      <c r="Z26" s="10" t="n">
        <f aca="false">Z22*Inputs!$B$7</f>
        <v>7</v>
      </c>
      <c r="AA26" s="10" t="n">
        <f aca="false">AA22*Inputs!$B$7</f>
        <v>7</v>
      </c>
      <c r="AB26" s="10" t="n">
        <f aca="false">AB22*Inputs!$B$7</f>
        <v>7</v>
      </c>
      <c r="AC26" s="10" t="n">
        <f aca="false">AC22*Inputs!$B$7</f>
        <v>7</v>
      </c>
      <c r="AD26" s="10" t="n">
        <f aca="false">AD22*Inputs!$B$7</f>
        <v>7</v>
      </c>
      <c r="AE26" s="10" t="n">
        <f aca="false">AE22*Inputs!$B$7</f>
        <v>7</v>
      </c>
      <c r="AF26" s="10" t="n">
        <f aca="false">AF22*Inputs!$B$7</f>
        <v>7</v>
      </c>
      <c r="AG26" s="10" t="n">
        <f aca="false">AG22*Inputs!$B$7</f>
        <v>7</v>
      </c>
      <c r="AH26" s="10" t="n">
        <f aca="false">AH22*Inputs!$B$7</f>
        <v>7</v>
      </c>
      <c r="AI26" s="10" t="n">
        <f aca="false">AI22*Inputs!$B$7</f>
        <v>7</v>
      </c>
      <c r="AJ26" s="10" t="n">
        <f aca="false">AJ22*Inputs!$B$7</f>
        <v>7</v>
      </c>
      <c r="AK26" s="10" t="n">
        <f aca="false">AK22*Inputs!$B$7</f>
        <v>7</v>
      </c>
      <c r="AL26" s="10" t="n">
        <f aca="false">AL22*Inputs!$B$7</f>
        <v>7</v>
      </c>
      <c r="AM26" s="10" t="n">
        <f aca="false">AM22*Inputs!$B$7</f>
        <v>7</v>
      </c>
      <c r="AN26" s="10" t="n">
        <f aca="false">AN22*Inputs!$B$7</f>
        <v>7</v>
      </c>
      <c r="AO26" s="10" t="n">
        <f aca="false">AO22*Inputs!$B$7</f>
        <v>7</v>
      </c>
      <c r="AP26" s="10" t="n">
        <f aca="false">AP22*Inputs!$B$7</f>
        <v>7</v>
      </c>
      <c r="AQ26" s="10" t="n">
        <f aca="false">AQ22*Inputs!$B$7</f>
        <v>7</v>
      </c>
      <c r="AR26" s="10" t="n">
        <f aca="false">AR22*Inputs!$B$7</f>
        <v>7</v>
      </c>
      <c r="AS26" s="10" t="n">
        <f aca="false">AS22*Inputs!$B$7</f>
        <v>7</v>
      </c>
      <c r="AT26" s="10" t="n">
        <f aca="false">AT22*Inputs!$B$7</f>
        <v>7</v>
      </c>
      <c r="AU26" s="10" t="n">
        <f aca="false">AU22*Inputs!$B$7</f>
        <v>7</v>
      </c>
      <c r="AV26" s="10" t="n">
        <f aca="false">AV22*Inputs!$B$7</f>
        <v>7</v>
      </c>
      <c r="AW26" s="10" t="n">
        <f aca="false">AW22*Inputs!$B$7</f>
        <v>7</v>
      </c>
      <c r="AX26" s="10" t="n">
        <f aca="false">AX22*Inputs!$B$7</f>
        <v>7</v>
      </c>
      <c r="AY26" s="10" t="n">
        <f aca="false">AY22*Inputs!$B$7</f>
        <v>7</v>
      </c>
      <c r="AZ26" s="10" t="n">
        <f aca="false">AZ22*Inputs!$B$7</f>
        <v>7</v>
      </c>
      <c r="BA26" s="10" t="n">
        <f aca="false">BA22*Inputs!$B$7</f>
        <v>7</v>
      </c>
      <c r="BB26" s="10" t="n">
        <f aca="false">BB22*Inputs!$B$7</f>
        <v>7</v>
      </c>
      <c r="BC26" s="10" t="n">
        <f aca="false">BC22*Inputs!$B$7</f>
        <v>7</v>
      </c>
      <c r="BD26" s="10" t="n">
        <f aca="false">BD22*Inputs!$B$7</f>
        <v>7</v>
      </c>
      <c r="BE26" s="10" t="n">
        <f aca="false">BE22*Inputs!$B$7</f>
        <v>7</v>
      </c>
      <c r="BF26" s="10" t="n">
        <f aca="false">BF22*Inputs!$B$7</f>
        <v>7</v>
      </c>
      <c r="BG26" s="10" t="n">
        <f aca="false">BG22*Inputs!$B$7</f>
        <v>7</v>
      </c>
      <c r="BH26" s="10" t="n">
        <f aca="false">BH22*Inputs!$B$7</f>
        <v>7</v>
      </c>
      <c r="BI26" s="10" t="n">
        <f aca="false">BI22*Inputs!$B$7</f>
        <v>7</v>
      </c>
      <c r="BJ26" s="10" t="n">
        <f aca="false">BJ22*Inputs!$B$7</f>
        <v>7</v>
      </c>
      <c r="BK26" s="10" t="n">
        <f aca="false">BK22*Inputs!$B$7</f>
        <v>7</v>
      </c>
      <c r="BL26" s="10" t="n">
        <f aca="false">BL22*Inputs!$B$7</f>
        <v>7</v>
      </c>
      <c r="BM26" s="10" t="n">
        <f aca="false">BM22*Inputs!$B$7</f>
        <v>7</v>
      </c>
      <c r="BN26" s="10" t="n">
        <f aca="false">BN22*Inputs!$B$7</f>
        <v>7</v>
      </c>
      <c r="BO26" s="10" t="n">
        <f aca="false">BO22*Inputs!$B$7</f>
        <v>7</v>
      </c>
      <c r="BP26" s="10" t="n">
        <f aca="false">BP22*Inputs!$B$7</f>
        <v>7</v>
      </c>
      <c r="BQ26" s="10" t="n">
        <f aca="false">BQ22*Inputs!$B$7</f>
        <v>7</v>
      </c>
      <c r="BR26" s="10" t="n">
        <f aca="false">BR22*Inputs!$B$7</f>
        <v>7</v>
      </c>
      <c r="BS26" s="10" t="n">
        <f aca="false">BS22*Inputs!$B$7</f>
        <v>7</v>
      </c>
      <c r="BT26" s="10" t="n">
        <f aca="false">BT22*Inputs!$B$7</f>
        <v>7</v>
      </c>
      <c r="BU26" s="10" t="n">
        <f aca="false">BU22*Inputs!$B$7</f>
        <v>7</v>
      </c>
      <c r="BV26" s="10" t="n">
        <f aca="false">BV22*Inputs!$B$7</f>
        <v>7</v>
      </c>
      <c r="BW26" s="10" t="n">
        <f aca="false">BW22*Inputs!$B$7</f>
        <v>7</v>
      </c>
      <c r="BX26" s="10" t="n">
        <f aca="false">BX22*Inputs!$B$7</f>
        <v>7</v>
      </c>
      <c r="BY26" s="10" t="n">
        <f aca="false">BY22*Inputs!$B$7</f>
        <v>7</v>
      </c>
      <c r="BZ26" s="10" t="n">
        <f aca="false">BZ22*Inputs!$B$7</f>
        <v>7</v>
      </c>
      <c r="CA26" s="10" t="n">
        <f aca="false">CA22*Inputs!$B$7</f>
        <v>7</v>
      </c>
      <c r="CB26" s="10" t="n">
        <f aca="false">CB22*Inputs!$B$7</f>
        <v>7</v>
      </c>
      <c r="CC26" s="10" t="n">
        <f aca="false">CC22*Inputs!$B$7</f>
        <v>7</v>
      </c>
      <c r="CD26" s="10" t="n">
        <f aca="false">CD22*Inputs!$B$7</f>
        <v>7</v>
      </c>
      <c r="CE26" s="10" t="n">
        <f aca="false">CE22*Inputs!$B$7</f>
        <v>7</v>
      </c>
      <c r="CF26" s="10" t="n">
        <f aca="false">CF22*Inputs!$B$7</f>
        <v>7</v>
      </c>
      <c r="CG26" s="10" t="n">
        <f aca="false">CG22*Inputs!$B$7</f>
        <v>7</v>
      </c>
      <c r="CH26" s="10" t="n">
        <f aca="false">CH22*Inputs!$B$7</f>
        <v>7</v>
      </c>
      <c r="CI26" s="10" t="n">
        <f aca="false">CI22*Inputs!$B$7</f>
        <v>7</v>
      </c>
      <c r="CJ26" s="10" t="n">
        <f aca="false">CJ22*Inputs!$B$7</f>
        <v>7</v>
      </c>
      <c r="CK26" s="10" t="n">
        <f aca="false">CK22*Inputs!$B$7</f>
        <v>7</v>
      </c>
      <c r="CL26" s="10" t="n">
        <f aca="false">CL22*Inputs!$B$7</f>
        <v>7</v>
      </c>
      <c r="CM26" s="10" t="n">
        <f aca="false">CM22*Inputs!$B$7</f>
        <v>7</v>
      </c>
      <c r="CN26" s="10" t="n">
        <f aca="false">CN22*Inputs!$B$7</f>
        <v>7</v>
      </c>
      <c r="CO26" s="10" t="n">
        <f aca="false">CO22*Inputs!$B$7</f>
        <v>7</v>
      </c>
      <c r="CP26" s="10" t="n">
        <f aca="false">CP22*Inputs!$B$7</f>
        <v>7</v>
      </c>
      <c r="CQ26" s="10" t="n">
        <f aca="false">CQ22*Inputs!$B$7</f>
        <v>7</v>
      </c>
      <c r="CR26" s="10" t="n">
        <f aca="false">CR22*Inputs!$B$7</f>
        <v>7</v>
      </c>
      <c r="CS26" s="10" t="n">
        <f aca="false">CS22*Inputs!$B$7</f>
        <v>7</v>
      </c>
      <c r="CT26" s="10" t="n">
        <f aca="false">CT22*Inputs!$B$7</f>
        <v>7</v>
      </c>
      <c r="CU26" s="10" t="n">
        <f aca="false">CU22*Inputs!$B$7</f>
        <v>7</v>
      </c>
      <c r="CV26" s="10" t="n">
        <f aca="false">CV22*Inputs!$B$7</f>
        <v>7</v>
      </c>
      <c r="CW26" s="10" t="n">
        <f aca="false">CW22*Inputs!$B$7</f>
        <v>7</v>
      </c>
      <c r="CX26" s="10" t="n">
        <f aca="false">CX22*Inputs!$B$7</f>
        <v>7</v>
      </c>
      <c r="CY26" s="10" t="n">
        <f aca="false">CY22*Inputs!$B$7</f>
        <v>7</v>
      </c>
      <c r="CZ26" s="10" t="n">
        <f aca="false">CZ22*Inputs!$B$7</f>
        <v>7</v>
      </c>
      <c r="DA26" s="10" t="n">
        <f aca="false">DA22*Inputs!$B$7</f>
        <v>7</v>
      </c>
      <c r="DB26" s="10" t="n">
        <f aca="false">DB22*Inputs!$B$7</f>
        <v>7</v>
      </c>
      <c r="DC26" s="10" t="n">
        <f aca="false">DC22*Inputs!$B$7</f>
        <v>7</v>
      </c>
      <c r="DD26" s="10" t="n">
        <f aca="false">DD22*Inputs!$B$7</f>
        <v>7</v>
      </c>
      <c r="DE26" s="10" t="n">
        <f aca="false">DE22*Inputs!$B$7</f>
        <v>7</v>
      </c>
      <c r="DF26" s="10" t="n">
        <f aca="false">DF22*Inputs!$B$7</f>
        <v>7</v>
      </c>
      <c r="DG26" s="10" t="n">
        <f aca="false">DG22*Inputs!$B$7</f>
        <v>7</v>
      </c>
      <c r="DH26" s="10" t="n">
        <f aca="false">DH22*Inputs!$B$7</f>
        <v>7</v>
      </c>
      <c r="DI26" s="10" t="n">
        <f aca="false">DI22*Inputs!$B$7</f>
        <v>7</v>
      </c>
      <c r="DJ26" s="10" t="n">
        <f aca="false">DJ22*Inputs!$B$7</f>
        <v>7</v>
      </c>
      <c r="DK26" s="10" t="n">
        <f aca="false">DK22*Inputs!$B$7</f>
        <v>7</v>
      </c>
      <c r="DL26" s="10" t="n">
        <f aca="false">DL22*Inputs!$B$7</f>
        <v>7</v>
      </c>
      <c r="DM26" s="10" t="n">
        <f aca="false">DM22*Inputs!$B$7</f>
        <v>7</v>
      </c>
      <c r="DN26" s="10" t="n">
        <f aca="false">DN22*Inputs!$B$7</f>
        <v>7</v>
      </c>
      <c r="DO26" s="10" t="n">
        <f aca="false">DO22*Inputs!$B$7</f>
        <v>7</v>
      </c>
      <c r="DP26" s="10" t="n">
        <f aca="false">DP22*Inputs!$B$7</f>
        <v>7</v>
      </c>
      <c r="DQ26" s="10" t="n">
        <f aca="false">DQ22*Inputs!$B$7</f>
        <v>7</v>
      </c>
      <c r="DR26" s="10" t="n">
        <f aca="false">DR22*Inputs!$B$7</f>
        <v>7</v>
      </c>
    </row>
    <row r="27" customFormat="false" ht="15" hidden="false" customHeight="false" outlineLevel="0" collapsed="false">
      <c r="A27" s="9" t="s">
        <v>196</v>
      </c>
      <c r="B27" s="10" t="n">
        <f aca="false">B22*Inputs!$B$8</f>
        <v>0</v>
      </c>
      <c r="C27" s="10" t="n">
        <f aca="false">C22*Inputs!$B$8</f>
        <v>10.5</v>
      </c>
      <c r="D27" s="10" t="n">
        <f aca="false">D22*Inputs!$B$8</f>
        <v>10.5</v>
      </c>
      <c r="E27" s="10" t="n">
        <f aca="false">E22*Inputs!$B$8</f>
        <v>10.5</v>
      </c>
      <c r="F27" s="10" t="n">
        <f aca="false">F22*Inputs!$B$8</f>
        <v>10.5</v>
      </c>
      <c r="G27" s="10" t="n">
        <f aca="false">G22*Inputs!$B$8</f>
        <v>10.5</v>
      </c>
      <c r="H27" s="10" t="n">
        <f aca="false">H22*Inputs!$B$8</f>
        <v>10.5</v>
      </c>
      <c r="I27" s="10" t="n">
        <f aca="false">I22*Inputs!$B$8</f>
        <v>10.5</v>
      </c>
      <c r="J27" s="10" t="n">
        <f aca="false">J22*Inputs!$B$8</f>
        <v>10.5</v>
      </c>
      <c r="K27" s="10" t="n">
        <f aca="false">K22*Inputs!$B$8</f>
        <v>10.5</v>
      </c>
      <c r="L27" s="10" t="n">
        <f aca="false">L22*Inputs!$B$8</f>
        <v>10.5</v>
      </c>
      <c r="M27" s="10" t="n">
        <f aca="false">M22*Inputs!$B$8</f>
        <v>10.5</v>
      </c>
      <c r="N27" s="10" t="n">
        <f aca="false">N22*Inputs!$B$8</f>
        <v>10.5</v>
      </c>
      <c r="O27" s="10" t="n">
        <f aca="false">O22*Inputs!$B$8</f>
        <v>10.5</v>
      </c>
      <c r="P27" s="10" t="n">
        <f aca="false">P22*Inputs!$B$8</f>
        <v>10.5</v>
      </c>
      <c r="Q27" s="10" t="n">
        <f aca="false">Q22*Inputs!$B$8</f>
        <v>10.5</v>
      </c>
      <c r="R27" s="10" t="n">
        <f aca="false">R22*Inputs!$B$8</f>
        <v>10.5</v>
      </c>
      <c r="S27" s="10" t="n">
        <f aca="false">S22*Inputs!$B$8</f>
        <v>10.5</v>
      </c>
      <c r="T27" s="10" t="n">
        <f aca="false">T22*Inputs!$B$8</f>
        <v>10.5</v>
      </c>
      <c r="U27" s="10" t="n">
        <f aca="false">U22*Inputs!$B$8</f>
        <v>10.5</v>
      </c>
      <c r="V27" s="10" t="n">
        <f aca="false">V22*Inputs!$B$8</f>
        <v>10.5</v>
      </c>
      <c r="W27" s="10" t="n">
        <f aca="false">W22*Inputs!$B$8</f>
        <v>10.5</v>
      </c>
      <c r="X27" s="10" t="n">
        <f aca="false">X22*Inputs!$B$8</f>
        <v>10.5</v>
      </c>
      <c r="Y27" s="10" t="n">
        <f aca="false">Y22*Inputs!$B$8</f>
        <v>10.5</v>
      </c>
      <c r="Z27" s="10" t="n">
        <f aca="false">Z22*Inputs!$B$8</f>
        <v>10.5</v>
      </c>
      <c r="AA27" s="10" t="n">
        <f aca="false">AA22*Inputs!$B$8</f>
        <v>10.5</v>
      </c>
      <c r="AB27" s="10" t="n">
        <f aca="false">AB22*Inputs!$B$8</f>
        <v>10.5</v>
      </c>
      <c r="AC27" s="10" t="n">
        <f aca="false">AC22*Inputs!$B$8</f>
        <v>10.5</v>
      </c>
      <c r="AD27" s="10" t="n">
        <f aca="false">AD22*Inputs!$B$8</f>
        <v>10.5</v>
      </c>
      <c r="AE27" s="10" t="n">
        <f aca="false">AE22*Inputs!$B$8</f>
        <v>10.5</v>
      </c>
      <c r="AF27" s="10" t="n">
        <f aca="false">AF22*Inputs!$B$8</f>
        <v>10.5</v>
      </c>
      <c r="AG27" s="10" t="n">
        <f aca="false">AG22*Inputs!$B$8</f>
        <v>10.5</v>
      </c>
      <c r="AH27" s="10" t="n">
        <f aca="false">AH22*Inputs!$B$8</f>
        <v>10.5</v>
      </c>
      <c r="AI27" s="10" t="n">
        <f aca="false">AI22*Inputs!$B$8</f>
        <v>10.5</v>
      </c>
      <c r="AJ27" s="10" t="n">
        <f aca="false">AJ22*Inputs!$B$8</f>
        <v>10.5</v>
      </c>
      <c r="AK27" s="10" t="n">
        <f aca="false">AK22*Inputs!$B$8</f>
        <v>10.5</v>
      </c>
      <c r="AL27" s="10" t="n">
        <f aca="false">AL22*Inputs!$B$8</f>
        <v>10.5</v>
      </c>
      <c r="AM27" s="10" t="n">
        <f aca="false">AM22*Inputs!$B$8</f>
        <v>10.5</v>
      </c>
      <c r="AN27" s="10" t="n">
        <f aca="false">AN22*Inputs!$B$8</f>
        <v>10.5</v>
      </c>
      <c r="AO27" s="10" t="n">
        <f aca="false">AO22*Inputs!$B$8</f>
        <v>10.5</v>
      </c>
      <c r="AP27" s="10" t="n">
        <f aca="false">AP22*Inputs!$B$8</f>
        <v>10.5</v>
      </c>
      <c r="AQ27" s="10" t="n">
        <f aca="false">AQ22*Inputs!$B$8</f>
        <v>10.5</v>
      </c>
      <c r="AR27" s="10" t="n">
        <f aca="false">AR22*Inputs!$B$8</f>
        <v>10.5</v>
      </c>
      <c r="AS27" s="10" t="n">
        <f aca="false">AS22*Inputs!$B$8</f>
        <v>10.5</v>
      </c>
      <c r="AT27" s="10" t="n">
        <f aca="false">AT22*Inputs!$B$8</f>
        <v>10.5</v>
      </c>
      <c r="AU27" s="10" t="n">
        <f aca="false">AU22*Inputs!$B$8</f>
        <v>10.5</v>
      </c>
      <c r="AV27" s="10" t="n">
        <f aca="false">AV22*Inputs!$B$8</f>
        <v>10.5</v>
      </c>
      <c r="AW27" s="10" t="n">
        <f aca="false">AW22*Inputs!$B$8</f>
        <v>10.5</v>
      </c>
      <c r="AX27" s="10" t="n">
        <f aca="false">AX22*Inputs!$B$8</f>
        <v>10.5</v>
      </c>
      <c r="AY27" s="10" t="n">
        <f aca="false">AY22*Inputs!$B$8</f>
        <v>10.5</v>
      </c>
      <c r="AZ27" s="10" t="n">
        <f aca="false">AZ22*Inputs!$B$8</f>
        <v>10.5</v>
      </c>
      <c r="BA27" s="10" t="n">
        <f aca="false">BA22*Inputs!$B$8</f>
        <v>10.5</v>
      </c>
      <c r="BB27" s="10" t="n">
        <f aca="false">BB22*Inputs!$B$8</f>
        <v>10.5</v>
      </c>
      <c r="BC27" s="10" t="n">
        <f aca="false">BC22*Inputs!$B$8</f>
        <v>10.5</v>
      </c>
      <c r="BD27" s="10" t="n">
        <f aca="false">BD22*Inputs!$B$8</f>
        <v>10.5</v>
      </c>
      <c r="BE27" s="10" t="n">
        <f aca="false">BE22*Inputs!$B$8</f>
        <v>10.5</v>
      </c>
      <c r="BF27" s="10" t="n">
        <f aca="false">BF22*Inputs!$B$8</f>
        <v>10.5</v>
      </c>
      <c r="BG27" s="10" t="n">
        <f aca="false">BG22*Inputs!$B$8</f>
        <v>10.5</v>
      </c>
      <c r="BH27" s="10" t="n">
        <f aca="false">BH22*Inputs!$B$8</f>
        <v>10.5</v>
      </c>
      <c r="BI27" s="10" t="n">
        <f aca="false">BI22*Inputs!$B$8</f>
        <v>10.5</v>
      </c>
      <c r="BJ27" s="10" t="n">
        <f aca="false">BJ22*Inputs!$B$8</f>
        <v>10.5</v>
      </c>
      <c r="BK27" s="10" t="n">
        <f aca="false">BK22*Inputs!$B$8</f>
        <v>10.5</v>
      </c>
      <c r="BL27" s="10" t="n">
        <f aca="false">BL22*Inputs!$B$8</f>
        <v>10.5</v>
      </c>
      <c r="BM27" s="10" t="n">
        <f aca="false">BM22*Inputs!$B$8</f>
        <v>10.5</v>
      </c>
      <c r="BN27" s="10" t="n">
        <f aca="false">BN22*Inputs!$B$8</f>
        <v>10.5</v>
      </c>
      <c r="BO27" s="10" t="n">
        <f aca="false">BO22*Inputs!$B$8</f>
        <v>10.5</v>
      </c>
      <c r="BP27" s="10" t="n">
        <f aca="false">BP22*Inputs!$B$8</f>
        <v>10.5</v>
      </c>
      <c r="BQ27" s="10" t="n">
        <f aca="false">BQ22*Inputs!$B$8</f>
        <v>10.5</v>
      </c>
      <c r="BR27" s="10" t="n">
        <f aca="false">BR22*Inputs!$B$8</f>
        <v>10.5</v>
      </c>
      <c r="BS27" s="10" t="n">
        <f aca="false">BS22*Inputs!$B$8</f>
        <v>10.5</v>
      </c>
      <c r="BT27" s="10" t="n">
        <f aca="false">BT22*Inputs!$B$8</f>
        <v>10.5</v>
      </c>
      <c r="BU27" s="10" t="n">
        <f aca="false">BU22*Inputs!$B$8</f>
        <v>10.5</v>
      </c>
      <c r="BV27" s="10" t="n">
        <f aca="false">BV22*Inputs!$B$8</f>
        <v>10.5</v>
      </c>
      <c r="BW27" s="10" t="n">
        <f aca="false">BW22*Inputs!$B$8</f>
        <v>10.5</v>
      </c>
      <c r="BX27" s="10" t="n">
        <f aca="false">BX22*Inputs!$B$8</f>
        <v>10.5</v>
      </c>
      <c r="BY27" s="10" t="n">
        <f aca="false">BY22*Inputs!$B$8</f>
        <v>10.5</v>
      </c>
      <c r="BZ27" s="10" t="n">
        <f aca="false">BZ22*Inputs!$B$8</f>
        <v>10.5</v>
      </c>
      <c r="CA27" s="10" t="n">
        <f aca="false">CA22*Inputs!$B$8</f>
        <v>10.5</v>
      </c>
      <c r="CB27" s="10" t="n">
        <f aca="false">CB22*Inputs!$B$8</f>
        <v>10.5</v>
      </c>
      <c r="CC27" s="10" t="n">
        <f aca="false">CC22*Inputs!$B$8</f>
        <v>10.5</v>
      </c>
      <c r="CD27" s="10" t="n">
        <f aca="false">CD22*Inputs!$B$8</f>
        <v>10.5</v>
      </c>
      <c r="CE27" s="10" t="n">
        <f aca="false">CE22*Inputs!$B$8</f>
        <v>10.5</v>
      </c>
      <c r="CF27" s="10" t="n">
        <f aca="false">CF22*Inputs!$B$8</f>
        <v>10.5</v>
      </c>
      <c r="CG27" s="10" t="n">
        <f aca="false">CG22*Inputs!$B$8</f>
        <v>10.5</v>
      </c>
      <c r="CH27" s="10" t="n">
        <f aca="false">CH22*Inputs!$B$8</f>
        <v>10.5</v>
      </c>
      <c r="CI27" s="10" t="n">
        <f aca="false">CI22*Inputs!$B$8</f>
        <v>10.5</v>
      </c>
      <c r="CJ27" s="10" t="n">
        <f aca="false">CJ22*Inputs!$B$8</f>
        <v>10.5</v>
      </c>
      <c r="CK27" s="10" t="n">
        <f aca="false">CK22*Inputs!$B$8</f>
        <v>10.5</v>
      </c>
      <c r="CL27" s="10" t="n">
        <f aca="false">CL22*Inputs!$B$8</f>
        <v>10.5</v>
      </c>
      <c r="CM27" s="10" t="n">
        <f aca="false">CM22*Inputs!$B$8</f>
        <v>10.5</v>
      </c>
      <c r="CN27" s="10" t="n">
        <f aca="false">CN22*Inputs!$B$8</f>
        <v>10.5</v>
      </c>
      <c r="CO27" s="10" t="n">
        <f aca="false">CO22*Inputs!$B$8</f>
        <v>10.5</v>
      </c>
      <c r="CP27" s="10" t="n">
        <f aca="false">CP22*Inputs!$B$8</f>
        <v>10.5</v>
      </c>
      <c r="CQ27" s="10" t="n">
        <f aca="false">CQ22*Inputs!$B$8</f>
        <v>10.5</v>
      </c>
      <c r="CR27" s="10" t="n">
        <f aca="false">CR22*Inputs!$B$8</f>
        <v>10.5</v>
      </c>
      <c r="CS27" s="10" t="n">
        <f aca="false">CS22*Inputs!$B$8</f>
        <v>10.5</v>
      </c>
      <c r="CT27" s="10" t="n">
        <f aca="false">CT22*Inputs!$B$8</f>
        <v>10.5</v>
      </c>
      <c r="CU27" s="10" t="n">
        <f aca="false">CU22*Inputs!$B$8</f>
        <v>10.5</v>
      </c>
      <c r="CV27" s="10" t="n">
        <f aca="false">CV22*Inputs!$B$8</f>
        <v>10.5</v>
      </c>
      <c r="CW27" s="10" t="n">
        <f aca="false">CW22*Inputs!$B$8</f>
        <v>10.5</v>
      </c>
      <c r="CX27" s="10" t="n">
        <f aca="false">CX22*Inputs!$B$8</f>
        <v>10.5</v>
      </c>
      <c r="CY27" s="10" t="n">
        <f aca="false">CY22*Inputs!$B$8</f>
        <v>10.5</v>
      </c>
      <c r="CZ27" s="10" t="n">
        <f aca="false">CZ22*Inputs!$B$8</f>
        <v>10.5</v>
      </c>
      <c r="DA27" s="10" t="n">
        <f aca="false">DA22*Inputs!$B$8</f>
        <v>10.5</v>
      </c>
      <c r="DB27" s="10" t="n">
        <f aca="false">DB22*Inputs!$B$8</f>
        <v>10.5</v>
      </c>
      <c r="DC27" s="10" t="n">
        <f aca="false">DC22*Inputs!$B$8</f>
        <v>10.5</v>
      </c>
      <c r="DD27" s="10" t="n">
        <f aca="false">DD22*Inputs!$B$8</f>
        <v>10.5</v>
      </c>
      <c r="DE27" s="10" t="n">
        <f aca="false">DE22*Inputs!$B$8</f>
        <v>10.5</v>
      </c>
      <c r="DF27" s="10" t="n">
        <f aca="false">DF22*Inputs!$B$8</f>
        <v>10.5</v>
      </c>
      <c r="DG27" s="10" t="n">
        <f aca="false">DG22*Inputs!$B$8</f>
        <v>10.5</v>
      </c>
      <c r="DH27" s="10" t="n">
        <f aca="false">DH22*Inputs!$B$8</f>
        <v>10.5</v>
      </c>
      <c r="DI27" s="10" t="n">
        <f aca="false">DI22*Inputs!$B$8</f>
        <v>10.5</v>
      </c>
      <c r="DJ27" s="10" t="n">
        <f aca="false">DJ22*Inputs!$B$8</f>
        <v>10.5</v>
      </c>
      <c r="DK27" s="10" t="n">
        <f aca="false">DK22*Inputs!$B$8</f>
        <v>10.5</v>
      </c>
      <c r="DL27" s="10" t="n">
        <f aca="false">DL22*Inputs!$B$8</f>
        <v>10.5</v>
      </c>
      <c r="DM27" s="10" t="n">
        <f aca="false">DM22*Inputs!$B$8</f>
        <v>10.5</v>
      </c>
      <c r="DN27" s="10" t="n">
        <f aca="false">DN22*Inputs!$B$8</f>
        <v>10.5</v>
      </c>
      <c r="DO27" s="10" t="n">
        <f aca="false">DO22*Inputs!$B$8</f>
        <v>10.5</v>
      </c>
      <c r="DP27" s="10" t="n">
        <f aca="false">DP22*Inputs!$B$8</f>
        <v>10.5</v>
      </c>
      <c r="DQ27" s="10" t="n">
        <f aca="false">DQ22*Inputs!$B$8</f>
        <v>10.5</v>
      </c>
      <c r="DR27" s="10" t="n">
        <f aca="false">DR22*Inputs!$B$8</f>
        <v>10.5</v>
      </c>
    </row>
    <row r="28" customFormat="false" ht="15" hidden="false" customHeight="false" outlineLevel="0" collapsed="false">
      <c r="A28" s="9" t="s">
        <v>197</v>
      </c>
      <c r="B28" s="10" t="n">
        <f aca="false">IF(B$1=Inputs!$B$34,Inputs!$B$34,Inputs!$B$12*Inputs!$B$13/Inputs!$B$32)</f>
        <v>0</v>
      </c>
      <c r="C28" s="10" t="n">
        <f aca="false">IF(C$1=Inputs!$B$34,Inputs!$B$34,Inputs!$B$12*Inputs!$B$13/Inputs!$B$32)</f>
        <v>0.4</v>
      </c>
      <c r="D28" s="10" t="n">
        <f aca="false">IF(D$1=Inputs!$B$34,Inputs!$B$34,Inputs!$B$12*Inputs!$B$13/Inputs!$B$32)</f>
        <v>0.4</v>
      </c>
      <c r="E28" s="10" t="n">
        <f aca="false">IF(E$1=Inputs!$B$34,Inputs!$B$34,Inputs!$B$12*Inputs!$B$13/Inputs!$B$32)</f>
        <v>0.4</v>
      </c>
      <c r="F28" s="10" t="n">
        <f aca="false">IF(F$1=Inputs!$B$34,Inputs!$B$34,Inputs!$B$12*Inputs!$B$13/Inputs!$B$32)</f>
        <v>0.4</v>
      </c>
      <c r="G28" s="10" t="n">
        <f aca="false">IF(G$1=Inputs!$B$34,Inputs!$B$34,Inputs!$B$12*Inputs!$B$13/Inputs!$B$32)</f>
        <v>0.4</v>
      </c>
      <c r="H28" s="10" t="n">
        <f aca="false">IF(H$1=Inputs!$B$34,Inputs!$B$34,Inputs!$B$12*Inputs!$B$13/Inputs!$B$32)</f>
        <v>0.4</v>
      </c>
      <c r="I28" s="10" t="n">
        <f aca="false">IF(I$1=Inputs!$B$34,Inputs!$B$34,Inputs!$B$12*Inputs!$B$13/Inputs!$B$32)</f>
        <v>0.4</v>
      </c>
      <c r="J28" s="10" t="n">
        <f aca="false">IF(J$1=Inputs!$B$34,Inputs!$B$34,Inputs!$B$12*Inputs!$B$13/Inputs!$B$32)</f>
        <v>0.4</v>
      </c>
      <c r="K28" s="10" t="n">
        <f aca="false">IF(K$1=Inputs!$B$34,Inputs!$B$34,Inputs!$B$12*Inputs!$B$13/Inputs!$B$32)</f>
        <v>0.4</v>
      </c>
      <c r="L28" s="10" t="n">
        <f aca="false">IF(L$1=Inputs!$B$34,Inputs!$B$34,Inputs!$B$12*Inputs!$B$13/Inputs!$B$32)</f>
        <v>0.4</v>
      </c>
      <c r="M28" s="10" t="n">
        <f aca="false">IF(M$1=Inputs!$B$34,Inputs!$B$34,Inputs!$B$12*Inputs!$B$13/Inputs!$B$32)</f>
        <v>0.4</v>
      </c>
      <c r="N28" s="10" t="n">
        <f aca="false">IF(N$1=Inputs!$B$34,Inputs!$B$34,Inputs!$B$12*Inputs!$B$13/Inputs!$B$32)</f>
        <v>0.4</v>
      </c>
      <c r="O28" s="10" t="n">
        <f aca="false">IF(O$1=Inputs!$B$34,Inputs!$B$34,Inputs!$B$12*Inputs!$B$13/Inputs!$B$32)</f>
        <v>0.4</v>
      </c>
      <c r="P28" s="10" t="n">
        <f aca="false">IF(P$1=Inputs!$B$34,Inputs!$B$34,Inputs!$B$12*Inputs!$B$13/Inputs!$B$32)</f>
        <v>0.4</v>
      </c>
      <c r="Q28" s="10" t="n">
        <f aca="false">IF(Q$1=Inputs!$B$34,Inputs!$B$34,Inputs!$B$12*Inputs!$B$13/Inputs!$B$32)</f>
        <v>0.4</v>
      </c>
      <c r="R28" s="10" t="n">
        <f aca="false">IF(R$1=Inputs!$B$34,Inputs!$B$34,Inputs!$B$12*Inputs!$B$13/Inputs!$B$32)</f>
        <v>0.4</v>
      </c>
      <c r="S28" s="10" t="n">
        <f aca="false">IF(S$1=Inputs!$B$34,Inputs!$B$34,Inputs!$B$12*Inputs!$B$13/Inputs!$B$32)</f>
        <v>0.4</v>
      </c>
      <c r="T28" s="10" t="n">
        <f aca="false">IF(T$1=Inputs!$B$34,Inputs!$B$34,Inputs!$B$12*Inputs!$B$13/Inputs!$B$32)</f>
        <v>0.4</v>
      </c>
      <c r="U28" s="10" t="n">
        <f aca="false">IF(U$1=Inputs!$B$34,Inputs!$B$34,Inputs!$B$12*Inputs!$B$13/Inputs!$B$32)</f>
        <v>0.4</v>
      </c>
      <c r="V28" s="10" t="n">
        <f aca="false">IF(V$1=Inputs!$B$34,Inputs!$B$34,Inputs!$B$12*Inputs!$B$13/Inputs!$B$32)</f>
        <v>0.4</v>
      </c>
      <c r="W28" s="10" t="n">
        <f aca="false">IF(W$1=Inputs!$B$34,Inputs!$B$34,Inputs!$B$12*Inputs!$B$13/Inputs!$B$32)</f>
        <v>0.4</v>
      </c>
      <c r="X28" s="10" t="n">
        <f aca="false">IF(X$1=Inputs!$B$34,Inputs!$B$34,Inputs!$B$12*Inputs!$B$13/Inputs!$B$32)</f>
        <v>0.4</v>
      </c>
      <c r="Y28" s="10" t="n">
        <f aca="false">IF(Y$1=Inputs!$B$34,Inputs!$B$34,Inputs!$B$12*Inputs!$B$13/Inputs!$B$32)</f>
        <v>0.4</v>
      </c>
      <c r="Z28" s="10" t="n">
        <f aca="false">IF(Z$1=Inputs!$B$34,Inputs!$B$34,Inputs!$B$12*Inputs!$B$13/Inputs!$B$32)</f>
        <v>0.4</v>
      </c>
      <c r="AA28" s="10" t="n">
        <f aca="false">IF(AA$1=Inputs!$B$34,Inputs!$B$34,Inputs!$B$12*Inputs!$B$13/Inputs!$B$32)</f>
        <v>0.4</v>
      </c>
      <c r="AB28" s="10" t="n">
        <f aca="false">IF(AB$1=Inputs!$B$34,Inputs!$B$34,Inputs!$B$12*Inputs!$B$13/Inputs!$B$32)</f>
        <v>0.4</v>
      </c>
      <c r="AC28" s="10" t="n">
        <f aca="false">IF(AC$1=Inputs!$B$34,Inputs!$B$34,Inputs!$B$12*Inputs!$B$13/Inputs!$B$32)</f>
        <v>0.4</v>
      </c>
      <c r="AD28" s="10" t="n">
        <f aca="false">IF(AD$1=Inputs!$B$34,Inputs!$B$34,Inputs!$B$12*Inputs!$B$13/Inputs!$B$32)</f>
        <v>0.4</v>
      </c>
      <c r="AE28" s="10" t="n">
        <f aca="false">IF(AE$1=Inputs!$B$34,Inputs!$B$34,Inputs!$B$12*Inputs!$B$13/Inputs!$B$32)</f>
        <v>0.4</v>
      </c>
      <c r="AF28" s="10" t="n">
        <f aca="false">IF(AF$1=Inputs!$B$34,Inputs!$B$34,Inputs!$B$12*Inputs!$B$13/Inputs!$B$32)</f>
        <v>0.4</v>
      </c>
      <c r="AG28" s="10" t="n">
        <f aca="false">IF(AG$1=Inputs!$B$34,Inputs!$B$34,Inputs!$B$12*Inputs!$B$13/Inputs!$B$32)</f>
        <v>0.4</v>
      </c>
      <c r="AH28" s="10" t="n">
        <f aca="false">IF(AH$1=Inputs!$B$34,Inputs!$B$34,Inputs!$B$12*Inputs!$B$13/Inputs!$B$32)</f>
        <v>0.4</v>
      </c>
      <c r="AI28" s="10" t="n">
        <f aca="false">IF(AI$1=Inputs!$B$34,Inputs!$B$34,Inputs!$B$12*Inputs!$B$13/Inputs!$B$32)</f>
        <v>0.4</v>
      </c>
      <c r="AJ28" s="10" t="n">
        <f aca="false">IF(AJ$1=Inputs!$B$34,Inputs!$B$34,Inputs!$B$12*Inputs!$B$13/Inputs!$B$32)</f>
        <v>0.4</v>
      </c>
      <c r="AK28" s="10" t="n">
        <f aca="false">IF(AK$1=Inputs!$B$34,Inputs!$B$34,Inputs!$B$12*Inputs!$B$13/Inputs!$B$32)</f>
        <v>0.4</v>
      </c>
      <c r="AL28" s="10" t="n">
        <f aca="false">IF(AL$1=Inputs!$B$34,Inputs!$B$34,Inputs!$B$12*Inputs!$B$13/Inputs!$B$32)</f>
        <v>0.4</v>
      </c>
      <c r="AM28" s="10" t="n">
        <f aca="false">IF(AM$1=Inputs!$B$34,Inputs!$B$34,Inputs!$B$12*Inputs!$B$13/Inputs!$B$32)</f>
        <v>0.4</v>
      </c>
      <c r="AN28" s="10" t="n">
        <f aca="false">IF(AN$1=Inputs!$B$34,Inputs!$B$34,Inputs!$B$12*Inputs!$B$13/Inputs!$B$32)</f>
        <v>0.4</v>
      </c>
      <c r="AO28" s="10" t="n">
        <f aca="false">IF(AO$1=Inputs!$B$34,Inputs!$B$34,Inputs!$B$12*Inputs!$B$13/Inputs!$B$32)</f>
        <v>0.4</v>
      </c>
      <c r="AP28" s="10" t="n">
        <f aca="false">IF(AP$1=Inputs!$B$34,Inputs!$B$34,Inputs!$B$12*Inputs!$B$13/Inputs!$B$32)</f>
        <v>0.4</v>
      </c>
      <c r="AQ28" s="10" t="n">
        <f aca="false">IF(AQ$1=Inputs!$B$34,Inputs!$B$34,Inputs!$B$12*Inputs!$B$13/Inputs!$B$32)</f>
        <v>0.4</v>
      </c>
      <c r="AR28" s="10" t="n">
        <f aca="false">IF(AR$1=Inputs!$B$34,Inputs!$B$34,Inputs!$B$12*Inputs!$B$13/Inputs!$B$32)</f>
        <v>0.4</v>
      </c>
      <c r="AS28" s="10" t="n">
        <f aca="false">IF(AS$1=Inputs!$B$34,Inputs!$B$34,Inputs!$B$12*Inputs!$B$13/Inputs!$B$32)</f>
        <v>0.4</v>
      </c>
      <c r="AT28" s="10" t="n">
        <f aca="false">IF(AT$1=Inputs!$B$34,Inputs!$B$34,Inputs!$B$12*Inputs!$B$13/Inputs!$B$32)</f>
        <v>0.4</v>
      </c>
      <c r="AU28" s="10" t="n">
        <f aca="false">IF(AU$1=Inputs!$B$34,Inputs!$B$34,Inputs!$B$12*Inputs!$B$13/Inputs!$B$32)</f>
        <v>0.4</v>
      </c>
      <c r="AV28" s="10" t="n">
        <f aca="false">IF(AV$1=Inputs!$B$34,Inputs!$B$34,Inputs!$B$12*Inputs!$B$13/Inputs!$B$32)</f>
        <v>0.4</v>
      </c>
      <c r="AW28" s="10" t="n">
        <f aca="false">IF(AW$1=Inputs!$B$34,Inputs!$B$34,Inputs!$B$12*Inputs!$B$13/Inputs!$B$32)</f>
        <v>0.4</v>
      </c>
      <c r="AX28" s="10" t="n">
        <f aca="false">IF(AX$1=Inputs!$B$34,Inputs!$B$34,Inputs!$B$12*Inputs!$B$13/Inputs!$B$32)</f>
        <v>0.4</v>
      </c>
      <c r="AY28" s="10" t="n">
        <f aca="false">IF(AY$1=Inputs!$B$34,Inputs!$B$34,Inputs!$B$12*Inputs!$B$13/Inputs!$B$32)</f>
        <v>0.4</v>
      </c>
      <c r="AZ28" s="10" t="n">
        <f aca="false">IF(AZ$1=Inputs!$B$34,Inputs!$B$34,Inputs!$B$12*Inputs!$B$13/Inputs!$B$32)</f>
        <v>0.4</v>
      </c>
      <c r="BA28" s="10" t="n">
        <f aca="false">IF(BA$1=Inputs!$B$34,Inputs!$B$34,Inputs!$B$12*Inputs!$B$13/Inputs!$B$32)</f>
        <v>0.4</v>
      </c>
      <c r="BB28" s="10" t="n">
        <f aca="false">IF(BB$1=Inputs!$B$34,Inputs!$B$34,Inputs!$B$12*Inputs!$B$13/Inputs!$B$32)</f>
        <v>0.4</v>
      </c>
      <c r="BC28" s="10" t="n">
        <f aca="false">IF(BC$1=Inputs!$B$34,Inputs!$B$34,Inputs!$B$12*Inputs!$B$13/Inputs!$B$32)</f>
        <v>0.4</v>
      </c>
      <c r="BD28" s="10" t="n">
        <f aca="false">IF(BD$1=Inputs!$B$34,Inputs!$B$34,Inputs!$B$12*Inputs!$B$13/Inputs!$B$32)</f>
        <v>0.4</v>
      </c>
      <c r="BE28" s="10" t="n">
        <f aca="false">IF(BE$1=Inputs!$B$34,Inputs!$B$34,Inputs!$B$12*Inputs!$B$13/Inputs!$B$32)</f>
        <v>0.4</v>
      </c>
      <c r="BF28" s="10" t="n">
        <f aca="false">IF(BF$1=Inputs!$B$34,Inputs!$B$34,Inputs!$B$12*Inputs!$B$13/Inputs!$B$32)</f>
        <v>0.4</v>
      </c>
      <c r="BG28" s="10" t="n">
        <f aca="false">IF(BG$1=Inputs!$B$34,Inputs!$B$34,Inputs!$B$12*Inputs!$B$13/Inputs!$B$32)</f>
        <v>0.4</v>
      </c>
      <c r="BH28" s="10" t="n">
        <f aca="false">IF(BH$1=Inputs!$B$34,Inputs!$B$34,Inputs!$B$12*Inputs!$B$13/Inputs!$B$32)</f>
        <v>0.4</v>
      </c>
      <c r="BI28" s="10" t="n">
        <f aca="false">IF(BI$1=Inputs!$B$34,Inputs!$B$34,Inputs!$B$12*Inputs!$B$13/Inputs!$B$32)</f>
        <v>0.4</v>
      </c>
      <c r="BJ28" s="10" t="n">
        <f aca="false">IF(BJ$1=Inputs!$B$34,Inputs!$B$34,Inputs!$B$12*Inputs!$B$13/Inputs!$B$32)</f>
        <v>0.4</v>
      </c>
      <c r="BK28" s="10" t="n">
        <f aca="false">IF(BK$1=Inputs!$B$34,Inputs!$B$34,Inputs!$B$12*Inputs!$B$13/Inputs!$B$32)</f>
        <v>0.4</v>
      </c>
      <c r="BL28" s="10" t="n">
        <f aca="false">IF(BL$1=Inputs!$B$34,Inputs!$B$34,Inputs!$B$12*Inputs!$B$13/Inputs!$B$32)</f>
        <v>0.4</v>
      </c>
      <c r="BM28" s="10" t="n">
        <f aca="false">IF(BM$1=Inputs!$B$34,Inputs!$B$34,Inputs!$B$12*Inputs!$B$13/Inputs!$B$32)</f>
        <v>0.4</v>
      </c>
      <c r="BN28" s="10" t="n">
        <f aca="false">IF(BN$1=Inputs!$B$34,Inputs!$B$34,Inputs!$B$12*Inputs!$B$13/Inputs!$B$32)</f>
        <v>0.4</v>
      </c>
      <c r="BO28" s="10" t="n">
        <f aca="false">IF(BO$1=Inputs!$B$34,Inputs!$B$34,Inputs!$B$12*Inputs!$B$13/Inputs!$B$32)</f>
        <v>0.4</v>
      </c>
      <c r="BP28" s="10" t="n">
        <f aca="false">IF(BP$1=Inputs!$B$34,Inputs!$B$34,Inputs!$B$12*Inputs!$B$13/Inputs!$B$32)</f>
        <v>0.4</v>
      </c>
      <c r="BQ28" s="10" t="n">
        <f aca="false">IF(BQ$1=Inputs!$B$34,Inputs!$B$34,Inputs!$B$12*Inputs!$B$13/Inputs!$B$32)</f>
        <v>0.4</v>
      </c>
      <c r="BR28" s="10" t="n">
        <f aca="false">IF(BR$1=Inputs!$B$34,Inputs!$B$34,Inputs!$B$12*Inputs!$B$13/Inputs!$B$32)</f>
        <v>0.4</v>
      </c>
      <c r="BS28" s="10" t="n">
        <f aca="false">IF(BS$1=Inputs!$B$34,Inputs!$B$34,Inputs!$B$12*Inputs!$B$13/Inputs!$B$32)</f>
        <v>0.4</v>
      </c>
      <c r="BT28" s="10" t="n">
        <f aca="false">IF(BT$1=Inputs!$B$34,Inputs!$B$34,Inputs!$B$12*Inputs!$B$13/Inputs!$B$32)</f>
        <v>0.4</v>
      </c>
      <c r="BU28" s="10" t="n">
        <f aca="false">IF(BU$1=Inputs!$B$34,Inputs!$B$34,Inputs!$B$12*Inputs!$B$13/Inputs!$B$32)</f>
        <v>0.4</v>
      </c>
      <c r="BV28" s="10" t="n">
        <f aca="false">IF(BV$1=Inputs!$B$34,Inputs!$B$34,Inputs!$B$12*Inputs!$B$13/Inputs!$B$32)</f>
        <v>0.4</v>
      </c>
      <c r="BW28" s="10" t="n">
        <f aca="false">IF(BW$1=Inputs!$B$34,Inputs!$B$34,Inputs!$B$12*Inputs!$B$13/Inputs!$B$32)</f>
        <v>0.4</v>
      </c>
      <c r="BX28" s="10" t="n">
        <f aca="false">IF(BX$1=Inputs!$B$34,Inputs!$B$34,Inputs!$B$12*Inputs!$B$13/Inputs!$B$32)</f>
        <v>0.4</v>
      </c>
      <c r="BY28" s="10" t="n">
        <f aca="false">IF(BY$1=Inputs!$B$34,Inputs!$B$34,Inputs!$B$12*Inputs!$B$13/Inputs!$B$32)</f>
        <v>0.4</v>
      </c>
      <c r="BZ28" s="10" t="n">
        <f aca="false">IF(BZ$1=Inputs!$B$34,Inputs!$B$34,Inputs!$B$12*Inputs!$B$13/Inputs!$B$32)</f>
        <v>0.4</v>
      </c>
      <c r="CA28" s="10" t="n">
        <f aca="false">IF(CA$1=Inputs!$B$34,Inputs!$B$34,Inputs!$B$12*Inputs!$B$13/Inputs!$B$32)</f>
        <v>0.4</v>
      </c>
      <c r="CB28" s="10" t="n">
        <f aca="false">IF(CB$1=Inputs!$B$34,Inputs!$B$34,Inputs!$B$12*Inputs!$B$13/Inputs!$B$32)</f>
        <v>0.4</v>
      </c>
      <c r="CC28" s="10" t="n">
        <f aca="false">IF(CC$1=Inputs!$B$34,Inputs!$B$34,Inputs!$B$12*Inputs!$B$13/Inputs!$B$32)</f>
        <v>0.4</v>
      </c>
      <c r="CD28" s="10" t="n">
        <f aca="false">IF(CD$1=Inputs!$B$34,Inputs!$B$34,Inputs!$B$12*Inputs!$B$13/Inputs!$B$32)</f>
        <v>0.4</v>
      </c>
      <c r="CE28" s="10" t="n">
        <f aca="false">IF(CE$1=Inputs!$B$34,Inputs!$B$34,Inputs!$B$12*Inputs!$B$13/Inputs!$B$32)</f>
        <v>0.4</v>
      </c>
      <c r="CF28" s="10" t="n">
        <f aca="false">IF(CF$1=Inputs!$B$34,Inputs!$B$34,Inputs!$B$12*Inputs!$B$13/Inputs!$B$32)</f>
        <v>0.4</v>
      </c>
      <c r="CG28" s="10" t="n">
        <f aca="false">IF(CG$1=Inputs!$B$34,Inputs!$B$34,Inputs!$B$12*Inputs!$B$13/Inputs!$B$32)</f>
        <v>0.4</v>
      </c>
      <c r="CH28" s="10" t="n">
        <f aca="false">IF(CH$1=Inputs!$B$34,Inputs!$B$34,Inputs!$B$12*Inputs!$B$13/Inputs!$B$32)</f>
        <v>0.4</v>
      </c>
      <c r="CI28" s="10" t="n">
        <f aca="false">IF(CI$1=Inputs!$B$34,Inputs!$B$34,Inputs!$B$12*Inputs!$B$13/Inputs!$B$32)</f>
        <v>0.4</v>
      </c>
      <c r="CJ28" s="10" t="n">
        <f aca="false">IF(CJ$1=Inputs!$B$34,Inputs!$B$34,Inputs!$B$12*Inputs!$B$13/Inputs!$B$32)</f>
        <v>0.4</v>
      </c>
      <c r="CK28" s="10" t="n">
        <f aca="false">IF(CK$1=Inputs!$B$34,Inputs!$B$34,Inputs!$B$12*Inputs!$B$13/Inputs!$B$32)</f>
        <v>0.4</v>
      </c>
      <c r="CL28" s="10" t="n">
        <f aca="false">IF(CL$1=Inputs!$B$34,Inputs!$B$34,Inputs!$B$12*Inputs!$B$13/Inputs!$B$32)</f>
        <v>0.4</v>
      </c>
      <c r="CM28" s="10" t="n">
        <f aca="false">IF(CM$1=Inputs!$B$34,Inputs!$B$34,Inputs!$B$12*Inputs!$B$13/Inputs!$B$32)</f>
        <v>0.4</v>
      </c>
      <c r="CN28" s="10" t="n">
        <f aca="false">IF(CN$1=Inputs!$B$34,Inputs!$B$34,Inputs!$B$12*Inputs!$B$13/Inputs!$B$32)</f>
        <v>0.4</v>
      </c>
      <c r="CO28" s="10" t="n">
        <f aca="false">IF(CO$1=Inputs!$B$34,Inputs!$B$34,Inputs!$B$12*Inputs!$B$13/Inputs!$B$32)</f>
        <v>0.4</v>
      </c>
      <c r="CP28" s="10" t="n">
        <f aca="false">IF(CP$1=Inputs!$B$34,Inputs!$B$34,Inputs!$B$12*Inputs!$B$13/Inputs!$B$32)</f>
        <v>0.4</v>
      </c>
      <c r="CQ28" s="10" t="n">
        <f aca="false">IF(CQ$1=Inputs!$B$34,Inputs!$B$34,Inputs!$B$12*Inputs!$B$13/Inputs!$B$32)</f>
        <v>0.4</v>
      </c>
      <c r="CR28" s="10" t="n">
        <f aca="false">IF(CR$1=Inputs!$B$34,Inputs!$B$34,Inputs!$B$12*Inputs!$B$13/Inputs!$B$32)</f>
        <v>0.4</v>
      </c>
      <c r="CS28" s="10" t="n">
        <f aca="false">IF(CS$1=Inputs!$B$34,Inputs!$B$34,Inputs!$B$12*Inputs!$B$13/Inputs!$B$32)</f>
        <v>0.4</v>
      </c>
      <c r="CT28" s="10" t="n">
        <f aca="false">IF(CT$1=Inputs!$B$34,Inputs!$B$34,Inputs!$B$12*Inputs!$B$13/Inputs!$B$32)</f>
        <v>0.4</v>
      </c>
      <c r="CU28" s="10" t="n">
        <f aca="false">IF(CU$1=Inputs!$B$34,Inputs!$B$34,Inputs!$B$12*Inputs!$B$13/Inputs!$B$32)</f>
        <v>0.4</v>
      </c>
      <c r="CV28" s="10" t="n">
        <f aca="false">IF(CV$1=Inputs!$B$34,Inputs!$B$34,Inputs!$B$12*Inputs!$B$13/Inputs!$B$32)</f>
        <v>0.4</v>
      </c>
      <c r="CW28" s="10" t="n">
        <f aca="false">IF(CW$1=Inputs!$B$34,Inputs!$B$34,Inputs!$B$12*Inputs!$B$13/Inputs!$B$32)</f>
        <v>0.4</v>
      </c>
      <c r="CX28" s="10" t="n">
        <f aca="false">IF(CX$1=Inputs!$B$34,Inputs!$B$34,Inputs!$B$12*Inputs!$B$13/Inputs!$B$32)</f>
        <v>0.4</v>
      </c>
      <c r="CY28" s="10" t="n">
        <f aca="false">IF(CY$1=Inputs!$B$34,Inputs!$B$34,Inputs!$B$12*Inputs!$B$13/Inputs!$B$32)</f>
        <v>0.4</v>
      </c>
      <c r="CZ28" s="10" t="n">
        <f aca="false">IF(CZ$1=Inputs!$B$34,Inputs!$B$34,Inputs!$B$12*Inputs!$B$13/Inputs!$B$32)</f>
        <v>0.4</v>
      </c>
      <c r="DA28" s="10" t="n">
        <f aca="false">IF(DA$1=Inputs!$B$34,Inputs!$B$34,Inputs!$B$12*Inputs!$B$13/Inputs!$B$32)</f>
        <v>0.4</v>
      </c>
      <c r="DB28" s="10" t="n">
        <f aca="false">IF(DB$1=Inputs!$B$34,Inputs!$B$34,Inputs!$B$12*Inputs!$B$13/Inputs!$B$32)</f>
        <v>0.4</v>
      </c>
      <c r="DC28" s="10" t="n">
        <f aca="false">IF(DC$1=Inputs!$B$34,Inputs!$B$34,Inputs!$B$12*Inputs!$B$13/Inputs!$B$32)</f>
        <v>0.4</v>
      </c>
      <c r="DD28" s="10" t="n">
        <f aca="false">IF(DD$1=Inputs!$B$34,Inputs!$B$34,Inputs!$B$12*Inputs!$B$13/Inputs!$B$32)</f>
        <v>0.4</v>
      </c>
      <c r="DE28" s="10" t="n">
        <f aca="false">IF(DE$1=Inputs!$B$34,Inputs!$B$34,Inputs!$B$12*Inputs!$B$13/Inputs!$B$32)</f>
        <v>0.4</v>
      </c>
      <c r="DF28" s="10" t="n">
        <f aca="false">IF(DF$1=Inputs!$B$34,Inputs!$B$34,Inputs!$B$12*Inputs!$B$13/Inputs!$B$32)</f>
        <v>0.4</v>
      </c>
      <c r="DG28" s="10" t="n">
        <f aca="false">IF(DG$1=Inputs!$B$34,Inputs!$B$34,Inputs!$B$12*Inputs!$B$13/Inputs!$B$32)</f>
        <v>0.4</v>
      </c>
      <c r="DH28" s="10" t="n">
        <f aca="false">IF(DH$1=Inputs!$B$34,Inputs!$B$34,Inputs!$B$12*Inputs!$B$13/Inputs!$B$32)</f>
        <v>0.4</v>
      </c>
      <c r="DI28" s="10" t="n">
        <f aca="false">IF(DI$1=Inputs!$B$34,Inputs!$B$34,Inputs!$B$12*Inputs!$B$13/Inputs!$B$32)</f>
        <v>0.4</v>
      </c>
      <c r="DJ28" s="10" t="n">
        <f aca="false">IF(DJ$1=Inputs!$B$34,Inputs!$B$34,Inputs!$B$12*Inputs!$B$13/Inputs!$B$32)</f>
        <v>0.4</v>
      </c>
      <c r="DK28" s="10" t="n">
        <f aca="false">IF(DK$1=Inputs!$B$34,Inputs!$B$34,Inputs!$B$12*Inputs!$B$13/Inputs!$B$32)</f>
        <v>0.4</v>
      </c>
      <c r="DL28" s="10" t="n">
        <f aca="false">IF(DL$1=Inputs!$B$34,Inputs!$B$34,Inputs!$B$12*Inputs!$B$13/Inputs!$B$32)</f>
        <v>0.4</v>
      </c>
      <c r="DM28" s="10" t="n">
        <f aca="false">IF(DM$1=Inputs!$B$34,Inputs!$B$34,Inputs!$B$12*Inputs!$B$13/Inputs!$B$32)</f>
        <v>0.4</v>
      </c>
      <c r="DN28" s="10" t="n">
        <f aca="false">IF(DN$1=Inputs!$B$34,Inputs!$B$34,Inputs!$B$12*Inputs!$B$13/Inputs!$B$32)</f>
        <v>0.4</v>
      </c>
      <c r="DO28" s="10" t="n">
        <f aca="false">IF(DO$1=Inputs!$B$34,Inputs!$B$34,Inputs!$B$12*Inputs!$B$13/Inputs!$B$32)</f>
        <v>0.4</v>
      </c>
      <c r="DP28" s="10" t="n">
        <f aca="false">IF(DP$1=Inputs!$B$34,Inputs!$B$34,Inputs!$B$12*Inputs!$B$13/Inputs!$B$32)</f>
        <v>0.4</v>
      </c>
      <c r="DQ28" s="10" t="n">
        <f aca="false">IF(DQ$1=Inputs!$B$34,Inputs!$B$34,Inputs!$B$12*Inputs!$B$13/Inputs!$B$32)</f>
        <v>0.4</v>
      </c>
      <c r="DR28" s="10" t="n">
        <f aca="false">IF(DR$1=Inputs!$B$34,Inputs!$B$34,Inputs!$B$12*Inputs!$B$13/Inputs!$B$32)</f>
        <v>0.4</v>
      </c>
    </row>
    <row r="29" customFormat="false" ht="15" hidden="false" customHeight="false" outlineLevel="0" collapsed="false">
      <c r="A29" s="9" t="s">
        <v>198</v>
      </c>
      <c r="B29" s="10" t="n">
        <f aca="false">IF(B$1=Inputs!$B$34,Inputs!$B$34,Inputs!$B$14)</f>
        <v>0</v>
      </c>
      <c r="C29" s="10" t="n">
        <f aca="false">IF(C$1=Inputs!$B$34,Inputs!$B$34,Inputs!$B$14)</f>
        <v>0.15</v>
      </c>
      <c r="D29" s="10" t="n">
        <f aca="false">IF(D$1=Inputs!$B$34,Inputs!$B$34,Inputs!$B$14)</f>
        <v>0.15</v>
      </c>
      <c r="E29" s="10" t="n">
        <f aca="false">IF(E$1=Inputs!$B$34,Inputs!$B$34,Inputs!$B$14)</f>
        <v>0.15</v>
      </c>
      <c r="F29" s="10" t="n">
        <f aca="false">IF(F$1=Inputs!$B$34,Inputs!$B$34,Inputs!$B$14)</f>
        <v>0.15</v>
      </c>
      <c r="G29" s="10" t="n">
        <f aca="false">IF(G$1=Inputs!$B$34,Inputs!$B$34,Inputs!$B$14)</f>
        <v>0.15</v>
      </c>
      <c r="H29" s="10" t="n">
        <f aca="false">IF(H$1=Inputs!$B$34,Inputs!$B$34,Inputs!$B$14)</f>
        <v>0.15</v>
      </c>
      <c r="I29" s="10" t="n">
        <f aca="false">IF(I$1=Inputs!$B$34,Inputs!$B$34,Inputs!$B$14)</f>
        <v>0.15</v>
      </c>
      <c r="J29" s="10" t="n">
        <f aca="false">IF(J$1=Inputs!$B$34,Inputs!$B$34,Inputs!$B$14)</f>
        <v>0.15</v>
      </c>
      <c r="K29" s="10" t="n">
        <f aca="false">IF(K$1=Inputs!$B$34,Inputs!$B$34,Inputs!$B$14)</f>
        <v>0.15</v>
      </c>
      <c r="L29" s="10" t="n">
        <f aca="false">IF(L$1=Inputs!$B$34,Inputs!$B$34,Inputs!$B$14)</f>
        <v>0.15</v>
      </c>
      <c r="M29" s="10" t="n">
        <f aca="false">IF(M$1=Inputs!$B$34,Inputs!$B$34,Inputs!$B$14)</f>
        <v>0.15</v>
      </c>
      <c r="N29" s="10" t="n">
        <f aca="false">IF(N$1=Inputs!$B$34,Inputs!$B$34,Inputs!$B$14)</f>
        <v>0.15</v>
      </c>
      <c r="O29" s="10" t="n">
        <f aca="false">IF(O$1=Inputs!$B$34,Inputs!$B$34,Inputs!$B$14)</f>
        <v>0.15</v>
      </c>
      <c r="P29" s="10" t="n">
        <f aca="false">IF(P$1=Inputs!$B$34,Inputs!$B$34,Inputs!$B$14)</f>
        <v>0.15</v>
      </c>
      <c r="Q29" s="10" t="n">
        <f aca="false">IF(Q$1=Inputs!$B$34,Inputs!$B$34,Inputs!$B$14)</f>
        <v>0.15</v>
      </c>
      <c r="R29" s="10" t="n">
        <f aca="false">IF(R$1=Inputs!$B$34,Inputs!$B$34,Inputs!$B$14)</f>
        <v>0.15</v>
      </c>
      <c r="S29" s="10" t="n">
        <f aca="false">IF(S$1=Inputs!$B$34,Inputs!$B$34,Inputs!$B$14)</f>
        <v>0.15</v>
      </c>
      <c r="T29" s="10" t="n">
        <f aca="false">IF(T$1=Inputs!$B$34,Inputs!$B$34,Inputs!$B$14)</f>
        <v>0.15</v>
      </c>
      <c r="U29" s="10" t="n">
        <f aca="false">IF(U$1=Inputs!$B$34,Inputs!$B$34,Inputs!$B$14)</f>
        <v>0.15</v>
      </c>
      <c r="V29" s="10" t="n">
        <f aca="false">IF(V$1=Inputs!$B$34,Inputs!$B$34,Inputs!$B$14)</f>
        <v>0.15</v>
      </c>
      <c r="W29" s="10" t="n">
        <f aca="false">IF(W$1=Inputs!$B$34,Inputs!$B$34,Inputs!$B$14)</f>
        <v>0.15</v>
      </c>
      <c r="X29" s="10" t="n">
        <f aca="false">IF(X$1=Inputs!$B$34,Inputs!$B$34,Inputs!$B$14)</f>
        <v>0.15</v>
      </c>
      <c r="Y29" s="10" t="n">
        <f aca="false">IF(Y$1=Inputs!$B$34,Inputs!$B$34,Inputs!$B$14)</f>
        <v>0.15</v>
      </c>
      <c r="Z29" s="10" t="n">
        <f aca="false">IF(Z$1=Inputs!$B$34,Inputs!$B$34,Inputs!$B$14)</f>
        <v>0.15</v>
      </c>
      <c r="AA29" s="10" t="n">
        <f aca="false">IF(AA$1=Inputs!$B$34,Inputs!$B$34,Inputs!$B$14)</f>
        <v>0.15</v>
      </c>
      <c r="AB29" s="10" t="n">
        <f aca="false">IF(AB$1=Inputs!$B$34,Inputs!$B$34,Inputs!$B$14)</f>
        <v>0.15</v>
      </c>
      <c r="AC29" s="10" t="n">
        <f aca="false">IF(AC$1=Inputs!$B$34,Inputs!$B$34,Inputs!$B$14)</f>
        <v>0.15</v>
      </c>
      <c r="AD29" s="10" t="n">
        <f aca="false">IF(AD$1=Inputs!$B$34,Inputs!$B$34,Inputs!$B$14)</f>
        <v>0.15</v>
      </c>
      <c r="AE29" s="10" t="n">
        <f aca="false">IF(AE$1=Inputs!$B$34,Inputs!$B$34,Inputs!$B$14)</f>
        <v>0.15</v>
      </c>
      <c r="AF29" s="10" t="n">
        <f aca="false">IF(AF$1=Inputs!$B$34,Inputs!$B$34,Inputs!$B$14)</f>
        <v>0.15</v>
      </c>
      <c r="AG29" s="10" t="n">
        <f aca="false">IF(AG$1=Inputs!$B$34,Inputs!$B$34,Inputs!$B$14)</f>
        <v>0.15</v>
      </c>
      <c r="AH29" s="10" t="n">
        <f aca="false">IF(AH$1=Inputs!$B$34,Inputs!$B$34,Inputs!$B$14)</f>
        <v>0.15</v>
      </c>
      <c r="AI29" s="10" t="n">
        <f aca="false">IF(AI$1=Inputs!$B$34,Inputs!$B$34,Inputs!$B$14)</f>
        <v>0.15</v>
      </c>
      <c r="AJ29" s="10" t="n">
        <f aca="false">IF(AJ$1=Inputs!$B$34,Inputs!$B$34,Inputs!$B$14)</f>
        <v>0.15</v>
      </c>
      <c r="AK29" s="10" t="n">
        <f aca="false">IF(AK$1=Inputs!$B$34,Inputs!$B$34,Inputs!$B$14)</f>
        <v>0.15</v>
      </c>
      <c r="AL29" s="10" t="n">
        <f aca="false">IF(AL$1=Inputs!$B$34,Inputs!$B$34,Inputs!$B$14)</f>
        <v>0.15</v>
      </c>
      <c r="AM29" s="10" t="n">
        <f aca="false">IF(AM$1=Inputs!$B$34,Inputs!$B$34,Inputs!$B$14)</f>
        <v>0.15</v>
      </c>
      <c r="AN29" s="10" t="n">
        <f aca="false">IF(AN$1=Inputs!$B$34,Inputs!$B$34,Inputs!$B$14)</f>
        <v>0.15</v>
      </c>
      <c r="AO29" s="10" t="n">
        <f aca="false">IF(AO$1=Inputs!$B$34,Inputs!$B$34,Inputs!$B$14)</f>
        <v>0.15</v>
      </c>
      <c r="AP29" s="10" t="n">
        <f aca="false">IF(AP$1=Inputs!$B$34,Inputs!$B$34,Inputs!$B$14)</f>
        <v>0.15</v>
      </c>
      <c r="AQ29" s="10" t="n">
        <f aca="false">IF(AQ$1=Inputs!$B$34,Inputs!$B$34,Inputs!$B$14)</f>
        <v>0.15</v>
      </c>
      <c r="AR29" s="10" t="n">
        <f aca="false">IF(AR$1=Inputs!$B$34,Inputs!$B$34,Inputs!$B$14)</f>
        <v>0.15</v>
      </c>
      <c r="AS29" s="10" t="n">
        <f aca="false">IF(AS$1=Inputs!$B$34,Inputs!$B$34,Inputs!$B$14)</f>
        <v>0.15</v>
      </c>
      <c r="AT29" s="10" t="n">
        <f aca="false">IF(AT$1=Inputs!$B$34,Inputs!$B$34,Inputs!$B$14)</f>
        <v>0.15</v>
      </c>
      <c r="AU29" s="10" t="n">
        <f aca="false">IF(AU$1=Inputs!$B$34,Inputs!$B$34,Inputs!$B$14)</f>
        <v>0.15</v>
      </c>
      <c r="AV29" s="10" t="n">
        <f aca="false">IF(AV$1=Inputs!$B$34,Inputs!$B$34,Inputs!$B$14)</f>
        <v>0.15</v>
      </c>
      <c r="AW29" s="10" t="n">
        <f aca="false">IF(AW$1=Inputs!$B$34,Inputs!$B$34,Inputs!$B$14)</f>
        <v>0.15</v>
      </c>
      <c r="AX29" s="10" t="n">
        <f aca="false">IF(AX$1=Inputs!$B$34,Inputs!$B$34,Inputs!$B$14)</f>
        <v>0.15</v>
      </c>
      <c r="AY29" s="10" t="n">
        <f aca="false">IF(AY$1=Inputs!$B$34,Inputs!$B$34,Inputs!$B$14)</f>
        <v>0.15</v>
      </c>
      <c r="AZ29" s="10" t="n">
        <f aca="false">IF(AZ$1=Inputs!$B$34,Inputs!$B$34,Inputs!$B$14)</f>
        <v>0.15</v>
      </c>
      <c r="BA29" s="10" t="n">
        <f aca="false">IF(BA$1=Inputs!$B$34,Inputs!$B$34,Inputs!$B$14)</f>
        <v>0.15</v>
      </c>
      <c r="BB29" s="10" t="n">
        <f aca="false">IF(BB$1=Inputs!$B$34,Inputs!$B$34,Inputs!$B$14)</f>
        <v>0.15</v>
      </c>
      <c r="BC29" s="10" t="n">
        <f aca="false">IF(BC$1=Inputs!$B$34,Inputs!$B$34,Inputs!$B$14)</f>
        <v>0.15</v>
      </c>
      <c r="BD29" s="10" t="n">
        <f aca="false">IF(BD$1=Inputs!$B$34,Inputs!$B$34,Inputs!$B$14)</f>
        <v>0.15</v>
      </c>
      <c r="BE29" s="10" t="n">
        <f aca="false">IF(BE$1=Inputs!$B$34,Inputs!$B$34,Inputs!$B$14)</f>
        <v>0.15</v>
      </c>
      <c r="BF29" s="10" t="n">
        <f aca="false">IF(BF$1=Inputs!$B$34,Inputs!$B$34,Inputs!$B$14)</f>
        <v>0.15</v>
      </c>
      <c r="BG29" s="10" t="n">
        <f aca="false">IF(BG$1=Inputs!$B$34,Inputs!$B$34,Inputs!$B$14)</f>
        <v>0.15</v>
      </c>
      <c r="BH29" s="10" t="n">
        <f aca="false">IF(BH$1=Inputs!$B$34,Inputs!$B$34,Inputs!$B$14)</f>
        <v>0.15</v>
      </c>
      <c r="BI29" s="10" t="n">
        <f aca="false">IF(BI$1=Inputs!$B$34,Inputs!$B$34,Inputs!$B$14)</f>
        <v>0.15</v>
      </c>
      <c r="BJ29" s="10" t="n">
        <f aca="false">IF(BJ$1=Inputs!$B$34,Inputs!$B$34,Inputs!$B$14)</f>
        <v>0.15</v>
      </c>
      <c r="BK29" s="10" t="n">
        <f aca="false">IF(BK$1=Inputs!$B$34,Inputs!$B$34,Inputs!$B$14)</f>
        <v>0.15</v>
      </c>
      <c r="BL29" s="10" t="n">
        <f aca="false">IF(BL$1=Inputs!$B$34,Inputs!$B$34,Inputs!$B$14)</f>
        <v>0.15</v>
      </c>
      <c r="BM29" s="10" t="n">
        <f aca="false">IF(BM$1=Inputs!$B$34,Inputs!$B$34,Inputs!$B$14)</f>
        <v>0.15</v>
      </c>
      <c r="BN29" s="10" t="n">
        <f aca="false">IF(BN$1=Inputs!$B$34,Inputs!$B$34,Inputs!$B$14)</f>
        <v>0.15</v>
      </c>
      <c r="BO29" s="10" t="n">
        <f aca="false">IF(BO$1=Inputs!$B$34,Inputs!$B$34,Inputs!$B$14)</f>
        <v>0.15</v>
      </c>
      <c r="BP29" s="10" t="n">
        <f aca="false">IF(BP$1=Inputs!$B$34,Inputs!$B$34,Inputs!$B$14)</f>
        <v>0.15</v>
      </c>
      <c r="BQ29" s="10" t="n">
        <f aca="false">IF(BQ$1=Inputs!$B$34,Inputs!$B$34,Inputs!$B$14)</f>
        <v>0.15</v>
      </c>
      <c r="BR29" s="10" t="n">
        <f aca="false">IF(BR$1=Inputs!$B$34,Inputs!$B$34,Inputs!$B$14)</f>
        <v>0.15</v>
      </c>
      <c r="BS29" s="10" t="n">
        <f aca="false">IF(BS$1=Inputs!$B$34,Inputs!$B$34,Inputs!$B$14)</f>
        <v>0.15</v>
      </c>
      <c r="BT29" s="10" t="n">
        <f aca="false">IF(BT$1=Inputs!$B$34,Inputs!$B$34,Inputs!$B$14)</f>
        <v>0.15</v>
      </c>
      <c r="BU29" s="10" t="n">
        <f aca="false">IF(BU$1=Inputs!$B$34,Inputs!$B$34,Inputs!$B$14)</f>
        <v>0.15</v>
      </c>
      <c r="BV29" s="10" t="n">
        <f aca="false">IF(BV$1=Inputs!$B$34,Inputs!$B$34,Inputs!$B$14)</f>
        <v>0.15</v>
      </c>
      <c r="BW29" s="10" t="n">
        <f aca="false">IF(BW$1=Inputs!$B$34,Inputs!$B$34,Inputs!$B$14)</f>
        <v>0.15</v>
      </c>
      <c r="BX29" s="10" t="n">
        <f aca="false">IF(BX$1=Inputs!$B$34,Inputs!$B$34,Inputs!$B$14)</f>
        <v>0.15</v>
      </c>
      <c r="BY29" s="10" t="n">
        <f aca="false">IF(BY$1=Inputs!$B$34,Inputs!$B$34,Inputs!$B$14)</f>
        <v>0.15</v>
      </c>
      <c r="BZ29" s="10" t="n">
        <f aca="false">IF(BZ$1=Inputs!$B$34,Inputs!$B$34,Inputs!$B$14)</f>
        <v>0.15</v>
      </c>
      <c r="CA29" s="10" t="n">
        <f aca="false">IF(CA$1=Inputs!$B$34,Inputs!$B$34,Inputs!$B$14)</f>
        <v>0.15</v>
      </c>
      <c r="CB29" s="10" t="n">
        <f aca="false">IF(CB$1=Inputs!$B$34,Inputs!$B$34,Inputs!$B$14)</f>
        <v>0.15</v>
      </c>
      <c r="CC29" s="10" t="n">
        <f aca="false">IF(CC$1=Inputs!$B$34,Inputs!$B$34,Inputs!$B$14)</f>
        <v>0.15</v>
      </c>
      <c r="CD29" s="10" t="n">
        <f aca="false">IF(CD$1=Inputs!$B$34,Inputs!$B$34,Inputs!$B$14)</f>
        <v>0.15</v>
      </c>
      <c r="CE29" s="10" t="n">
        <f aca="false">IF(CE$1=Inputs!$B$34,Inputs!$B$34,Inputs!$B$14)</f>
        <v>0.15</v>
      </c>
      <c r="CF29" s="10" t="n">
        <f aca="false">IF(CF$1=Inputs!$B$34,Inputs!$B$34,Inputs!$B$14)</f>
        <v>0.15</v>
      </c>
      <c r="CG29" s="10" t="n">
        <f aca="false">IF(CG$1=Inputs!$B$34,Inputs!$B$34,Inputs!$B$14)</f>
        <v>0.15</v>
      </c>
      <c r="CH29" s="10" t="n">
        <f aca="false">IF(CH$1=Inputs!$B$34,Inputs!$B$34,Inputs!$B$14)</f>
        <v>0.15</v>
      </c>
      <c r="CI29" s="10" t="n">
        <f aca="false">IF(CI$1=Inputs!$B$34,Inputs!$B$34,Inputs!$B$14)</f>
        <v>0.15</v>
      </c>
      <c r="CJ29" s="10" t="n">
        <f aca="false">IF(CJ$1=Inputs!$B$34,Inputs!$B$34,Inputs!$B$14)</f>
        <v>0.15</v>
      </c>
      <c r="CK29" s="10" t="n">
        <f aca="false">IF(CK$1=Inputs!$B$34,Inputs!$B$34,Inputs!$B$14)</f>
        <v>0.15</v>
      </c>
      <c r="CL29" s="10" t="n">
        <f aca="false">IF(CL$1=Inputs!$B$34,Inputs!$B$34,Inputs!$B$14)</f>
        <v>0.15</v>
      </c>
      <c r="CM29" s="10" t="n">
        <f aca="false">IF(CM$1=Inputs!$B$34,Inputs!$B$34,Inputs!$B$14)</f>
        <v>0.15</v>
      </c>
      <c r="CN29" s="10" t="n">
        <f aca="false">IF(CN$1=Inputs!$B$34,Inputs!$B$34,Inputs!$B$14)</f>
        <v>0.15</v>
      </c>
      <c r="CO29" s="10" t="n">
        <f aca="false">IF(CO$1=Inputs!$B$34,Inputs!$B$34,Inputs!$B$14)</f>
        <v>0.15</v>
      </c>
      <c r="CP29" s="10" t="n">
        <f aca="false">IF(CP$1=Inputs!$B$34,Inputs!$B$34,Inputs!$B$14)</f>
        <v>0.15</v>
      </c>
      <c r="CQ29" s="10" t="n">
        <f aca="false">IF(CQ$1=Inputs!$B$34,Inputs!$B$34,Inputs!$B$14)</f>
        <v>0.15</v>
      </c>
      <c r="CR29" s="10" t="n">
        <f aca="false">IF(CR$1=Inputs!$B$34,Inputs!$B$34,Inputs!$B$14)</f>
        <v>0.15</v>
      </c>
      <c r="CS29" s="10" t="n">
        <f aca="false">IF(CS$1=Inputs!$B$34,Inputs!$B$34,Inputs!$B$14)</f>
        <v>0.15</v>
      </c>
      <c r="CT29" s="10" t="n">
        <f aca="false">IF(CT$1=Inputs!$B$34,Inputs!$B$34,Inputs!$B$14)</f>
        <v>0.15</v>
      </c>
      <c r="CU29" s="10" t="n">
        <f aca="false">IF(CU$1=Inputs!$B$34,Inputs!$B$34,Inputs!$B$14)</f>
        <v>0.15</v>
      </c>
      <c r="CV29" s="10" t="n">
        <f aca="false">IF(CV$1=Inputs!$B$34,Inputs!$B$34,Inputs!$B$14)</f>
        <v>0.15</v>
      </c>
      <c r="CW29" s="10" t="n">
        <f aca="false">IF(CW$1=Inputs!$B$34,Inputs!$B$34,Inputs!$B$14)</f>
        <v>0.15</v>
      </c>
      <c r="CX29" s="10" t="n">
        <f aca="false">IF(CX$1=Inputs!$B$34,Inputs!$B$34,Inputs!$B$14)</f>
        <v>0.15</v>
      </c>
      <c r="CY29" s="10" t="n">
        <f aca="false">IF(CY$1=Inputs!$B$34,Inputs!$B$34,Inputs!$B$14)</f>
        <v>0.15</v>
      </c>
      <c r="CZ29" s="10" t="n">
        <f aca="false">IF(CZ$1=Inputs!$B$34,Inputs!$B$34,Inputs!$B$14)</f>
        <v>0.15</v>
      </c>
      <c r="DA29" s="10" t="n">
        <f aca="false">IF(DA$1=Inputs!$B$34,Inputs!$B$34,Inputs!$B$14)</f>
        <v>0.15</v>
      </c>
      <c r="DB29" s="10" t="n">
        <f aca="false">IF(DB$1=Inputs!$B$34,Inputs!$B$34,Inputs!$B$14)</f>
        <v>0.15</v>
      </c>
      <c r="DC29" s="10" t="n">
        <f aca="false">IF(DC$1=Inputs!$B$34,Inputs!$B$34,Inputs!$B$14)</f>
        <v>0.15</v>
      </c>
      <c r="DD29" s="10" t="n">
        <f aca="false">IF(DD$1=Inputs!$B$34,Inputs!$B$34,Inputs!$B$14)</f>
        <v>0.15</v>
      </c>
      <c r="DE29" s="10" t="n">
        <f aca="false">IF(DE$1=Inputs!$B$34,Inputs!$B$34,Inputs!$B$14)</f>
        <v>0.15</v>
      </c>
      <c r="DF29" s="10" t="n">
        <f aca="false">IF(DF$1=Inputs!$B$34,Inputs!$B$34,Inputs!$B$14)</f>
        <v>0.15</v>
      </c>
      <c r="DG29" s="10" t="n">
        <f aca="false">IF(DG$1=Inputs!$B$34,Inputs!$B$34,Inputs!$B$14)</f>
        <v>0.15</v>
      </c>
      <c r="DH29" s="10" t="n">
        <f aca="false">IF(DH$1=Inputs!$B$34,Inputs!$B$34,Inputs!$B$14)</f>
        <v>0.15</v>
      </c>
      <c r="DI29" s="10" t="n">
        <f aca="false">IF(DI$1=Inputs!$B$34,Inputs!$B$34,Inputs!$B$14)</f>
        <v>0.15</v>
      </c>
      <c r="DJ29" s="10" t="n">
        <f aca="false">IF(DJ$1=Inputs!$B$34,Inputs!$B$34,Inputs!$B$14)</f>
        <v>0.15</v>
      </c>
      <c r="DK29" s="10" t="n">
        <f aca="false">IF(DK$1=Inputs!$B$34,Inputs!$B$34,Inputs!$B$14)</f>
        <v>0.15</v>
      </c>
      <c r="DL29" s="10" t="n">
        <f aca="false">IF(DL$1=Inputs!$B$34,Inputs!$B$34,Inputs!$B$14)</f>
        <v>0.15</v>
      </c>
      <c r="DM29" s="10" t="n">
        <f aca="false">IF(DM$1=Inputs!$B$34,Inputs!$B$34,Inputs!$B$14)</f>
        <v>0.15</v>
      </c>
      <c r="DN29" s="10" t="n">
        <f aca="false">IF(DN$1=Inputs!$B$34,Inputs!$B$34,Inputs!$B$14)</f>
        <v>0.15</v>
      </c>
      <c r="DO29" s="10" t="n">
        <f aca="false">IF(DO$1=Inputs!$B$34,Inputs!$B$34,Inputs!$B$14)</f>
        <v>0.15</v>
      </c>
      <c r="DP29" s="10" t="n">
        <f aca="false">IF(DP$1=Inputs!$B$34,Inputs!$B$34,Inputs!$B$14)</f>
        <v>0.15</v>
      </c>
      <c r="DQ29" s="10" t="n">
        <f aca="false">IF(DQ$1=Inputs!$B$34,Inputs!$B$34,Inputs!$B$14)</f>
        <v>0.15</v>
      </c>
      <c r="DR29" s="10" t="n">
        <f aca="false">IF(DR$1=Inputs!$B$34,Inputs!$B$34,Inputs!$B$14)</f>
        <v>0.15</v>
      </c>
    </row>
    <row r="30" customFormat="false" ht="15" hidden="false" customHeight="false" outlineLevel="0" collapsed="false">
      <c r="A30" s="9" t="s">
        <v>199</v>
      </c>
      <c r="B30" s="10" t="n">
        <f aca="false">B19*Inputs!$B$15</f>
        <v>0</v>
      </c>
      <c r="C30" s="10" t="n">
        <f aca="false">C19*Inputs!$B$15</f>
        <v>2.8</v>
      </c>
      <c r="D30" s="10" t="n">
        <f aca="false">D19*Inputs!$B$15</f>
        <v>2.8</v>
      </c>
      <c r="E30" s="10" t="n">
        <f aca="false">E19*Inputs!$B$15</f>
        <v>2.8</v>
      </c>
      <c r="F30" s="10" t="n">
        <f aca="false">F19*Inputs!$B$15</f>
        <v>2.8</v>
      </c>
      <c r="G30" s="10" t="n">
        <f aca="false">G19*Inputs!$B$15</f>
        <v>2.8</v>
      </c>
      <c r="H30" s="10" t="n">
        <f aca="false">H19*Inputs!$B$15</f>
        <v>2.8</v>
      </c>
      <c r="I30" s="10" t="n">
        <f aca="false">I19*Inputs!$B$15</f>
        <v>2.8</v>
      </c>
      <c r="J30" s="10" t="n">
        <f aca="false">J19*Inputs!$B$15</f>
        <v>2.8</v>
      </c>
      <c r="K30" s="10" t="n">
        <f aca="false">K19*Inputs!$B$15</f>
        <v>2.8</v>
      </c>
      <c r="L30" s="10" t="n">
        <f aca="false">L19*Inputs!$B$15</f>
        <v>2.8</v>
      </c>
      <c r="M30" s="10" t="n">
        <f aca="false">M19*Inputs!$B$15</f>
        <v>2.8</v>
      </c>
      <c r="N30" s="10" t="n">
        <f aca="false">N19*Inputs!$B$15</f>
        <v>2.8</v>
      </c>
      <c r="O30" s="10" t="n">
        <f aca="false">O19*Inputs!$B$15</f>
        <v>2.8</v>
      </c>
      <c r="P30" s="10" t="n">
        <f aca="false">P19*Inputs!$B$15</f>
        <v>2.8</v>
      </c>
      <c r="Q30" s="10" t="n">
        <f aca="false">Q19*Inputs!$B$15</f>
        <v>2.8</v>
      </c>
      <c r="R30" s="10" t="n">
        <f aca="false">R19*Inputs!$B$15</f>
        <v>2.8</v>
      </c>
      <c r="S30" s="10" t="n">
        <f aca="false">S19*Inputs!$B$15</f>
        <v>2.8</v>
      </c>
      <c r="T30" s="10" t="n">
        <f aca="false">T19*Inputs!$B$15</f>
        <v>2.8</v>
      </c>
      <c r="U30" s="10" t="n">
        <f aca="false">U19*Inputs!$B$15</f>
        <v>2.8</v>
      </c>
      <c r="V30" s="10" t="n">
        <f aca="false">V19*Inputs!$B$15</f>
        <v>2.8</v>
      </c>
      <c r="W30" s="10" t="n">
        <f aca="false">W19*Inputs!$B$15</f>
        <v>2.8</v>
      </c>
      <c r="X30" s="10" t="n">
        <f aca="false">X19*Inputs!$B$15</f>
        <v>2.8</v>
      </c>
      <c r="Y30" s="10" t="n">
        <f aca="false">Y19*Inputs!$B$15</f>
        <v>2.8</v>
      </c>
      <c r="Z30" s="10" t="n">
        <f aca="false">Z19*Inputs!$B$15</f>
        <v>2.8</v>
      </c>
      <c r="AA30" s="10" t="n">
        <f aca="false">AA19*Inputs!$B$15</f>
        <v>2.8</v>
      </c>
      <c r="AB30" s="10" t="n">
        <f aca="false">AB19*Inputs!$B$15</f>
        <v>2.8</v>
      </c>
      <c r="AC30" s="10" t="n">
        <f aca="false">AC19*Inputs!$B$15</f>
        <v>2.8</v>
      </c>
      <c r="AD30" s="10" t="n">
        <f aca="false">AD19*Inputs!$B$15</f>
        <v>2.8</v>
      </c>
      <c r="AE30" s="10" t="n">
        <f aca="false">AE19*Inputs!$B$15</f>
        <v>2.8</v>
      </c>
      <c r="AF30" s="10" t="n">
        <f aca="false">AF19*Inputs!$B$15</f>
        <v>2.8</v>
      </c>
      <c r="AG30" s="10" t="n">
        <f aca="false">AG19*Inputs!$B$15</f>
        <v>2.8</v>
      </c>
      <c r="AH30" s="10" t="n">
        <f aca="false">AH19*Inputs!$B$15</f>
        <v>2.8</v>
      </c>
      <c r="AI30" s="10" t="n">
        <f aca="false">AI19*Inputs!$B$15</f>
        <v>2.8</v>
      </c>
      <c r="AJ30" s="10" t="n">
        <f aca="false">AJ19*Inputs!$B$15</f>
        <v>2.8</v>
      </c>
      <c r="AK30" s="10" t="n">
        <f aca="false">AK19*Inputs!$B$15</f>
        <v>2.8</v>
      </c>
      <c r="AL30" s="10" t="n">
        <f aca="false">AL19*Inputs!$B$15</f>
        <v>2.8</v>
      </c>
      <c r="AM30" s="10" t="n">
        <f aca="false">AM19*Inputs!$B$15</f>
        <v>2.8</v>
      </c>
      <c r="AN30" s="10" t="n">
        <f aca="false">AN19*Inputs!$B$15</f>
        <v>2.8</v>
      </c>
      <c r="AO30" s="10" t="n">
        <f aca="false">AO19*Inputs!$B$15</f>
        <v>2.8</v>
      </c>
      <c r="AP30" s="10" t="n">
        <f aca="false">AP19*Inputs!$B$15</f>
        <v>2.8</v>
      </c>
      <c r="AQ30" s="10" t="n">
        <f aca="false">AQ19*Inputs!$B$15</f>
        <v>2.8</v>
      </c>
      <c r="AR30" s="10" t="n">
        <f aca="false">AR19*Inputs!$B$15</f>
        <v>2.8</v>
      </c>
      <c r="AS30" s="10" t="n">
        <f aca="false">AS19*Inputs!$B$15</f>
        <v>2.8</v>
      </c>
      <c r="AT30" s="10" t="n">
        <f aca="false">AT19*Inputs!$B$15</f>
        <v>2.8</v>
      </c>
      <c r="AU30" s="10" t="n">
        <f aca="false">AU19*Inputs!$B$15</f>
        <v>2.8</v>
      </c>
      <c r="AV30" s="10" t="n">
        <f aca="false">AV19*Inputs!$B$15</f>
        <v>2.8</v>
      </c>
      <c r="AW30" s="10" t="n">
        <f aca="false">AW19*Inputs!$B$15</f>
        <v>2.8</v>
      </c>
      <c r="AX30" s="10" t="n">
        <f aca="false">AX19*Inputs!$B$15</f>
        <v>2.8</v>
      </c>
      <c r="AY30" s="10" t="n">
        <f aca="false">AY19*Inputs!$B$15</f>
        <v>2.8</v>
      </c>
      <c r="AZ30" s="10" t="n">
        <f aca="false">AZ19*Inputs!$B$15</f>
        <v>2.8</v>
      </c>
      <c r="BA30" s="10" t="n">
        <f aca="false">BA19*Inputs!$B$15</f>
        <v>2.8</v>
      </c>
      <c r="BB30" s="10" t="n">
        <f aca="false">BB19*Inputs!$B$15</f>
        <v>2.8</v>
      </c>
      <c r="BC30" s="10" t="n">
        <f aca="false">BC19*Inputs!$B$15</f>
        <v>2.8</v>
      </c>
      <c r="BD30" s="10" t="n">
        <f aca="false">BD19*Inputs!$B$15</f>
        <v>2.8</v>
      </c>
      <c r="BE30" s="10" t="n">
        <f aca="false">BE19*Inputs!$B$15</f>
        <v>2.8</v>
      </c>
      <c r="BF30" s="10" t="n">
        <f aca="false">BF19*Inputs!$B$15</f>
        <v>2.8</v>
      </c>
      <c r="BG30" s="10" t="n">
        <f aca="false">BG19*Inputs!$B$15</f>
        <v>2.8</v>
      </c>
      <c r="BH30" s="10" t="n">
        <f aca="false">BH19*Inputs!$B$15</f>
        <v>2.8</v>
      </c>
      <c r="BI30" s="10" t="n">
        <f aca="false">BI19*Inputs!$B$15</f>
        <v>2.8</v>
      </c>
      <c r="BJ30" s="10" t="n">
        <f aca="false">BJ19*Inputs!$B$15</f>
        <v>2.8</v>
      </c>
      <c r="BK30" s="10" t="n">
        <f aca="false">BK19*Inputs!$B$15</f>
        <v>2.8</v>
      </c>
      <c r="BL30" s="10" t="n">
        <f aca="false">BL19*Inputs!$B$15</f>
        <v>2.8</v>
      </c>
      <c r="BM30" s="10" t="n">
        <f aca="false">BM19*Inputs!$B$15</f>
        <v>2.8</v>
      </c>
      <c r="BN30" s="10" t="n">
        <f aca="false">BN19*Inputs!$B$15</f>
        <v>2.8</v>
      </c>
      <c r="BO30" s="10" t="n">
        <f aca="false">BO19*Inputs!$B$15</f>
        <v>2.8</v>
      </c>
      <c r="BP30" s="10" t="n">
        <f aca="false">BP19*Inputs!$B$15</f>
        <v>2.8</v>
      </c>
      <c r="BQ30" s="10" t="n">
        <f aca="false">BQ19*Inputs!$B$15</f>
        <v>2.8</v>
      </c>
      <c r="BR30" s="10" t="n">
        <f aca="false">BR19*Inputs!$B$15</f>
        <v>2.8</v>
      </c>
      <c r="BS30" s="10" t="n">
        <f aca="false">BS19*Inputs!$B$15</f>
        <v>2.8</v>
      </c>
      <c r="BT30" s="10" t="n">
        <f aca="false">BT19*Inputs!$B$15</f>
        <v>2.8</v>
      </c>
      <c r="BU30" s="10" t="n">
        <f aca="false">BU19*Inputs!$B$15</f>
        <v>2.8</v>
      </c>
      <c r="BV30" s="10" t="n">
        <f aca="false">BV19*Inputs!$B$15</f>
        <v>2.8</v>
      </c>
      <c r="BW30" s="10" t="n">
        <f aca="false">BW19*Inputs!$B$15</f>
        <v>2.8</v>
      </c>
      <c r="BX30" s="10" t="n">
        <f aca="false">BX19*Inputs!$B$15</f>
        <v>2.8</v>
      </c>
      <c r="BY30" s="10" t="n">
        <f aca="false">BY19*Inputs!$B$15</f>
        <v>2.8</v>
      </c>
      <c r="BZ30" s="10" t="n">
        <f aca="false">BZ19*Inputs!$B$15</f>
        <v>2.8</v>
      </c>
      <c r="CA30" s="10" t="n">
        <f aca="false">CA19*Inputs!$B$15</f>
        <v>2.8</v>
      </c>
      <c r="CB30" s="10" t="n">
        <f aca="false">CB19*Inputs!$B$15</f>
        <v>2.8</v>
      </c>
      <c r="CC30" s="10" t="n">
        <f aca="false">CC19*Inputs!$B$15</f>
        <v>2.8</v>
      </c>
      <c r="CD30" s="10" t="n">
        <f aca="false">CD19*Inputs!$B$15</f>
        <v>2.8</v>
      </c>
      <c r="CE30" s="10" t="n">
        <f aca="false">CE19*Inputs!$B$15</f>
        <v>2.8</v>
      </c>
      <c r="CF30" s="10" t="n">
        <f aca="false">CF19*Inputs!$B$15</f>
        <v>2.8</v>
      </c>
      <c r="CG30" s="10" t="n">
        <f aca="false">CG19*Inputs!$B$15</f>
        <v>2.8</v>
      </c>
      <c r="CH30" s="10" t="n">
        <f aca="false">CH19*Inputs!$B$15</f>
        <v>2.8</v>
      </c>
      <c r="CI30" s="10" t="n">
        <f aca="false">CI19*Inputs!$B$15</f>
        <v>2.8</v>
      </c>
      <c r="CJ30" s="10" t="n">
        <f aca="false">CJ19*Inputs!$B$15</f>
        <v>2.8</v>
      </c>
      <c r="CK30" s="10" t="n">
        <f aca="false">CK19*Inputs!$B$15</f>
        <v>2.8</v>
      </c>
      <c r="CL30" s="10" t="n">
        <f aca="false">CL19*Inputs!$B$15</f>
        <v>2.8</v>
      </c>
      <c r="CM30" s="10" t="n">
        <f aca="false">CM19*Inputs!$B$15</f>
        <v>2.8</v>
      </c>
      <c r="CN30" s="10" t="n">
        <f aca="false">CN19*Inputs!$B$15</f>
        <v>2.8</v>
      </c>
      <c r="CO30" s="10" t="n">
        <f aca="false">CO19*Inputs!$B$15</f>
        <v>2.8</v>
      </c>
      <c r="CP30" s="10" t="n">
        <f aca="false">CP19*Inputs!$B$15</f>
        <v>2.8</v>
      </c>
      <c r="CQ30" s="10" t="n">
        <f aca="false">CQ19*Inputs!$B$15</f>
        <v>2.8</v>
      </c>
      <c r="CR30" s="10" t="n">
        <f aca="false">CR19*Inputs!$B$15</f>
        <v>2.8</v>
      </c>
      <c r="CS30" s="10" t="n">
        <f aca="false">CS19*Inputs!$B$15</f>
        <v>2.8</v>
      </c>
      <c r="CT30" s="10" t="n">
        <f aca="false">CT19*Inputs!$B$15</f>
        <v>2.8</v>
      </c>
      <c r="CU30" s="10" t="n">
        <f aca="false">CU19*Inputs!$B$15</f>
        <v>2.8</v>
      </c>
      <c r="CV30" s="10" t="n">
        <f aca="false">CV19*Inputs!$B$15</f>
        <v>2.8</v>
      </c>
      <c r="CW30" s="10" t="n">
        <f aca="false">CW19*Inputs!$B$15</f>
        <v>2.8</v>
      </c>
      <c r="CX30" s="10" t="n">
        <f aca="false">CX19*Inputs!$B$15</f>
        <v>2.8</v>
      </c>
      <c r="CY30" s="10" t="n">
        <f aca="false">CY19*Inputs!$B$15</f>
        <v>2.8</v>
      </c>
      <c r="CZ30" s="10" t="n">
        <f aca="false">CZ19*Inputs!$B$15</f>
        <v>2.8</v>
      </c>
      <c r="DA30" s="10" t="n">
        <f aca="false">DA19*Inputs!$B$15</f>
        <v>2.8</v>
      </c>
      <c r="DB30" s="10" t="n">
        <f aca="false">DB19*Inputs!$B$15</f>
        <v>2.8</v>
      </c>
      <c r="DC30" s="10" t="n">
        <f aca="false">DC19*Inputs!$B$15</f>
        <v>2.8</v>
      </c>
      <c r="DD30" s="10" t="n">
        <f aca="false">DD19*Inputs!$B$15</f>
        <v>2.8</v>
      </c>
      <c r="DE30" s="10" t="n">
        <f aca="false">DE19*Inputs!$B$15</f>
        <v>2.8</v>
      </c>
      <c r="DF30" s="10" t="n">
        <f aca="false">DF19*Inputs!$B$15</f>
        <v>2.8</v>
      </c>
      <c r="DG30" s="10" t="n">
        <f aca="false">DG19*Inputs!$B$15</f>
        <v>2.8</v>
      </c>
      <c r="DH30" s="10" t="n">
        <f aca="false">DH19*Inputs!$B$15</f>
        <v>2.8</v>
      </c>
      <c r="DI30" s="10" t="n">
        <f aca="false">DI19*Inputs!$B$15</f>
        <v>2.8</v>
      </c>
      <c r="DJ30" s="10" t="n">
        <f aca="false">DJ19*Inputs!$B$15</f>
        <v>2.8</v>
      </c>
      <c r="DK30" s="10" t="n">
        <f aca="false">DK19*Inputs!$B$15</f>
        <v>2.8</v>
      </c>
      <c r="DL30" s="10" t="n">
        <f aca="false">DL19*Inputs!$B$15</f>
        <v>2.8</v>
      </c>
      <c r="DM30" s="10" t="n">
        <f aca="false">DM19*Inputs!$B$15</f>
        <v>2.8</v>
      </c>
      <c r="DN30" s="10" t="n">
        <f aca="false">DN19*Inputs!$B$15</f>
        <v>2.8</v>
      </c>
      <c r="DO30" s="10" t="n">
        <f aca="false">DO19*Inputs!$B$15</f>
        <v>2.8</v>
      </c>
      <c r="DP30" s="10" t="n">
        <f aca="false">DP19*Inputs!$B$15</f>
        <v>2.8</v>
      </c>
      <c r="DQ30" s="10" t="n">
        <f aca="false">DQ19*Inputs!$B$15</f>
        <v>2.8</v>
      </c>
      <c r="DR30" s="10" t="n">
        <f aca="false">DR19*Inputs!$B$15</f>
        <v>2.8</v>
      </c>
    </row>
    <row r="31" customFormat="false" ht="15" hidden="false" customHeight="false" outlineLevel="0" collapsed="false">
      <c r="A31" s="9" t="s">
        <v>200</v>
      </c>
      <c r="B31" s="11" t="n">
        <f aca="false">SUM(B28:B30)</f>
        <v>0</v>
      </c>
      <c r="C31" s="11" t="n">
        <f aca="false">SUM(C28:C30)</f>
        <v>3.35</v>
      </c>
      <c r="D31" s="11" t="n">
        <f aca="false">SUM(D28:D30)</f>
        <v>3.35</v>
      </c>
      <c r="E31" s="11" t="n">
        <f aca="false">SUM(E28:E30)</f>
        <v>3.35</v>
      </c>
      <c r="F31" s="11" t="n">
        <f aca="false">SUM(F28:F30)</f>
        <v>3.35</v>
      </c>
      <c r="G31" s="11" t="n">
        <f aca="false">SUM(G28:G30)</f>
        <v>3.35</v>
      </c>
      <c r="H31" s="11" t="n">
        <f aca="false">SUM(H28:H30)</f>
        <v>3.35</v>
      </c>
      <c r="I31" s="11" t="n">
        <f aca="false">SUM(I28:I30)</f>
        <v>3.35</v>
      </c>
      <c r="J31" s="11" t="n">
        <f aca="false">SUM(J28:J30)</f>
        <v>3.35</v>
      </c>
      <c r="K31" s="11" t="n">
        <f aca="false">SUM(K28:K30)</f>
        <v>3.35</v>
      </c>
      <c r="L31" s="11" t="n">
        <f aca="false">SUM(L28:L30)</f>
        <v>3.35</v>
      </c>
      <c r="M31" s="11" t="n">
        <f aca="false">SUM(M28:M30)</f>
        <v>3.35</v>
      </c>
      <c r="N31" s="11" t="n">
        <f aca="false">SUM(N28:N30)</f>
        <v>3.35</v>
      </c>
      <c r="O31" s="11" t="n">
        <f aca="false">SUM(O28:O30)</f>
        <v>3.35</v>
      </c>
      <c r="P31" s="11" t="n">
        <f aca="false">SUM(P28:P30)</f>
        <v>3.35</v>
      </c>
      <c r="Q31" s="11" t="n">
        <f aca="false">SUM(Q28:Q30)</f>
        <v>3.35</v>
      </c>
      <c r="R31" s="11" t="n">
        <f aca="false">SUM(R28:R30)</f>
        <v>3.35</v>
      </c>
      <c r="S31" s="11" t="n">
        <f aca="false">SUM(S28:S30)</f>
        <v>3.35</v>
      </c>
      <c r="T31" s="11" t="n">
        <f aca="false">SUM(T28:T30)</f>
        <v>3.35</v>
      </c>
      <c r="U31" s="11" t="n">
        <f aca="false">SUM(U28:U30)</f>
        <v>3.35</v>
      </c>
      <c r="V31" s="11" t="n">
        <f aca="false">SUM(V28:V30)</f>
        <v>3.35</v>
      </c>
      <c r="W31" s="11" t="n">
        <f aca="false">SUM(W28:W30)</f>
        <v>3.35</v>
      </c>
      <c r="X31" s="11" t="n">
        <f aca="false">SUM(X28:X30)</f>
        <v>3.35</v>
      </c>
      <c r="Y31" s="11" t="n">
        <f aca="false">SUM(Y28:Y30)</f>
        <v>3.35</v>
      </c>
      <c r="Z31" s="11" t="n">
        <f aca="false">SUM(Z28:Z30)</f>
        <v>3.35</v>
      </c>
      <c r="AA31" s="11" t="n">
        <f aca="false">SUM(AA28:AA30)</f>
        <v>3.35</v>
      </c>
      <c r="AB31" s="11" t="n">
        <f aca="false">SUM(AB28:AB30)</f>
        <v>3.35</v>
      </c>
      <c r="AC31" s="11" t="n">
        <f aca="false">SUM(AC28:AC30)</f>
        <v>3.35</v>
      </c>
      <c r="AD31" s="11" t="n">
        <f aca="false">SUM(AD28:AD30)</f>
        <v>3.35</v>
      </c>
      <c r="AE31" s="11" t="n">
        <f aca="false">SUM(AE28:AE30)</f>
        <v>3.35</v>
      </c>
      <c r="AF31" s="11" t="n">
        <f aca="false">SUM(AF28:AF30)</f>
        <v>3.35</v>
      </c>
      <c r="AG31" s="11" t="n">
        <f aca="false">SUM(AG28:AG30)</f>
        <v>3.35</v>
      </c>
      <c r="AH31" s="11" t="n">
        <f aca="false">SUM(AH28:AH30)</f>
        <v>3.35</v>
      </c>
      <c r="AI31" s="11" t="n">
        <f aca="false">SUM(AI28:AI30)</f>
        <v>3.35</v>
      </c>
      <c r="AJ31" s="11" t="n">
        <f aca="false">SUM(AJ28:AJ30)</f>
        <v>3.35</v>
      </c>
      <c r="AK31" s="11" t="n">
        <f aca="false">SUM(AK28:AK30)</f>
        <v>3.35</v>
      </c>
      <c r="AL31" s="11" t="n">
        <f aca="false">SUM(AL28:AL30)</f>
        <v>3.35</v>
      </c>
      <c r="AM31" s="11" t="n">
        <f aca="false">SUM(AM28:AM30)</f>
        <v>3.35</v>
      </c>
      <c r="AN31" s="11" t="n">
        <f aca="false">SUM(AN28:AN30)</f>
        <v>3.35</v>
      </c>
      <c r="AO31" s="11" t="n">
        <f aca="false">SUM(AO28:AO30)</f>
        <v>3.35</v>
      </c>
      <c r="AP31" s="11" t="n">
        <f aca="false">SUM(AP28:AP30)</f>
        <v>3.35</v>
      </c>
      <c r="AQ31" s="11" t="n">
        <f aca="false">SUM(AQ28:AQ30)</f>
        <v>3.35</v>
      </c>
      <c r="AR31" s="11" t="n">
        <f aca="false">SUM(AR28:AR30)</f>
        <v>3.35</v>
      </c>
      <c r="AS31" s="11" t="n">
        <f aca="false">SUM(AS28:AS30)</f>
        <v>3.35</v>
      </c>
      <c r="AT31" s="11" t="n">
        <f aca="false">SUM(AT28:AT30)</f>
        <v>3.35</v>
      </c>
      <c r="AU31" s="11" t="n">
        <f aca="false">SUM(AU28:AU30)</f>
        <v>3.35</v>
      </c>
      <c r="AV31" s="11" t="n">
        <f aca="false">SUM(AV28:AV30)</f>
        <v>3.35</v>
      </c>
      <c r="AW31" s="11" t="n">
        <f aca="false">SUM(AW28:AW30)</f>
        <v>3.35</v>
      </c>
      <c r="AX31" s="11" t="n">
        <f aca="false">SUM(AX28:AX30)</f>
        <v>3.35</v>
      </c>
      <c r="AY31" s="11" t="n">
        <f aca="false">SUM(AY28:AY30)</f>
        <v>3.35</v>
      </c>
      <c r="AZ31" s="11" t="n">
        <f aca="false">SUM(AZ28:AZ30)</f>
        <v>3.35</v>
      </c>
      <c r="BA31" s="11" t="n">
        <f aca="false">SUM(BA28:BA30)</f>
        <v>3.35</v>
      </c>
      <c r="BB31" s="11" t="n">
        <f aca="false">SUM(BB28:BB30)</f>
        <v>3.35</v>
      </c>
      <c r="BC31" s="11" t="n">
        <f aca="false">SUM(BC28:BC30)</f>
        <v>3.35</v>
      </c>
      <c r="BD31" s="11" t="n">
        <f aca="false">SUM(BD28:BD30)</f>
        <v>3.35</v>
      </c>
      <c r="BE31" s="11" t="n">
        <f aca="false">SUM(BE28:BE30)</f>
        <v>3.35</v>
      </c>
      <c r="BF31" s="11" t="n">
        <f aca="false">SUM(BF28:BF30)</f>
        <v>3.35</v>
      </c>
      <c r="BG31" s="11" t="n">
        <f aca="false">SUM(BG28:BG30)</f>
        <v>3.35</v>
      </c>
      <c r="BH31" s="11" t="n">
        <f aca="false">SUM(BH28:BH30)</f>
        <v>3.35</v>
      </c>
      <c r="BI31" s="11" t="n">
        <f aca="false">SUM(BI28:BI30)</f>
        <v>3.35</v>
      </c>
      <c r="BJ31" s="11" t="n">
        <f aca="false">SUM(BJ28:BJ30)</f>
        <v>3.35</v>
      </c>
      <c r="BK31" s="11" t="n">
        <f aca="false">SUM(BK28:BK30)</f>
        <v>3.35</v>
      </c>
      <c r="BL31" s="11" t="n">
        <f aca="false">SUM(BL28:BL30)</f>
        <v>3.35</v>
      </c>
      <c r="BM31" s="11" t="n">
        <f aca="false">SUM(BM28:BM30)</f>
        <v>3.35</v>
      </c>
      <c r="BN31" s="11" t="n">
        <f aca="false">SUM(BN28:BN30)</f>
        <v>3.35</v>
      </c>
      <c r="BO31" s="11" t="n">
        <f aca="false">SUM(BO28:BO30)</f>
        <v>3.35</v>
      </c>
      <c r="BP31" s="11" t="n">
        <f aca="false">SUM(BP28:BP30)</f>
        <v>3.35</v>
      </c>
      <c r="BQ31" s="11" t="n">
        <f aca="false">SUM(BQ28:BQ30)</f>
        <v>3.35</v>
      </c>
      <c r="BR31" s="11" t="n">
        <f aca="false">SUM(BR28:BR30)</f>
        <v>3.35</v>
      </c>
      <c r="BS31" s="11" t="n">
        <f aca="false">SUM(BS28:BS30)</f>
        <v>3.35</v>
      </c>
      <c r="BT31" s="11" t="n">
        <f aca="false">SUM(BT28:BT30)</f>
        <v>3.35</v>
      </c>
      <c r="BU31" s="11" t="n">
        <f aca="false">SUM(BU28:BU30)</f>
        <v>3.35</v>
      </c>
      <c r="BV31" s="11" t="n">
        <f aca="false">SUM(BV28:BV30)</f>
        <v>3.35</v>
      </c>
      <c r="BW31" s="11" t="n">
        <f aca="false">SUM(BW28:BW30)</f>
        <v>3.35</v>
      </c>
      <c r="BX31" s="11" t="n">
        <f aca="false">SUM(BX28:BX30)</f>
        <v>3.35</v>
      </c>
      <c r="BY31" s="11" t="n">
        <f aca="false">SUM(BY28:BY30)</f>
        <v>3.35</v>
      </c>
      <c r="BZ31" s="11" t="n">
        <f aca="false">SUM(BZ28:BZ30)</f>
        <v>3.35</v>
      </c>
      <c r="CA31" s="11" t="n">
        <f aca="false">SUM(CA28:CA30)</f>
        <v>3.35</v>
      </c>
      <c r="CB31" s="11" t="n">
        <f aca="false">SUM(CB28:CB30)</f>
        <v>3.35</v>
      </c>
      <c r="CC31" s="11" t="n">
        <f aca="false">SUM(CC28:CC30)</f>
        <v>3.35</v>
      </c>
      <c r="CD31" s="11" t="n">
        <f aca="false">SUM(CD28:CD30)</f>
        <v>3.35</v>
      </c>
      <c r="CE31" s="11" t="n">
        <f aca="false">SUM(CE28:CE30)</f>
        <v>3.35</v>
      </c>
      <c r="CF31" s="11" t="n">
        <f aca="false">SUM(CF28:CF30)</f>
        <v>3.35</v>
      </c>
      <c r="CG31" s="11" t="n">
        <f aca="false">SUM(CG28:CG30)</f>
        <v>3.35</v>
      </c>
      <c r="CH31" s="11" t="n">
        <f aca="false">SUM(CH28:CH30)</f>
        <v>3.35</v>
      </c>
      <c r="CI31" s="11" t="n">
        <f aca="false">SUM(CI28:CI30)</f>
        <v>3.35</v>
      </c>
      <c r="CJ31" s="11" t="n">
        <f aca="false">SUM(CJ28:CJ30)</f>
        <v>3.35</v>
      </c>
      <c r="CK31" s="11" t="n">
        <f aca="false">SUM(CK28:CK30)</f>
        <v>3.35</v>
      </c>
      <c r="CL31" s="11" t="n">
        <f aca="false">SUM(CL28:CL30)</f>
        <v>3.35</v>
      </c>
      <c r="CM31" s="11" t="n">
        <f aca="false">SUM(CM28:CM30)</f>
        <v>3.35</v>
      </c>
      <c r="CN31" s="11" t="n">
        <f aca="false">SUM(CN28:CN30)</f>
        <v>3.35</v>
      </c>
      <c r="CO31" s="11" t="n">
        <f aca="false">SUM(CO28:CO30)</f>
        <v>3.35</v>
      </c>
      <c r="CP31" s="11" t="n">
        <f aca="false">SUM(CP28:CP30)</f>
        <v>3.35</v>
      </c>
      <c r="CQ31" s="11" t="n">
        <f aca="false">SUM(CQ28:CQ30)</f>
        <v>3.35</v>
      </c>
      <c r="CR31" s="11" t="n">
        <f aca="false">SUM(CR28:CR30)</f>
        <v>3.35</v>
      </c>
      <c r="CS31" s="11" t="n">
        <f aca="false">SUM(CS28:CS30)</f>
        <v>3.35</v>
      </c>
      <c r="CT31" s="11" t="n">
        <f aca="false">SUM(CT28:CT30)</f>
        <v>3.35</v>
      </c>
      <c r="CU31" s="11" t="n">
        <f aca="false">SUM(CU28:CU30)</f>
        <v>3.35</v>
      </c>
      <c r="CV31" s="11" t="n">
        <f aca="false">SUM(CV28:CV30)</f>
        <v>3.35</v>
      </c>
      <c r="CW31" s="11" t="n">
        <f aca="false">SUM(CW28:CW30)</f>
        <v>3.35</v>
      </c>
      <c r="CX31" s="11" t="n">
        <f aca="false">SUM(CX28:CX30)</f>
        <v>3.35</v>
      </c>
      <c r="CY31" s="11" t="n">
        <f aca="false">SUM(CY28:CY30)</f>
        <v>3.35</v>
      </c>
      <c r="CZ31" s="11" t="n">
        <f aca="false">SUM(CZ28:CZ30)</f>
        <v>3.35</v>
      </c>
      <c r="DA31" s="11" t="n">
        <f aca="false">SUM(DA28:DA30)</f>
        <v>3.35</v>
      </c>
      <c r="DB31" s="11" t="n">
        <f aca="false">SUM(DB28:DB30)</f>
        <v>3.35</v>
      </c>
      <c r="DC31" s="11" t="n">
        <f aca="false">SUM(DC28:DC30)</f>
        <v>3.35</v>
      </c>
      <c r="DD31" s="11" t="n">
        <f aca="false">SUM(DD28:DD30)</f>
        <v>3.35</v>
      </c>
      <c r="DE31" s="11" t="n">
        <f aca="false">SUM(DE28:DE30)</f>
        <v>3.35</v>
      </c>
      <c r="DF31" s="11" t="n">
        <f aca="false">SUM(DF28:DF30)</f>
        <v>3.35</v>
      </c>
      <c r="DG31" s="11" t="n">
        <f aca="false">SUM(DG28:DG30)</f>
        <v>3.35</v>
      </c>
      <c r="DH31" s="11" t="n">
        <f aca="false">SUM(DH28:DH30)</f>
        <v>3.35</v>
      </c>
      <c r="DI31" s="11" t="n">
        <f aca="false">SUM(DI28:DI30)</f>
        <v>3.35</v>
      </c>
      <c r="DJ31" s="11" t="n">
        <f aca="false">SUM(DJ28:DJ30)</f>
        <v>3.35</v>
      </c>
      <c r="DK31" s="11" t="n">
        <f aca="false">SUM(DK28:DK30)</f>
        <v>3.35</v>
      </c>
      <c r="DL31" s="11" t="n">
        <f aca="false">SUM(DL28:DL30)</f>
        <v>3.35</v>
      </c>
      <c r="DM31" s="11" t="n">
        <f aca="false">SUM(DM28:DM30)</f>
        <v>3.35</v>
      </c>
      <c r="DN31" s="11" t="n">
        <f aca="false">SUM(DN28:DN30)</f>
        <v>3.35</v>
      </c>
      <c r="DO31" s="11" t="n">
        <f aca="false">SUM(DO28:DO30)</f>
        <v>3.35</v>
      </c>
      <c r="DP31" s="11" t="n">
        <f aca="false">SUM(DP28:DP30)</f>
        <v>3.35</v>
      </c>
      <c r="DQ31" s="11" t="n">
        <f aca="false">SUM(DQ28:DQ30)</f>
        <v>3.35</v>
      </c>
      <c r="DR31" s="11" t="n">
        <f aca="false">SUM(DR28:DR30)</f>
        <v>3.35</v>
      </c>
    </row>
    <row r="32" customFormat="false" ht="15" hidden="false" customHeight="false" outlineLevel="0" collapsed="false">
      <c r="A32" s="9" t="s">
        <v>201</v>
      </c>
      <c r="B32" s="10" t="n">
        <f aca="false">IF(AND(B$1&gt;Inputs!$B$34,B$1&lt;=Inputs!$B$19),Funding!$B$8/Inputs!$B$19,Inputs!$B$34)</f>
        <v>0</v>
      </c>
      <c r="C32" s="10" t="n">
        <f aca="false">IF(AND(C$1&gt;Inputs!$B$34,C$1&lt;=Inputs!$B$19),Funding!$B$8/Inputs!$B$19,Inputs!$B$34)</f>
        <v>0.583333333333333</v>
      </c>
      <c r="D32" s="10" t="n">
        <f aca="false">IF(AND(D$1&gt;Inputs!$B$34,D$1&lt;=Inputs!$B$19),Funding!$B$8/Inputs!$B$19,Inputs!$B$34)</f>
        <v>0.583333333333333</v>
      </c>
      <c r="E32" s="10" t="n">
        <f aca="false">IF(AND(E$1&gt;Inputs!$B$34,E$1&lt;=Inputs!$B$19),Funding!$B$8/Inputs!$B$19,Inputs!$B$34)</f>
        <v>0.583333333333333</v>
      </c>
      <c r="F32" s="10" t="n">
        <f aca="false">IF(AND(F$1&gt;Inputs!$B$34,F$1&lt;=Inputs!$B$19),Funding!$B$8/Inputs!$B$19,Inputs!$B$34)</f>
        <v>0.583333333333333</v>
      </c>
      <c r="G32" s="10" t="n">
        <f aca="false">IF(AND(G$1&gt;Inputs!$B$34,G$1&lt;=Inputs!$B$19),Funding!$B$8/Inputs!$B$19,Inputs!$B$34)</f>
        <v>0.583333333333333</v>
      </c>
      <c r="H32" s="10" t="n">
        <f aca="false">IF(AND(H$1&gt;Inputs!$B$34,H$1&lt;=Inputs!$B$19),Funding!$B$8/Inputs!$B$19,Inputs!$B$34)</f>
        <v>0.583333333333333</v>
      </c>
      <c r="I32" s="10" t="n">
        <f aca="false">IF(AND(I$1&gt;Inputs!$B$34,I$1&lt;=Inputs!$B$19),Funding!$B$8/Inputs!$B$19,Inputs!$B$34)</f>
        <v>0.583333333333333</v>
      </c>
      <c r="J32" s="10" t="n">
        <f aca="false">IF(AND(J$1&gt;Inputs!$B$34,J$1&lt;=Inputs!$B$19),Funding!$B$8/Inputs!$B$19,Inputs!$B$34)</f>
        <v>0.583333333333333</v>
      </c>
      <c r="K32" s="10" t="n">
        <f aca="false">IF(AND(K$1&gt;Inputs!$B$34,K$1&lt;=Inputs!$B$19),Funding!$B$8/Inputs!$B$19,Inputs!$B$34)</f>
        <v>0.583333333333333</v>
      </c>
      <c r="L32" s="10" t="n">
        <f aca="false">IF(AND(L$1&gt;Inputs!$B$34,L$1&lt;=Inputs!$B$19),Funding!$B$8/Inputs!$B$19,Inputs!$B$34)</f>
        <v>0.583333333333333</v>
      </c>
      <c r="M32" s="10" t="n">
        <f aca="false">IF(AND(M$1&gt;Inputs!$B$34,M$1&lt;=Inputs!$B$19),Funding!$B$8/Inputs!$B$19,Inputs!$B$34)</f>
        <v>0.583333333333333</v>
      </c>
      <c r="N32" s="10" t="n">
        <f aca="false">IF(AND(N$1&gt;Inputs!$B$34,N$1&lt;=Inputs!$B$19),Funding!$B$8/Inputs!$B$19,Inputs!$B$34)</f>
        <v>0.583333333333333</v>
      </c>
      <c r="O32" s="10" t="n">
        <f aca="false">IF(AND(O$1&gt;Inputs!$B$34,O$1&lt;=Inputs!$B$19),Funding!$B$8/Inputs!$B$19,Inputs!$B$34)</f>
        <v>0</v>
      </c>
      <c r="P32" s="10" t="n">
        <f aca="false">IF(AND(P$1&gt;Inputs!$B$34,P$1&lt;=Inputs!$B$19),Funding!$B$8/Inputs!$B$19,Inputs!$B$34)</f>
        <v>0</v>
      </c>
      <c r="Q32" s="10" t="n">
        <f aca="false">IF(AND(Q$1&gt;Inputs!$B$34,Q$1&lt;=Inputs!$B$19),Funding!$B$8/Inputs!$B$19,Inputs!$B$34)</f>
        <v>0</v>
      </c>
      <c r="R32" s="10" t="n">
        <f aca="false">IF(AND(R$1&gt;Inputs!$B$34,R$1&lt;=Inputs!$B$19),Funding!$B$8/Inputs!$B$19,Inputs!$B$34)</f>
        <v>0</v>
      </c>
      <c r="S32" s="10" t="n">
        <f aca="false">IF(AND(S$1&gt;Inputs!$B$34,S$1&lt;=Inputs!$B$19),Funding!$B$8/Inputs!$B$19,Inputs!$B$34)</f>
        <v>0</v>
      </c>
      <c r="T32" s="10" t="n">
        <f aca="false">IF(AND(T$1&gt;Inputs!$B$34,T$1&lt;=Inputs!$B$19),Funding!$B$8/Inputs!$B$19,Inputs!$B$34)</f>
        <v>0</v>
      </c>
      <c r="U32" s="10" t="n">
        <f aca="false">IF(AND(U$1&gt;Inputs!$B$34,U$1&lt;=Inputs!$B$19),Funding!$B$8/Inputs!$B$19,Inputs!$B$34)</f>
        <v>0</v>
      </c>
      <c r="V32" s="10" t="n">
        <f aca="false">IF(AND(V$1&gt;Inputs!$B$34,V$1&lt;=Inputs!$B$19),Funding!$B$8/Inputs!$B$19,Inputs!$B$34)</f>
        <v>0</v>
      </c>
      <c r="W32" s="10" t="n">
        <f aca="false">IF(AND(W$1&gt;Inputs!$B$34,W$1&lt;=Inputs!$B$19),Funding!$B$8/Inputs!$B$19,Inputs!$B$34)</f>
        <v>0</v>
      </c>
      <c r="X32" s="10" t="n">
        <f aca="false">IF(AND(X$1&gt;Inputs!$B$34,X$1&lt;=Inputs!$B$19),Funding!$B$8/Inputs!$B$19,Inputs!$B$34)</f>
        <v>0</v>
      </c>
      <c r="Y32" s="10" t="n">
        <f aca="false">IF(AND(Y$1&gt;Inputs!$B$34,Y$1&lt;=Inputs!$B$19),Funding!$B$8/Inputs!$B$19,Inputs!$B$34)</f>
        <v>0</v>
      </c>
      <c r="Z32" s="10" t="n">
        <f aca="false">IF(AND(Z$1&gt;Inputs!$B$34,Z$1&lt;=Inputs!$B$19),Funding!$B$8/Inputs!$B$19,Inputs!$B$34)</f>
        <v>0</v>
      </c>
      <c r="AA32" s="10" t="n">
        <f aca="false">IF(AND(AA$1&gt;Inputs!$B$34,AA$1&lt;=Inputs!$B$19),Funding!$B$8/Inputs!$B$19,Inputs!$B$34)</f>
        <v>0</v>
      </c>
      <c r="AB32" s="10" t="n">
        <f aca="false">IF(AND(AB$1&gt;Inputs!$B$34,AB$1&lt;=Inputs!$B$19),Funding!$B$8/Inputs!$B$19,Inputs!$B$34)</f>
        <v>0</v>
      </c>
      <c r="AC32" s="10" t="n">
        <f aca="false">IF(AND(AC$1&gt;Inputs!$B$34,AC$1&lt;=Inputs!$B$19),Funding!$B$8/Inputs!$B$19,Inputs!$B$34)</f>
        <v>0</v>
      </c>
      <c r="AD32" s="10" t="n">
        <f aca="false">IF(AND(AD$1&gt;Inputs!$B$34,AD$1&lt;=Inputs!$B$19),Funding!$B$8/Inputs!$B$19,Inputs!$B$34)</f>
        <v>0</v>
      </c>
      <c r="AE32" s="10" t="n">
        <f aca="false">IF(AND(AE$1&gt;Inputs!$B$34,AE$1&lt;=Inputs!$B$19),Funding!$B$8/Inputs!$B$19,Inputs!$B$34)</f>
        <v>0</v>
      </c>
      <c r="AF32" s="10" t="n">
        <f aca="false">IF(AND(AF$1&gt;Inputs!$B$34,AF$1&lt;=Inputs!$B$19),Funding!$B$8/Inputs!$B$19,Inputs!$B$34)</f>
        <v>0</v>
      </c>
      <c r="AG32" s="10" t="n">
        <f aca="false">IF(AND(AG$1&gt;Inputs!$B$34,AG$1&lt;=Inputs!$B$19),Funding!$B$8/Inputs!$B$19,Inputs!$B$34)</f>
        <v>0</v>
      </c>
      <c r="AH32" s="10" t="n">
        <f aca="false">IF(AND(AH$1&gt;Inputs!$B$34,AH$1&lt;=Inputs!$B$19),Funding!$B$8/Inputs!$B$19,Inputs!$B$34)</f>
        <v>0</v>
      </c>
      <c r="AI32" s="10" t="n">
        <f aca="false">IF(AND(AI$1&gt;Inputs!$B$34,AI$1&lt;=Inputs!$B$19),Funding!$B$8/Inputs!$B$19,Inputs!$B$34)</f>
        <v>0</v>
      </c>
      <c r="AJ32" s="10" t="n">
        <f aca="false">IF(AND(AJ$1&gt;Inputs!$B$34,AJ$1&lt;=Inputs!$B$19),Funding!$B$8/Inputs!$B$19,Inputs!$B$34)</f>
        <v>0</v>
      </c>
      <c r="AK32" s="10" t="n">
        <f aca="false">IF(AND(AK$1&gt;Inputs!$B$34,AK$1&lt;=Inputs!$B$19),Funding!$B$8/Inputs!$B$19,Inputs!$B$34)</f>
        <v>0</v>
      </c>
      <c r="AL32" s="10" t="n">
        <f aca="false">IF(AND(AL$1&gt;Inputs!$B$34,AL$1&lt;=Inputs!$B$19),Funding!$B$8/Inputs!$B$19,Inputs!$B$34)</f>
        <v>0</v>
      </c>
      <c r="AM32" s="10" t="n">
        <f aca="false">IF(AND(AM$1&gt;Inputs!$B$34,AM$1&lt;=Inputs!$B$19),Funding!$B$8/Inputs!$B$19,Inputs!$B$34)</f>
        <v>0</v>
      </c>
      <c r="AN32" s="10" t="n">
        <f aca="false">IF(AND(AN$1&gt;Inputs!$B$34,AN$1&lt;=Inputs!$B$19),Funding!$B$8/Inputs!$B$19,Inputs!$B$34)</f>
        <v>0</v>
      </c>
      <c r="AO32" s="10" t="n">
        <f aca="false">IF(AND(AO$1&gt;Inputs!$B$34,AO$1&lt;=Inputs!$B$19),Funding!$B$8/Inputs!$B$19,Inputs!$B$34)</f>
        <v>0</v>
      </c>
      <c r="AP32" s="10" t="n">
        <f aca="false">IF(AND(AP$1&gt;Inputs!$B$34,AP$1&lt;=Inputs!$B$19),Funding!$B$8/Inputs!$B$19,Inputs!$B$34)</f>
        <v>0</v>
      </c>
      <c r="AQ32" s="10" t="n">
        <f aca="false">IF(AND(AQ$1&gt;Inputs!$B$34,AQ$1&lt;=Inputs!$B$19),Funding!$B$8/Inputs!$B$19,Inputs!$B$34)</f>
        <v>0</v>
      </c>
      <c r="AR32" s="10" t="n">
        <f aca="false">IF(AND(AR$1&gt;Inputs!$B$34,AR$1&lt;=Inputs!$B$19),Funding!$B$8/Inputs!$B$19,Inputs!$B$34)</f>
        <v>0</v>
      </c>
      <c r="AS32" s="10" t="n">
        <f aca="false">IF(AND(AS$1&gt;Inputs!$B$34,AS$1&lt;=Inputs!$B$19),Funding!$B$8/Inputs!$B$19,Inputs!$B$34)</f>
        <v>0</v>
      </c>
      <c r="AT32" s="10" t="n">
        <f aca="false">IF(AND(AT$1&gt;Inputs!$B$34,AT$1&lt;=Inputs!$B$19),Funding!$B$8/Inputs!$B$19,Inputs!$B$34)</f>
        <v>0</v>
      </c>
      <c r="AU32" s="10" t="n">
        <f aca="false">IF(AND(AU$1&gt;Inputs!$B$34,AU$1&lt;=Inputs!$B$19),Funding!$B$8/Inputs!$B$19,Inputs!$B$34)</f>
        <v>0</v>
      </c>
      <c r="AV32" s="10" t="n">
        <f aca="false">IF(AND(AV$1&gt;Inputs!$B$34,AV$1&lt;=Inputs!$B$19),Funding!$B$8/Inputs!$B$19,Inputs!$B$34)</f>
        <v>0</v>
      </c>
      <c r="AW32" s="10" t="n">
        <f aca="false">IF(AND(AW$1&gt;Inputs!$B$34,AW$1&lt;=Inputs!$B$19),Funding!$B$8/Inputs!$B$19,Inputs!$B$34)</f>
        <v>0</v>
      </c>
      <c r="AX32" s="10" t="n">
        <f aca="false">IF(AND(AX$1&gt;Inputs!$B$34,AX$1&lt;=Inputs!$B$19),Funding!$B$8/Inputs!$B$19,Inputs!$B$34)</f>
        <v>0</v>
      </c>
      <c r="AY32" s="10" t="n">
        <f aca="false">IF(AND(AY$1&gt;Inputs!$B$34,AY$1&lt;=Inputs!$B$19),Funding!$B$8/Inputs!$B$19,Inputs!$B$34)</f>
        <v>0</v>
      </c>
      <c r="AZ32" s="10" t="n">
        <f aca="false">IF(AND(AZ$1&gt;Inputs!$B$34,AZ$1&lt;=Inputs!$B$19),Funding!$B$8/Inputs!$B$19,Inputs!$B$34)</f>
        <v>0</v>
      </c>
      <c r="BA32" s="10" t="n">
        <f aca="false">IF(AND(BA$1&gt;Inputs!$B$34,BA$1&lt;=Inputs!$B$19),Funding!$B$8/Inputs!$B$19,Inputs!$B$34)</f>
        <v>0</v>
      </c>
      <c r="BB32" s="10" t="n">
        <f aca="false">IF(AND(BB$1&gt;Inputs!$B$34,BB$1&lt;=Inputs!$B$19),Funding!$B$8/Inputs!$B$19,Inputs!$B$34)</f>
        <v>0</v>
      </c>
      <c r="BC32" s="10" t="n">
        <f aca="false">IF(AND(BC$1&gt;Inputs!$B$34,BC$1&lt;=Inputs!$B$19),Funding!$B$8/Inputs!$B$19,Inputs!$B$34)</f>
        <v>0</v>
      </c>
      <c r="BD32" s="10" t="n">
        <f aca="false">IF(AND(BD$1&gt;Inputs!$B$34,BD$1&lt;=Inputs!$B$19),Funding!$B$8/Inputs!$B$19,Inputs!$B$34)</f>
        <v>0</v>
      </c>
      <c r="BE32" s="10" t="n">
        <f aca="false">IF(AND(BE$1&gt;Inputs!$B$34,BE$1&lt;=Inputs!$B$19),Funding!$B$8/Inputs!$B$19,Inputs!$B$34)</f>
        <v>0</v>
      </c>
      <c r="BF32" s="10" t="n">
        <f aca="false">IF(AND(BF$1&gt;Inputs!$B$34,BF$1&lt;=Inputs!$B$19),Funding!$B$8/Inputs!$B$19,Inputs!$B$34)</f>
        <v>0</v>
      </c>
      <c r="BG32" s="10" t="n">
        <f aca="false">IF(AND(BG$1&gt;Inputs!$B$34,BG$1&lt;=Inputs!$B$19),Funding!$B$8/Inputs!$B$19,Inputs!$B$34)</f>
        <v>0</v>
      </c>
      <c r="BH32" s="10" t="n">
        <f aca="false">IF(AND(BH$1&gt;Inputs!$B$34,BH$1&lt;=Inputs!$B$19),Funding!$B$8/Inputs!$B$19,Inputs!$B$34)</f>
        <v>0</v>
      </c>
      <c r="BI32" s="10" t="n">
        <f aca="false">IF(AND(BI$1&gt;Inputs!$B$34,BI$1&lt;=Inputs!$B$19),Funding!$B$8/Inputs!$B$19,Inputs!$B$34)</f>
        <v>0</v>
      </c>
      <c r="BJ32" s="10" t="n">
        <f aca="false">IF(AND(BJ$1&gt;Inputs!$B$34,BJ$1&lt;=Inputs!$B$19),Funding!$B$8/Inputs!$B$19,Inputs!$B$34)</f>
        <v>0</v>
      </c>
      <c r="BK32" s="10" t="n">
        <f aca="false">IF(AND(BK$1&gt;Inputs!$B$34,BK$1&lt;=Inputs!$B$19),Funding!$B$8/Inputs!$B$19,Inputs!$B$34)</f>
        <v>0</v>
      </c>
      <c r="BL32" s="10" t="n">
        <f aca="false">IF(AND(BL$1&gt;Inputs!$B$34,BL$1&lt;=Inputs!$B$19),Funding!$B$8/Inputs!$B$19,Inputs!$B$34)</f>
        <v>0</v>
      </c>
      <c r="BM32" s="10" t="n">
        <f aca="false">IF(AND(BM$1&gt;Inputs!$B$34,BM$1&lt;=Inputs!$B$19),Funding!$B$8/Inputs!$B$19,Inputs!$B$34)</f>
        <v>0</v>
      </c>
      <c r="BN32" s="10" t="n">
        <f aca="false">IF(AND(BN$1&gt;Inputs!$B$34,BN$1&lt;=Inputs!$B$19),Funding!$B$8/Inputs!$B$19,Inputs!$B$34)</f>
        <v>0</v>
      </c>
      <c r="BO32" s="10" t="n">
        <f aca="false">IF(AND(BO$1&gt;Inputs!$B$34,BO$1&lt;=Inputs!$B$19),Funding!$B$8/Inputs!$B$19,Inputs!$B$34)</f>
        <v>0</v>
      </c>
      <c r="BP32" s="10" t="n">
        <f aca="false">IF(AND(BP$1&gt;Inputs!$B$34,BP$1&lt;=Inputs!$B$19),Funding!$B$8/Inputs!$B$19,Inputs!$B$34)</f>
        <v>0</v>
      </c>
      <c r="BQ32" s="10" t="n">
        <f aca="false">IF(AND(BQ$1&gt;Inputs!$B$34,BQ$1&lt;=Inputs!$B$19),Funding!$B$8/Inputs!$B$19,Inputs!$B$34)</f>
        <v>0</v>
      </c>
      <c r="BR32" s="10" t="n">
        <f aca="false">IF(AND(BR$1&gt;Inputs!$B$34,BR$1&lt;=Inputs!$B$19),Funding!$B$8/Inputs!$B$19,Inputs!$B$34)</f>
        <v>0</v>
      </c>
      <c r="BS32" s="10" t="n">
        <f aca="false">IF(AND(BS$1&gt;Inputs!$B$34,BS$1&lt;=Inputs!$B$19),Funding!$B$8/Inputs!$B$19,Inputs!$B$34)</f>
        <v>0</v>
      </c>
      <c r="BT32" s="10" t="n">
        <f aca="false">IF(AND(BT$1&gt;Inputs!$B$34,BT$1&lt;=Inputs!$B$19),Funding!$B$8/Inputs!$B$19,Inputs!$B$34)</f>
        <v>0</v>
      </c>
      <c r="BU32" s="10" t="n">
        <f aca="false">IF(AND(BU$1&gt;Inputs!$B$34,BU$1&lt;=Inputs!$B$19),Funding!$B$8/Inputs!$B$19,Inputs!$B$34)</f>
        <v>0</v>
      </c>
      <c r="BV32" s="10" t="n">
        <f aca="false">IF(AND(BV$1&gt;Inputs!$B$34,BV$1&lt;=Inputs!$B$19),Funding!$B$8/Inputs!$B$19,Inputs!$B$34)</f>
        <v>0</v>
      </c>
      <c r="BW32" s="10" t="n">
        <f aca="false">IF(AND(BW$1&gt;Inputs!$B$34,BW$1&lt;=Inputs!$B$19),Funding!$B$8/Inputs!$B$19,Inputs!$B$34)</f>
        <v>0</v>
      </c>
      <c r="BX32" s="10" t="n">
        <f aca="false">IF(AND(BX$1&gt;Inputs!$B$34,BX$1&lt;=Inputs!$B$19),Funding!$B$8/Inputs!$B$19,Inputs!$B$34)</f>
        <v>0</v>
      </c>
      <c r="BY32" s="10" t="n">
        <f aca="false">IF(AND(BY$1&gt;Inputs!$B$34,BY$1&lt;=Inputs!$B$19),Funding!$B$8/Inputs!$B$19,Inputs!$B$34)</f>
        <v>0</v>
      </c>
      <c r="BZ32" s="10" t="n">
        <f aca="false">IF(AND(BZ$1&gt;Inputs!$B$34,BZ$1&lt;=Inputs!$B$19),Funding!$B$8/Inputs!$B$19,Inputs!$B$34)</f>
        <v>0</v>
      </c>
      <c r="CA32" s="10" t="n">
        <f aca="false">IF(AND(CA$1&gt;Inputs!$B$34,CA$1&lt;=Inputs!$B$19),Funding!$B$8/Inputs!$B$19,Inputs!$B$34)</f>
        <v>0</v>
      </c>
      <c r="CB32" s="10" t="n">
        <f aca="false">IF(AND(CB$1&gt;Inputs!$B$34,CB$1&lt;=Inputs!$B$19),Funding!$B$8/Inputs!$B$19,Inputs!$B$34)</f>
        <v>0</v>
      </c>
      <c r="CC32" s="10" t="n">
        <f aca="false">IF(AND(CC$1&gt;Inputs!$B$34,CC$1&lt;=Inputs!$B$19),Funding!$B$8/Inputs!$B$19,Inputs!$B$34)</f>
        <v>0</v>
      </c>
      <c r="CD32" s="10" t="n">
        <f aca="false">IF(AND(CD$1&gt;Inputs!$B$34,CD$1&lt;=Inputs!$B$19),Funding!$B$8/Inputs!$B$19,Inputs!$B$34)</f>
        <v>0</v>
      </c>
      <c r="CE32" s="10" t="n">
        <f aca="false">IF(AND(CE$1&gt;Inputs!$B$34,CE$1&lt;=Inputs!$B$19),Funding!$B$8/Inputs!$B$19,Inputs!$B$34)</f>
        <v>0</v>
      </c>
      <c r="CF32" s="10" t="n">
        <f aca="false">IF(AND(CF$1&gt;Inputs!$B$34,CF$1&lt;=Inputs!$B$19),Funding!$B$8/Inputs!$B$19,Inputs!$B$34)</f>
        <v>0</v>
      </c>
      <c r="CG32" s="10" t="n">
        <f aca="false">IF(AND(CG$1&gt;Inputs!$B$34,CG$1&lt;=Inputs!$B$19),Funding!$B$8/Inputs!$B$19,Inputs!$B$34)</f>
        <v>0</v>
      </c>
      <c r="CH32" s="10" t="n">
        <f aca="false">IF(AND(CH$1&gt;Inputs!$B$34,CH$1&lt;=Inputs!$B$19),Funding!$B$8/Inputs!$B$19,Inputs!$B$34)</f>
        <v>0</v>
      </c>
      <c r="CI32" s="10" t="n">
        <f aca="false">IF(AND(CI$1&gt;Inputs!$B$34,CI$1&lt;=Inputs!$B$19),Funding!$B$8/Inputs!$B$19,Inputs!$B$34)</f>
        <v>0</v>
      </c>
      <c r="CJ32" s="10" t="n">
        <f aca="false">IF(AND(CJ$1&gt;Inputs!$B$34,CJ$1&lt;=Inputs!$B$19),Funding!$B$8/Inputs!$B$19,Inputs!$B$34)</f>
        <v>0</v>
      </c>
      <c r="CK32" s="10" t="n">
        <f aca="false">IF(AND(CK$1&gt;Inputs!$B$34,CK$1&lt;=Inputs!$B$19),Funding!$B$8/Inputs!$B$19,Inputs!$B$34)</f>
        <v>0</v>
      </c>
      <c r="CL32" s="10" t="n">
        <f aca="false">IF(AND(CL$1&gt;Inputs!$B$34,CL$1&lt;=Inputs!$B$19),Funding!$B$8/Inputs!$B$19,Inputs!$B$34)</f>
        <v>0</v>
      </c>
      <c r="CM32" s="10" t="n">
        <f aca="false">IF(AND(CM$1&gt;Inputs!$B$34,CM$1&lt;=Inputs!$B$19),Funding!$B$8/Inputs!$B$19,Inputs!$B$34)</f>
        <v>0</v>
      </c>
      <c r="CN32" s="10" t="n">
        <f aca="false">IF(AND(CN$1&gt;Inputs!$B$34,CN$1&lt;=Inputs!$B$19),Funding!$B$8/Inputs!$B$19,Inputs!$B$34)</f>
        <v>0</v>
      </c>
      <c r="CO32" s="10" t="n">
        <f aca="false">IF(AND(CO$1&gt;Inputs!$B$34,CO$1&lt;=Inputs!$B$19),Funding!$B$8/Inputs!$B$19,Inputs!$B$34)</f>
        <v>0</v>
      </c>
      <c r="CP32" s="10" t="n">
        <f aca="false">IF(AND(CP$1&gt;Inputs!$B$34,CP$1&lt;=Inputs!$B$19),Funding!$B$8/Inputs!$B$19,Inputs!$B$34)</f>
        <v>0</v>
      </c>
      <c r="CQ32" s="10" t="n">
        <f aca="false">IF(AND(CQ$1&gt;Inputs!$B$34,CQ$1&lt;=Inputs!$B$19),Funding!$B$8/Inputs!$B$19,Inputs!$B$34)</f>
        <v>0</v>
      </c>
      <c r="CR32" s="10" t="n">
        <f aca="false">IF(AND(CR$1&gt;Inputs!$B$34,CR$1&lt;=Inputs!$B$19),Funding!$B$8/Inputs!$B$19,Inputs!$B$34)</f>
        <v>0</v>
      </c>
      <c r="CS32" s="10" t="n">
        <f aca="false">IF(AND(CS$1&gt;Inputs!$B$34,CS$1&lt;=Inputs!$B$19),Funding!$B$8/Inputs!$B$19,Inputs!$B$34)</f>
        <v>0</v>
      </c>
      <c r="CT32" s="10" t="n">
        <f aca="false">IF(AND(CT$1&gt;Inputs!$B$34,CT$1&lt;=Inputs!$B$19),Funding!$B$8/Inputs!$B$19,Inputs!$B$34)</f>
        <v>0</v>
      </c>
      <c r="CU32" s="10" t="n">
        <f aca="false">IF(AND(CU$1&gt;Inputs!$B$34,CU$1&lt;=Inputs!$B$19),Funding!$B$8/Inputs!$B$19,Inputs!$B$34)</f>
        <v>0</v>
      </c>
      <c r="CV32" s="10" t="n">
        <f aca="false">IF(AND(CV$1&gt;Inputs!$B$34,CV$1&lt;=Inputs!$B$19),Funding!$B$8/Inputs!$B$19,Inputs!$B$34)</f>
        <v>0</v>
      </c>
      <c r="CW32" s="10" t="n">
        <f aca="false">IF(AND(CW$1&gt;Inputs!$B$34,CW$1&lt;=Inputs!$B$19),Funding!$B$8/Inputs!$B$19,Inputs!$B$34)</f>
        <v>0</v>
      </c>
      <c r="CX32" s="10" t="n">
        <f aca="false">IF(AND(CX$1&gt;Inputs!$B$34,CX$1&lt;=Inputs!$B$19),Funding!$B$8/Inputs!$B$19,Inputs!$B$34)</f>
        <v>0</v>
      </c>
      <c r="CY32" s="10" t="n">
        <f aca="false">IF(AND(CY$1&gt;Inputs!$B$34,CY$1&lt;=Inputs!$B$19),Funding!$B$8/Inputs!$B$19,Inputs!$B$34)</f>
        <v>0</v>
      </c>
      <c r="CZ32" s="10" t="n">
        <f aca="false">IF(AND(CZ$1&gt;Inputs!$B$34,CZ$1&lt;=Inputs!$B$19),Funding!$B$8/Inputs!$B$19,Inputs!$B$34)</f>
        <v>0</v>
      </c>
      <c r="DA32" s="10" t="n">
        <f aca="false">IF(AND(DA$1&gt;Inputs!$B$34,DA$1&lt;=Inputs!$B$19),Funding!$B$8/Inputs!$B$19,Inputs!$B$34)</f>
        <v>0</v>
      </c>
      <c r="DB32" s="10" t="n">
        <f aca="false">IF(AND(DB$1&gt;Inputs!$B$34,DB$1&lt;=Inputs!$B$19),Funding!$B$8/Inputs!$B$19,Inputs!$B$34)</f>
        <v>0</v>
      </c>
      <c r="DC32" s="10" t="n">
        <f aca="false">IF(AND(DC$1&gt;Inputs!$B$34,DC$1&lt;=Inputs!$B$19),Funding!$B$8/Inputs!$B$19,Inputs!$B$34)</f>
        <v>0</v>
      </c>
      <c r="DD32" s="10" t="n">
        <f aca="false">IF(AND(DD$1&gt;Inputs!$B$34,DD$1&lt;=Inputs!$B$19),Funding!$B$8/Inputs!$B$19,Inputs!$B$34)</f>
        <v>0</v>
      </c>
      <c r="DE32" s="10" t="n">
        <f aca="false">IF(AND(DE$1&gt;Inputs!$B$34,DE$1&lt;=Inputs!$B$19),Funding!$B$8/Inputs!$B$19,Inputs!$B$34)</f>
        <v>0</v>
      </c>
      <c r="DF32" s="10" t="n">
        <f aca="false">IF(AND(DF$1&gt;Inputs!$B$34,DF$1&lt;=Inputs!$B$19),Funding!$B$8/Inputs!$B$19,Inputs!$B$34)</f>
        <v>0</v>
      </c>
      <c r="DG32" s="10" t="n">
        <f aca="false">IF(AND(DG$1&gt;Inputs!$B$34,DG$1&lt;=Inputs!$B$19),Funding!$B$8/Inputs!$B$19,Inputs!$B$34)</f>
        <v>0</v>
      </c>
      <c r="DH32" s="10" t="n">
        <f aca="false">IF(AND(DH$1&gt;Inputs!$B$34,DH$1&lt;=Inputs!$B$19),Funding!$B$8/Inputs!$B$19,Inputs!$B$34)</f>
        <v>0</v>
      </c>
      <c r="DI32" s="10" t="n">
        <f aca="false">IF(AND(DI$1&gt;Inputs!$B$34,DI$1&lt;=Inputs!$B$19),Funding!$B$8/Inputs!$B$19,Inputs!$B$34)</f>
        <v>0</v>
      </c>
      <c r="DJ32" s="10" t="n">
        <f aca="false">IF(AND(DJ$1&gt;Inputs!$B$34,DJ$1&lt;=Inputs!$B$19),Funding!$B$8/Inputs!$B$19,Inputs!$B$34)</f>
        <v>0</v>
      </c>
      <c r="DK32" s="10" t="n">
        <f aca="false">IF(AND(DK$1&gt;Inputs!$B$34,DK$1&lt;=Inputs!$B$19),Funding!$B$8/Inputs!$B$19,Inputs!$B$34)</f>
        <v>0</v>
      </c>
      <c r="DL32" s="10" t="n">
        <f aca="false">IF(AND(DL$1&gt;Inputs!$B$34,DL$1&lt;=Inputs!$B$19),Funding!$B$8/Inputs!$B$19,Inputs!$B$34)</f>
        <v>0</v>
      </c>
      <c r="DM32" s="10" t="n">
        <f aca="false">IF(AND(DM$1&gt;Inputs!$B$34,DM$1&lt;=Inputs!$B$19),Funding!$B$8/Inputs!$B$19,Inputs!$B$34)</f>
        <v>0</v>
      </c>
      <c r="DN32" s="10" t="n">
        <f aca="false">IF(AND(DN$1&gt;Inputs!$B$34,DN$1&lt;=Inputs!$B$19),Funding!$B$8/Inputs!$B$19,Inputs!$B$34)</f>
        <v>0</v>
      </c>
      <c r="DO32" s="10" t="n">
        <f aca="false">IF(AND(DO$1&gt;Inputs!$B$34,DO$1&lt;=Inputs!$B$19),Funding!$B$8/Inputs!$B$19,Inputs!$B$34)</f>
        <v>0</v>
      </c>
      <c r="DP32" s="10" t="n">
        <f aca="false">IF(AND(DP$1&gt;Inputs!$B$34,DP$1&lt;=Inputs!$B$19),Funding!$B$8/Inputs!$B$19,Inputs!$B$34)</f>
        <v>0</v>
      </c>
      <c r="DQ32" s="10" t="n">
        <f aca="false">IF(AND(DQ$1&gt;Inputs!$B$34,DQ$1&lt;=Inputs!$B$19),Funding!$B$8/Inputs!$B$19,Inputs!$B$34)</f>
        <v>0</v>
      </c>
      <c r="DR32" s="10" t="n">
        <f aca="false">IF(AND(DR$1&gt;Inputs!$B$34,DR$1&lt;=Inputs!$B$19),Funding!$B$8/Inputs!$B$19,Inputs!$B$34)</f>
        <v>0</v>
      </c>
    </row>
    <row r="33" customFormat="false" ht="15" hidden="false" customHeight="false" outlineLevel="0" collapsed="false">
      <c r="A33" s="9" t="s">
        <v>202</v>
      </c>
      <c r="B33" s="11" t="n">
        <f aca="false">B31+B32</f>
        <v>0</v>
      </c>
      <c r="C33" s="11" t="n">
        <f aca="false">C31+C32</f>
        <v>3.93333333333333</v>
      </c>
      <c r="D33" s="11" t="n">
        <f aca="false">D31+D32</f>
        <v>3.93333333333333</v>
      </c>
      <c r="E33" s="11" t="n">
        <f aca="false">E31+E32</f>
        <v>3.93333333333333</v>
      </c>
      <c r="F33" s="11" t="n">
        <f aca="false">F31+F32</f>
        <v>3.93333333333333</v>
      </c>
      <c r="G33" s="11" t="n">
        <f aca="false">G31+G32</f>
        <v>3.93333333333333</v>
      </c>
      <c r="H33" s="11" t="n">
        <f aca="false">H31+H32</f>
        <v>3.93333333333333</v>
      </c>
      <c r="I33" s="11" t="n">
        <f aca="false">I31+I32</f>
        <v>3.93333333333333</v>
      </c>
      <c r="J33" s="11" t="n">
        <f aca="false">J31+J32</f>
        <v>3.93333333333333</v>
      </c>
      <c r="K33" s="11" t="n">
        <f aca="false">K31+K32</f>
        <v>3.93333333333333</v>
      </c>
      <c r="L33" s="11" t="n">
        <f aca="false">L31+L32</f>
        <v>3.93333333333333</v>
      </c>
      <c r="M33" s="11" t="n">
        <f aca="false">M31+M32</f>
        <v>3.93333333333333</v>
      </c>
      <c r="N33" s="11" t="n">
        <f aca="false">N31+N32</f>
        <v>3.93333333333333</v>
      </c>
      <c r="O33" s="11" t="n">
        <f aca="false">O31+O32</f>
        <v>3.35</v>
      </c>
      <c r="P33" s="11" t="n">
        <f aca="false">P31+P32</f>
        <v>3.35</v>
      </c>
      <c r="Q33" s="11" t="n">
        <f aca="false">Q31+Q32</f>
        <v>3.35</v>
      </c>
      <c r="R33" s="11" t="n">
        <f aca="false">R31+R32</f>
        <v>3.35</v>
      </c>
      <c r="S33" s="11" t="n">
        <f aca="false">S31+S32</f>
        <v>3.35</v>
      </c>
      <c r="T33" s="11" t="n">
        <f aca="false">T31+T32</f>
        <v>3.35</v>
      </c>
      <c r="U33" s="11" t="n">
        <f aca="false">U31+U32</f>
        <v>3.35</v>
      </c>
      <c r="V33" s="11" t="n">
        <f aca="false">V31+V32</f>
        <v>3.35</v>
      </c>
      <c r="W33" s="11" t="n">
        <f aca="false">W31+W32</f>
        <v>3.35</v>
      </c>
      <c r="X33" s="11" t="n">
        <f aca="false">X31+X32</f>
        <v>3.35</v>
      </c>
      <c r="Y33" s="11" t="n">
        <f aca="false">Y31+Y32</f>
        <v>3.35</v>
      </c>
      <c r="Z33" s="11" t="n">
        <f aca="false">Z31+Z32</f>
        <v>3.35</v>
      </c>
      <c r="AA33" s="11" t="n">
        <f aca="false">AA31+AA32</f>
        <v>3.35</v>
      </c>
      <c r="AB33" s="11" t="n">
        <f aca="false">AB31+AB32</f>
        <v>3.35</v>
      </c>
      <c r="AC33" s="11" t="n">
        <f aca="false">AC31+AC32</f>
        <v>3.35</v>
      </c>
      <c r="AD33" s="11" t="n">
        <f aca="false">AD31+AD32</f>
        <v>3.35</v>
      </c>
      <c r="AE33" s="11" t="n">
        <f aca="false">AE31+AE32</f>
        <v>3.35</v>
      </c>
      <c r="AF33" s="11" t="n">
        <f aca="false">AF31+AF32</f>
        <v>3.35</v>
      </c>
      <c r="AG33" s="11" t="n">
        <f aca="false">AG31+AG32</f>
        <v>3.35</v>
      </c>
      <c r="AH33" s="11" t="n">
        <f aca="false">AH31+AH32</f>
        <v>3.35</v>
      </c>
      <c r="AI33" s="11" t="n">
        <f aca="false">AI31+AI32</f>
        <v>3.35</v>
      </c>
      <c r="AJ33" s="11" t="n">
        <f aca="false">AJ31+AJ32</f>
        <v>3.35</v>
      </c>
      <c r="AK33" s="11" t="n">
        <f aca="false">AK31+AK32</f>
        <v>3.35</v>
      </c>
      <c r="AL33" s="11" t="n">
        <f aca="false">AL31+AL32</f>
        <v>3.35</v>
      </c>
      <c r="AM33" s="11" t="n">
        <f aca="false">AM31+AM32</f>
        <v>3.35</v>
      </c>
      <c r="AN33" s="11" t="n">
        <f aca="false">AN31+AN32</f>
        <v>3.35</v>
      </c>
      <c r="AO33" s="11" t="n">
        <f aca="false">AO31+AO32</f>
        <v>3.35</v>
      </c>
      <c r="AP33" s="11" t="n">
        <f aca="false">AP31+AP32</f>
        <v>3.35</v>
      </c>
      <c r="AQ33" s="11" t="n">
        <f aca="false">AQ31+AQ32</f>
        <v>3.35</v>
      </c>
      <c r="AR33" s="11" t="n">
        <f aca="false">AR31+AR32</f>
        <v>3.35</v>
      </c>
      <c r="AS33" s="11" t="n">
        <f aca="false">AS31+AS32</f>
        <v>3.35</v>
      </c>
      <c r="AT33" s="11" t="n">
        <f aca="false">AT31+AT32</f>
        <v>3.35</v>
      </c>
      <c r="AU33" s="11" t="n">
        <f aca="false">AU31+AU32</f>
        <v>3.35</v>
      </c>
      <c r="AV33" s="11" t="n">
        <f aca="false">AV31+AV32</f>
        <v>3.35</v>
      </c>
      <c r="AW33" s="11" t="n">
        <f aca="false">AW31+AW32</f>
        <v>3.35</v>
      </c>
      <c r="AX33" s="11" t="n">
        <f aca="false">AX31+AX32</f>
        <v>3.35</v>
      </c>
      <c r="AY33" s="11" t="n">
        <f aca="false">AY31+AY32</f>
        <v>3.35</v>
      </c>
      <c r="AZ33" s="11" t="n">
        <f aca="false">AZ31+AZ32</f>
        <v>3.35</v>
      </c>
      <c r="BA33" s="11" t="n">
        <f aca="false">BA31+BA32</f>
        <v>3.35</v>
      </c>
      <c r="BB33" s="11" t="n">
        <f aca="false">BB31+BB32</f>
        <v>3.35</v>
      </c>
      <c r="BC33" s="11" t="n">
        <f aca="false">BC31+BC32</f>
        <v>3.35</v>
      </c>
      <c r="BD33" s="11" t="n">
        <f aca="false">BD31+BD32</f>
        <v>3.35</v>
      </c>
      <c r="BE33" s="11" t="n">
        <f aca="false">BE31+BE32</f>
        <v>3.35</v>
      </c>
      <c r="BF33" s="11" t="n">
        <f aca="false">BF31+BF32</f>
        <v>3.35</v>
      </c>
      <c r="BG33" s="11" t="n">
        <f aca="false">BG31+BG32</f>
        <v>3.35</v>
      </c>
      <c r="BH33" s="11" t="n">
        <f aca="false">BH31+BH32</f>
        <v>3.35</v>
      </c>
      <c r="BI33" s="11" t="n">
        <f aca="false">BI31+BI32</f>
        <v>3.35</v>
      </c>
      <c r="BJ33" s="11" t="n">
        <f aca="false">BJ31+BJ32</f>
        <v>3.35</v>
      </c>
      <c r="BK33" s="11" t="n">
        <f aca="false">BK31+BK32</f>
        <v>3.35</v>
      </c>
      <c r="BL33" s="11" t="n">
        <f aca="false">BL31+BL32</f>
        <v>3.35</v>
      </c>
      <c r="BM33" s="11" t="n">
        <f aca="false">BM31+BM32</f>
        <v>3.35</v>
      </c>
      <c r="BN33" s="11" t="n">
        <f aca="false">BN31+BN32</f>
        <v>3.35</v>
      </c>
      <c r="BO33" s="11" t="n">
        <f aca="false">BO31+BO32</f>
        <v>3.35</v>
      </c>
      <c r="BP33" s="11" t="n">
        <f aca="false">BP31+BP32</f>
        <v>3.35</v>
      </c>
      <c r="BQ33" s="11" t="n">
        <f aca="false">BQ31+BQ32</f>
        <v>3.35</v>
      </c>
      <c r="BR33" s="11" t="n">
        <f aca="false">BR31+BR32</f>
        <v>3.35</v>
      </c>
      <c r="BS33" s="11" t="n">
        <f aca="false">BS31+BS32</f>
        <v>3.35</v>
      </c>
      <c r="BT33" s="11" t="n">
        <f aca="false">BT31+BT32</f>
        <v>3.35</v>
      </c>
      <c r="BU33" s="11" t="n">
        <f aca="false">BU31+BU32</f>
        <v>3.35</v>
      </c>
      <c r="BV33" s="11" t="n">
        <f aca="false">BV31+BV32</f>
        <v>3.35</v>
      </c>
      <c r="BW33" s="11" t="n">
        <f aca="false">BW31+BW32</f>
        <v>3.35</v>
      </c>
      <c r="BX33" s="11" t="n">
        <f aca="false">BX31+BX32</f>
        <v>3.35</v>
      </c>
      <c r="BY33" s="11" t="n">
        <f aca="false">BY31+BY32</f>
        <v>3.35</v>
      </c>
      <c r="BZ33" s="11" t="n">
        <f aca="false">BZ31+BZ32</f>
        <v>3.35</v>
      </c>
      <c r="CA33" s="11" t="n">
        <f aca="false">CA31+CA32</f>
        <v>3.35</v>
      </c>
      <c r="CB33" s="11" t="n">
        <f aca="false">CB31+CB32</f>
        <v>3.35</v>
      </c>
      <c r="CC33" s="11" t="n">
        <f aca="false">CC31+CC32</f>
        <v>3.35</v>
      </c>
      <c r="CD33" s="11" t="n">
        <f aca="false">CD31+CD32</f>
        <v>3.35</v>
      </c>
      <c r="CE33" s="11" t="n">
        <f aca="false">CE31+CE32</f>
        <v>3.35</v>
      </c>
      <c r="CF33" s="11" t="n">
        <f aca="false">CF31+CF32</f>
        <v>3.35</v>
      </c>
      <c r="CG33" s="11" t="n">
        <f aca="false">CG31+CG32</f>
        <v>3.35</v>
      </c>
      <c r="CH33" s="11" t="n">
        <f aca="false">CH31+CH32</f>
        <v>3.35</v>
      </c>
      <c r="CI33" s="11" t="n">
        <f aca="false">CI31+CI32</f>
        <v>3.35</v>
      </c>
      <c r="CJ33" s="11" t="n">
        <f aca="false">CJ31+CJ32</f>
        <v>3.35</v>
      </c>
      <c r="CK33" s="11" t="n">
        <f aca="false">CK31+CK32</f>
        <v>3.35</v>
      </c>
      <c r="CL33" s="11" t="n">
        <f aca="false">CL31+CL32</f>
        <v>3.35</v>
      </c>
      <c r="CM33" s="11" t="n">
        <f aca="false">CM31+CM32</f>
        <v>3.35</v>
      </c>
      <c r="CN33" s="11" t="n">
        <f aca="false">CN31+CN32</f>
        <v>3.35</v>
      </c>
      <c r="CO33" s="11" t="n">
        <f aca="false">CO31+CO32</f>
        <v>3.35</v>
      </c>
      <c r="CP33" s="11" t="n">
        <f aca="false">CP31+CP32</f>
        <v>3.35</v>
      </c>
      <c r="CQ33" s="11" t="n">
        <f aca="false">CQ31+CQ32</f>
        <v>3.35</v>
      </c>
      <c r="CR33" s="11" t="n">
        <f aca="false">CR31+CR32</f>
        <v>3.35</v>
      </c>
      <c r="CS33" s="11" t="n">
        <f aca="false">CS31+CS32</f>
        <v>3.35</v>
      </c>
      <c r="CT33" s="11" t="n">
        <f aca="false">CT31+CT32</f>
        <v>3.35</v>
      </c>
      <c r="CU33" s="11" t="n">
        <f aca="false">CU31+CU32</f>
        <v>3.35</v>
      </c>
      <c r="CV33" s="11" t="n">
        <f aca="false">CV31+CV32</f>
        <v>3.35</v>
      </c>
      <c r="CW33" s="11" t="n">
        <f aca="false">CW31+CW32</f>
        <v>3.35</v>
      </c>
      <c r="CX33" s="11" t="n">
        <f aca="false">CX31+CX32</f>
        <v>3.35</v>
      </c>
      <c r="CY33" s="11" t="n">
        <f aca="false">CY31+CY32</f>
        <v>3.35</v>
      </c>
      <c r="CZ33" s="11" t="n">
        <f aca="false">CZ31+CZ32</f>
        <v>3.35</v>
      </c>
      <c r="DA33" s="11" t="n">
        <f aca="false">DA31+DA32</f>
        <v>3.35</v>
      </c>
      <c r="DB33" s="11" t="n">
        <f aca="false">DB31+DB32</f>
        <v>3.35</v>
      </c>
      <c r="DC33" s="11" t="n">
        <f aca="false">DC31+DC32</f>
        <v>3.35</v>
      </c>
      <c r="DD33" s="11" t="n">
        <f aca="false">DD31+DD32</f>
        <v>3.35</v>
      </c>
      <c r="DE33" s="11" t="n">
        <f aca="false">DE31+DE32</f>
        <v>3.35</v>
      </c>
      <c r="DF33" s="11" t="n">
        <f aca="false">DF31+DF32</f>
        <v>3.35</v>
      </c>
      <c r="DG33" s="11" t="n">
        <f aca="false">DG31+DG32</f>
        <v>3.35</v>
      </c>
      <c r="DH33" s="11" t="n">
        <f aca="false">DH31+DH32</f>
        <v>3.35</v>
      </c>
      <c r="DI33" s="11" t="n">
        <f aca="false">DI31+DI32</f>
        <v>3.35</v>
      </c>
      <c r="DJ33" s="11" t="n">
        <f aca="false">DJ31+DJ32</f>
        <v>3.35</v>
      </c>
      <c r="DK33" s="11" t="n">
        <f aca="false">DK31+DK32</f>
        <v>3.35</v>
      </c>
      <c r="DL33" s="11" t="n">
        <f aca="false">DL31+DL32</f>
        <v>3.35</v>
      </c>
      <c r="DM33" s="11" t="n">
        <f aca="false">DM31+DM32</f>
        <v>3.35</v>
      </c>
      <c r="DN33" s="11" t="n">
        <f aca="false">DN31+DN32</f>
        <v>3.35</v>
      </c>
      <c r="DO33" s="11" t="n">
        <f aca="false">DO31+DO32</f>
        <v>3.35</v>
      </c>
      <c r="DP33" s="11" t="n">
        <f aca="false">DP31+DP32</f>
        <v>3.35</v>
      </c>
      <c r="DQ33" s="11" t="n">
        <f aca="false">DQ31+DQ32</f>
        <v>3.35</v>
      </c>
      <c r="DR33" s="11" t="n">
        <f aca="false">DR31+DR32</f>
        <v>3.35</v>
      </c>
    </row>
    <row r="34" customFormat="false" ht="15" hidden="false" customHeight="false" outlineLevel="0" collapsed="false">
      <c r="A34" s="9" t="s">
        <v>203</v>
      </c>
      <c r="B34" s="11" t="n">
        <f aca="false">B26-B33</f>
        <v>0</v>
      </c>
      <c r="C34" s="11" t="n">
        <f aca="false">C26-C33</f>
        <v>3.06666666666667</v>
      </c>
      <c r="D34" s="11" t="n">
        <f aca="false">D26-D33</f>
        <v>3.06666666666667</v>
      </c>
      <c r="E34" s="11" t="n">
        <f aca="false">E26-E33</f>
        <v>3.06666666666667</v>
      </c>
      <c r="F34" s="11" t="n">
        <f aca="false">F26-F33</f>
        <v>3.06666666666667</v>
      </c>
      <c r="G34" s="11" t="n">
        <f aca="false">G26-G33</f>
        <v>3.06666666666667</v>
      </c>
      <c r="H34" s="11" t="n">
        <f aca="false">H26-H33</f>
        <v>3.06666666666667</v>
      </c>
      <c r="I34" s="11" t="n">
        <f aca="false">I26-I33</f>
        <v>3.06666666666667</v>
      </c>
      <c r="J34" s="11" t="n">
        <f aca="false">J26-J33</f>
        <v>3.06666666666667</v>
      </c>
      <c r="K34" s="11" t="n">
        <f aca="false">K26-K33</f>
        <v>3.06666666666667</v>
      </c>
      <c r="L34" s="11" t="n">
        <f aca="false">L26-L33</f>
        <v>3.06666666666667</v>
      </c>
      <c r="M34" s="11" t="n">
        <f aca="false">M26-M33</f>
        <v>3.06666666666667</v>
      </c>
      <c r="N34" s="11" t="n">
        <f aca="false">N26-N33</f>
        <v>3.06666666666667</v>
      </c>
      <c r="O34" s="11" t="n">
        <f aca="false">O26-O33</f>
        <v>3.65</v>
      </c>
      <c r="P34" s="11" t="n">
        <f aca="false">P26-P33</f>
        <v>3.65</v>
      </c>
      <c r="Q34" s="11" t="n">
        <f aca="false">Q26-Q33</f>
        <v>3.65</v>
      </c>
      <c r="R34" s="11" t="n">
        <f aca="false">R26-R33</f>
        <v>3.65</v>
      </c>
      <c r="S34" s="11" t="n">
        <f aca="false">S26-S33</f>
        <v>3.65</v>
      </c>
      <c r="T34" s="11" t="n">
        <f aca="false">T26-T33</f>
        <v>3.65</v>
      </c>
      <c r="U34" s="11" t="n">
        <f aca="false">U26-U33</f>
        <v>3.65</v>
      </c>
      <c r="V34" s="11" t="n">
        <f aca="false">V26-V33</f>
        <v>3.65</v>
      </c>
      <c r="W34" s="11" t="n">
        <f aca="false">W26-W33</f>
        <v>3.65</v>
      </c>
      <c r="X34" s="11" t="n">
        <f aca="false">X26-X33</f>
        <v>3.65</v>
      </c>
      <c r="Y34" s="11" t="n">
        <f aca="false">Y26-Y33</f>
        <v>3.65</v>
      </c>
      <c r="Z34" s="11" t="n">
        <f aca="false">Z26-Z33</f>
        <v>3.65</v>
      </c>
      <c r="AA34" s="11" t="n">
        <f aca="false">AA26-AA33</f>
        <v>3.65</v>
      </c>
      <c r="AB34" s="11" t="n">
        <f aca="false">AB26-AB33</f>
        <v>3.65</v>
      </c>
      <c r="AC34" s="11" t="n">
        <f aca="false">AC26-AC33</f>
        <v>3.65</v>
      </c>
      <c r="AD34" s="11" t="n">
        <f aca="false">AD26-AD33</f>
        <v>3.65</v>
      </c>
      <c r="AE34" s="11" t="n">
        <f aca="false">AE26-AE33</f>
        <v>3.65</v>
      </c>
      <c r="AF34" s="11" t="n">
        <f aca="false">AF26-AF33</f>
        <v>3.65</v>
      </c>
      <c r="AG34" s="11" t="n">
        <f aca="false">AG26-AG33</f>
        <v>3.65</v>
      </c>
      <c r="AH34" s="11" t="n">
        <f aca="false">AH26-AH33</f>
        <v>3.65</v>
      </c>
      <c r="AI34" s="11" t="n">
        <f aca="false">AI26-AI33</f>
        <v>3.65</v>
      </c>
      <c r="AJ34" s="11" t="n">
        <f aca="false">AJ26-AJ33</f>
        <v>3.65</v>
      </c>
      <c r="AK34" s="11" t="n">
        <f aca="false">AK26-AK33</f>
        <v>3.65</v>
      </c>
      <c r="AL34" s="11" t="n">
        <f aca="false">AL26-AL33</f>
        <v>3.65</v>
      </c>
      <c r="AM34" s="11" t="n">
        <f aca="false">AM26-AM33</f>
        <v>3.65</v>
      </c>
      <c r="AN34" s="11" t="n">
        <f aca="false">AN26-AN33</f>
        <v>3.65</v>
      </c>
      <c r="AO34" s="11" t="n">
        <f aca="false">AO26-AO33</f>
        <v>3.65</v>
      </c>
      <c r="AP34" s="11" t="n">
        <f aca="false">AP26-AP33</f>
        <v>3.65</v>
      </c>
      <c r="AQ34" s="11" t="n">
        <f aca="false">AQ26-AQ33</f>
        <v>3.65</v>
      </c>
      <c r="AR34" s="11" t="n">
        <f aca="false">AR26-AR33</f>
        <v>3.65</v>
      </c>
      <c r="AS34" s="11" t="n">
        <f aca="false">AS26-AS33</f>
        <v>3.65</v>
      </c>
      <c r="AT34" s="11" t="n">
        <f aca="false">AT26-AT33</f>
        <v>3.65</v>
      </c>
      <c r="AU34" s="11" t="n">
        <f aca="false">AU26-AU33</f>
        <v>3.65</v>
      </c>
      <c r="AV34" s="11" t="n">
        <f aca="false">AV26-AV33</f>
        <v>3.65</v>
      </c>
      <c r="AW34" s="11" t="n">
        <f aca="false">AW26-AW33</f>
        <v>3.65</v>
      </c>
      <c r="AX34" s="11" t="n">
        <f aca="false">AX26-AX33</f>
        <v>3.65</v>
      </c>
      <c r="AY34" s="11" t="n">
        <f aca="false">AY26-AY33</f>
        <v>3.65</v>
      </c>
      <c r="AZ34" s="11" t="n">
        <f aca="false">AZ26-AZ33</f>
        <v>3.65</v>
      </c>
      <c r="BA34" s="11" t="n">
        <f aca="false">BA26-BA33</f>
        <v>3.65</v>
      </c>
      <c r="BB34" s="11" t="n">
        <f aca="false">BB26-BB33</f>
        <v>3.65</v>
      </c>
      <c r="BC34" s="11" t="n">
        <f aca="false">BC26-BC33</f>
        <v>3.65</v>
      </c>
      <c r="BD34" s="11" t="n">
        <f aca="false">BD26-BD33</f>
        <v>3.65</v>
      </c>
      <c r="BE34" s="11" t="n">
        <f aca="false">BE26-BE33</f>
        <v>3.65</v>
      </c>
      <c r="BF34" s="11" t="n">
        <f aca="false">BF26-BF33</f>
        <v>3.65</v>
      </c>
      <c r="BG34" s="11" t="n">
        <f aca="false">BG26-BG33</f>
        <v>3.65</v>
      </c>
      <c r="BH34" s="11" t="n">
        <f aca="false">BH26-BH33</f>
        <v>3.65</v>
      </c>
      <c r="BI34" s="11" t="n">
        <f aca="false">BI26-BI33</f>
        <v>3.65</v>
      </c>
      <c r="BJ34" s="11" t="n">
        <f aca="false">BJ26-BJ33</f>
        <v>3.65</v>
      </c>
      <c r="BK34" s="11" t="n">
        <f aca="false">BK26-BK33</f>
        <v>3.65</v>
      </c>
      <c r="BL34" s="11" t="n">
        <f aca="false">BL26-BL33</f>
        <v>3.65</v>
      </c>
      <c r="BM34" s="11" t="n">
        <f aca="false">BM26-BM33</f>
        <v>3.65</v>
      </c>
      <c r="BN34" s="11" t="n">
        <f aca="false">BN26-BN33</f>
        <v>3.65</v>
      </c>
      <c r="BO34" s="11" t="n">
        <f aca="false">BO26-BO33</f>
        <v>3.65</v>
      </c>
      <c r="BP34" s="11" t="n">
        <f aca="false">BP26-BP33</f>
        <v>3.65</v>
      </c>
      <c r="BQ34" s="11" t="n">
        <f aca="false">BQ26-BQ33</f>
        <v>3.65</v>
      </c>
      <c r="BR34" s="11" t="n">
        <f aca="false">BR26-BR33</f>
        <v>3.65</v>
      </c>
      <c r="BS34" s="11" t="n">
        <f aca="false">BS26-BS33</f>
        <v>3.65</v>
      </c>
      <c r="BT34" s="11" t="n">
        <f aca="false">BT26-BT33</f>
        <v>3.65</v>
      </c>
      <c r="BU34" s="11" t="n">
        <f aca="false">BU26-BU33</f>
        <v>3.65</v>
      </c>
      <c r="BV34" s="11" t="n">
        <f aca="false">BV26-BV33</f>
        <v>3.65</v>
      </c>
      <c r="BW34" s="11" t="n">
        <f aca="false">BW26-BW33</f>
        <v>3.65</v>
      </c>
      <c r="BX34" s="11" t="n">
        <f aca="false">BX26-BX33</f>
        <v>3.65</v>
      </c>
      <c r="BY34" s="11" t="n">
        <f aca="false">BY26-BY33</f>
        <v>3.65</v>
      </c>
      <c r="BZ34" s="11" t="n">
        <f aca="false">BZ26-BZ33</f>
        <v>3.65</v>
      </c>
      <c r="CA34" s="11" t="n">
        <f aca="false">CA26-CA33</f>
        <v>3.65</v>
      </c>
      <c r="CB34" s="11" t="n">
        <f aca="false">CB26-CB33</f>
        <v>3.65</v>
      </c>
      <c r="CC34" s="11" t="n">
        <f aca="false">CC26-CC33</f>
        <v>3.65</v>
      </c>
      <c r="CD34" s="11" t="n">
        <f aca="false">CD26-CD33</f>
        <v>3.65</v>
      </c>
      <c r="CE34" s="11" t="n">
        <f aca="false">CE26-CE33</f>
        <v>3.65</v>
      </c>
      <c r="CF34" s="11" t="n">
        <f aca="false">CF26-CF33</f>
        <v>3.65</v>
      </c>
      <c r="CG34" s="11" t="n">
        <f aca="false">CG26-CG33</f>
        <v>3.65</v>
      </c>
      <c r="CH34" s="11" t="n">
        <f aca="false">CH26-CH33</f>
        <v>3.65</v>
      </c>
      <c r="CI34" s="11" t="n">
        <f aca="false">CI26-CI33</f>
        <v>3.65</v>
      </c>
      <c r="CJ34" s="11" t="n">
        <f aca="false">CJ26-CJ33</f>
        <v>3.65</v>
      </c>
      <c r="CK34" s="11" t="n">
        <f aca="false">CK26-CK33</f>
        <v>3.65</v>
      </c>
      <c r="CL34" s="11" t="n">
        <f aca="false">CL26-CL33</f>
        <v>3.65</v>
      </c>
      <c r="CM34" s="11" t="n">
        <f aca="false">CM26-CM33</f>
        <v>3.65</v>
      </c>
      <c r="CN34" s="11" t="n">
        <f aca="false">CN26-CN33</f>
        <v>3.65</v>
      </c>
      <c r="CO34" s="11" t="n">
        <f aca="false">CO26-CO33</f>
        <v>3.65</v>
      </c>
      <c r="CP34" s="11" t="n">
        <f aca="false">CP26-CP33</f>
        <v>3.65</v>
      </c>
      <c r="CQ34" s="11" t="n">
        <f aca="false">CQ26-CQ33</f>
        <v>3.65</v>
      </c>
      <c r="CR34" s="11" t="n">
        <f aca="false">CR26-CR33</f>
        <v>3.65</v>
      </c>
      <c r="CS34" s="11" t="n">
        <f aca="false">CS26-CS33</f>
        <v>3.65</v>
      </c>
      <c r="CT34" s="11" t="n">
        <f aca="false">CT26-CT33</f>
        <v>3.65</v>
      </c>
      <c r="CU34" s="11" t="n">
        <f aca="false">CU26-CU33</f>
        <v>3.65</v>
      </c>
      <c r="CV34" s="11" t="n">
        <f aca="false">CV26-CV33</f>
        <v>3.65</v>
      </c>
      <c r="CW34" s="11" t="n">
        <f aca="false">CW26-CW33</f>
        <v>3.65</v>
      </c>
      <c r="CX34" s="11" t="n">
        <f aca="false">CX26-CX33</f>
        <v>3.65</v>
      </c>
      <c r="CY34" s="11" t="n">
        <f aca="false">CY26-CY33</f>
        <v>3.65</v>
      </c>
      <c r="CZ34" s="11" t="n">
        <f aca="false">CZ26-CZ33</f>
        <v>3.65</v>
      </c>
      <c r="DA34" s="11" t="n">
        <f aca="false">DA26-DA33</f>
        <v>3.65</v>
      </c>
      <c r="DB34" s="11" t="n">
        <f aca="false">DB26-DB33</f>
        <v>3.65</v>
      </c>
      <c r="DC34" s="11" t="n">
        <f aca="false">DC26-DC33</f>
        <v>3.65</v>
      </c>
      <c r="DD34" s="11" t="n">
        <f aca="false">DD26-DD33</f>
        <v>3.65</v>
      </c>
      <c r="DE34" s="11" t="n">
        <f aca="false">DE26-DE33</f>
        <v>3.65</v>
      </c>
      <c r="DF34" s="11" t="n">
        <f aca="false">DF26-DF33</f>
        <v>3.65</v>
      </c>
      <c r="DG34" s="11" t="n">
        <f aca="false">DG26-DG33</f>
        <v>3.65</v>
      </c>
      <c r="DH34" s="11" t="n">
        <f aca="false">DH26-DH33</f>
        <v>3.65</v>
      </c>
      <c r="DI34" s="11" t="n">
        <f aca="false">DI26-DI33</f>
        <v>3.65</v>
      </c>
      <c r="DJ34" s="11" t="n">
        <f aca="false">DJ26-DJ33</f>
        <v>3.65</v>
      </c>
      <c r="DK34" s="11" t="n">
        <f aca="false">DK26-DK33</f>
        <v>3.65</v>
      </c>
      <c r="DL34" s="11" t="n">
        <f aca="false">DL26-DL33</f>
        <v>3.65</v>
      </c>
      <c r="DM34" s="11" t="n">
        <f aca="false">DM26-DM33</f>
        <v>3.65</v>
      </c>
      <c r="DN34" s="11" t="n">
        <f aca="false">DN26-DN33</f>
        <v>3.65</v>
      </c>
      <c r="DO34" s="11" t="n">
        <f aca="false">DO26-DO33</f>
        <v>3.65</v>
      </c>
      <c r="DP34" s="11" t="n">
        <f aca="false">DP26-DP33</f>
        <v>3.65</v>
      </c>
      <c r="DQ34" s="11" t="n">
        <f aca="false">DQ26-DQ33</f>
        <v>3.65</v>
      </c>
      <c r="DR34" s="11" t="n">
        <f aca="false">DR26-DR33</f>
        <v>3.65</v>
      </c>
    </row>
    <row r="35" customFormat="false" ht="15" hidden="false" customHeight="false" outlineLevel="0" collapsed="false">
      <c r="A35" s="12" t="s">
        <v>204</v>
      </c>
      <c r="B35" s="13" t="n">
        <f aca="false">B19-B23-B33</f>
        <v>0</v>
      </c>
      <c r="C35" s="13" t="n">
        <f aca="false">C19-C23-C33</f>
        <v>17.0666666666667</v>
      </c>
      <c r="D35" s="13" t="n">
        <f aca="false">D19-D23-D33</f>
        <v>17.0666666666667</v>
      </c>
      <c r="E35" s="13" t="n">
        <f aca="false">E19-E23-E33</f>
        <v>17.0666666666667</v>
      </c>
      <c r="F35" s="13" t="n">
        <f aca="false">F19-F23-F33</f>
        <v>17.0666666666667</v>
      </c>
      <c r="G35" s="13" t="n">
        <f aca="false">G19-G23-G33</f>
        <v>17.0666666666667</v>
      </c>
      <c r="H35" s="13" t="n">
        <f aca="false">H19-H23-H33</f>
        <v>17.0666666666667</v>
      </c>
      <c r="I35" s="13" t="n">
        <f aca="false">I19-I23-I33</f>
        <v>17.0666666666667</v>
      </c>
      <c r="J35" s="13" t="n">
        <f aca="false">J19-J23-J33</f>
        <v>17.0666666666667</v>
      </c>
      <c r="K35" s="13" t="n">
        <f aca="false">K19-K23-K33</f>
        <v>17.0666666666667</v>
      </c>
      <c r="L35" s="13" t="n">
        <f aca="false">L19-L23-L33</f>
        <v>17.0666666666667</v>
      </c>
      <c r="M35" s="13" t="n">
        <f aca="false">M19-M23-M33</f>
        <v>17.0666666666667</v>
      </c>
      <c r="N35" s="13" t="n">
        <f aca="false">N19-N23-N33</f>
        <v>17.0666666666667</v>
      </c>
      <c r="O35" s="13" t="n">
        <f aca="false">O19-O23-O33</f>
        <v>17.65</v>
      </c>
      <c r="P35" s="13" t="n">
        <f aca="false">P19-P23-P33</f>
        <v>17.65</v>
      </c>
      <c r="Q35" s="13" t="n">
        <f aca="false">Q19-Q23-Q33</f>
        <v>17.65</v>
      </c>
      <c r="R35" s="13" t="n">
        <f aca="false">R19-R23-R33</f>
        <v>17.65</v>
      </c>
      <c r="S35" s="13" t="n">
        <f aca="false">S19-S23-S33</f>
        <v>17.65</v>
      </c>
      <c r="T35" s="13" t="n">
        <f aca="false">T19-T23-T33</f>
        <v>17.65</v>
      </c>
      <c r="U35" s="13" t="n">
        <f aca="false">U19-U23-U33</f>
        <v>17.65</v>
      </c>
      <c r="V35" s="13" t="n">
        <f aca="false">V19-V23-V33</f>
        <v>17.65</v>
      </c>
      <c r="W35" s="13" t="n">
        <f aca="false">W19-W23-W33</f>
        <v>17.65</v>
      </c>
      <c r="X35" s="13" t="n">
        <f aca="false">X19-X23-X33</f>
        <v>17.65</v>
      </c>
      <c r="Y35" s="13" t="n">
        <f aca="false">Y19-Y23-Y33</f>
        <v>17.65</v>
      </c>
      <c r="Z35" s="13" t="n">
        <f aca="false">Z19-Z23-Z33</f>
        <v>17.65</v>
      </c>
      <c r="AA35" s="13" t="n">
        <f aca="false">AA19-AA23-AA33</f>
        <v>17.65</v>
      </c>
      <c r="AB35" s="13" t="n">
        <f aca="false">AB19-AB23-AB33</f>
        <v>17.65</v>
      </c>
      <c r="AC35" s="13" t="n">
        <f aca="false">AC19-AC23-AC33</f>
        <v>17.65</v>
      </c>
      <c r="AD35" s="13" t="n">
        <f aca="false">AD19-AD23-AD33</f>
        <v>17.65</v>
      </c>
      <c r="AE35" s="13" t="n">
        <f aca="false">AE19-AE23-AE33</f>
        <v>17.65</v>
      </c>
      <c r="AF35" s="13" t="n">
        <f aca="false">AF19-AF23-AF33</f>
        <v>17.65</v>
      </c>
      <c r="AG35" s="13" t="n">
        <f aca="false">AG19-AG23-AG33</f>
        <v>17.65</v>
      </c>
      <c r="AH35" s="13" t="n">
        <f aca="false">AH19-AH23-AH33</f>
        <v>17.65</v>
      </c>
      <c r="AI35" s="13" t="n">
        <f aca="false">AI19-AI23-AI33</f>
        <v>17.65</v>
      </c>
      <c r="AJ35" s="13" t="n">
        <f aca="false">AJ19-AJ23-AJ33</f>
        <v>17.65</v>
      </c>
      <c r="AK35" s="13" t="n">
        <f aca="false">AK19-AK23-AK33</f>
        <v>17.65</v>
      </c>
      <c r="AL35" s="13" t="n">
        <f aca="false">AL19-AL23-AL33</f>
        <v>17.65</v>
      </c>
      <c r="AM35" s="13" t="n">
        <f aca="false">AM19-AM23-AM33</f>
        <v>17.65</v>
      </c>
      <c r="AN35" s="13" t="n">
        <f aca="false">AN19-AN23-AN33</f>
        <v>17.65</v>
      </c>
      <c r="AO35" s="13" t="n">
        <f aca="false">AO19-AO23-AO33</f>
        <v>17.65</v>
      </c>
      <c r="AP35" s="13" t="n">
        <f aca="false">AP19-AP23-AP33</f>
        <v>17.65</v>
      </c>
      <c r="AQ35" s="13" t="n">
        <f aca="false">AQ19-AQ23-AQ33</f>
        <v>17.65</v>
      </c>
      <c r="AR35" s="13" t="n">
        <f aca="false">AR19-AR23-AR33</f>
        <v>17.65</v>
      </c>
      <c r="AS35" s="13" t="n">
        <f aca="false">AS19-AS23-AS33</f>
        <v>17.65</v>
      </c>
      <c r="AT35" s="13" t="n">
        <f aca="false">AT19-AT23-AT33</f>
        <v>17.65</v>
      </c>
      <c r="AU35" s="13" t="n">
        <f aca="false">AU19-AU23-AU33</f>
        <v>17.65</v>
      </c>
      <c r="AV35" s="13" t="n">
        <f aca="false">AV19-AV23-AV33</f>
        <v>17.65</v>
      </c>
      <c r="AW35" s="13" t="n">
        <f aca="false">AW19-AW23-AW33</f>
        <v>17.65</v>
      </c>
      <c r="AX35" s="13" t="n">
        <f aca="false">AX19-AX23-AX33</f>
        <v>17.65</v>
      </c>
      <c r="AY35" s="13" t="n">
        <f aca="false">AY19-AY23-AY33</f>
        <v>17.65</v>
      </c>
      <c r="AZ35" s="13" t="n">
        <f aca="false">AZ19-AZ23-AZ33</f>
        <v>17.65</v>
      </c>
      <c r="BA35" s="13" t="n">
        <f aca="false">BA19-BA23-BA33</f>
        <v>17.65</v>
      </c>
      <c r="BB35" s="13" t="n">
        <f aca="false">BB19-BB23-BB33</f>
        <v>17.65</v>
      </c>
      <c r="BC35" s="13" t="n">
        <f aca="false">BC19-BC23-BC33</f>
        <v>17.65</v>
      </c>
      <c r="BD35" s="13" t="n">
        <f aca="false">BD19-BD23-BD33</f>
        <v>17.65</v>
      </c>
      <c r="BE35" s="13" t="n">
        <f aca="false">BE19-BE23-BE33</f>
        <v>17.65</v>
      </c>
      <c r="BF35" s="13" t="n">
        <f aca="false">BF19-BF23-BF33</f>
        <v>17.65</v>
      </c>
      <c r="BG35" s="13" t="n">
        <f aca="false">BG19-BG23-BG33</f>
        <v>17.65</v>
      </c>
      <c r="BH35" s="13" t="n">
        <f aca="false">BH19-BH23-BH33</f>
        <v>17.65</v>
      </c>
      <c r="BI35" s="13" t="n">
        <f aca="false">BI19-BI23-BI33</f>
        <v>17.65</v>
      </c>
      <c r="BJ35" s="13" t="n">
        <f aca="false">BJ19-BJ23-BJ33</f>
        <v>17.65</v>
      </c>
      <c r="BK35" s="13" t="n">
        <f aca="false">BK19-BK23-BK33</f>
        <v>17.65</v>
      </c>
      <c r="BL35" s="13" t="n">
        <f aca="false">BL19-BL23-BL33</f>
        <v>17.65</v>
      </c>
      <c r="BM35" s="13" t="n">
        <f aca="false">BM19-BM23-BM33</f>
        <v>17.65</v>
      </c>
      <c r="BN35" s="13" t="n">
        <f aca="false">BN19-BN23-BN33</f>
        <v>17.65</v>
      </c>
      <c r="BO35" s="13" t="n">
        <f aca="false">BO19-BO23-BO33</f>
        <v>17.65</v>
      </c>
      <c r="BP35" s="13" t="n">
        <f aca="false">BP19-BP23-BP33</f>
        <v>17.65</v>
      </c>
      <c r="BQ35" s="13" t="n">
        <f aca="false">BQ19-BQ23-BQ33</f>
        <v>17.65</v>
      </c>
      <c r="BR35" s="13" t="n">
        <f aca="false">BR19-BR23-BR33</f>
        <v>17.65</v>
      </c>
      <c r="BS35" s="13" t="n">
        <f aca="false">BS19-BS23-BS33</f>
        <v>17.65</v>
      </c>
      <c r="BT35" s="13" t="n">
        <f aca="false">BT19-BT23-BT33</f>
        <v>17.65</v>
      </c>
      <c r="BU35" s="13" t="n">
        <f aca="false">BU19-BU23-BU33</f>
        <v>17.65</v>
      </c>
      <c r="BV35" s="13" t="n">
        <f aca="false">BV19-BV23-BV33</f>
        <v>17.65</v>
      </c>
      <c r="BW35" s="13" t="n">
        <f aca="false">BW19-BW23-BW33</f>
        <v>17.65</v>
      </c>
      <c r="BX35" s="13" t="n">
        <f aca="false">BX19-BX23-BX33</f>
        <v>17.65</v>
      </c>
      <c r="BY35" s="13" t="n">
        <f aca="false">BY19-BY23-BY33</f>
        <v>17.65</v>
      </c>
      <c r="BZ35" s="13" t="n">
        <f aca="false">BZ19-BZ23-BZ33</f>
        <v>17.65</v>
      </c>
      <c r="CA35" s="13" t="n">
        <f aca="false">CA19-CA23-CA33</f>
        <v>17.65</v>
      </c>
      <c r="CB35" s="13" t="n">
        <f aca="false">CB19-CB23-CB33</f>
        <v>17.65</v>
      </c>
      <c r="CC35" s="13" t="n">
        <f aca="false">CC19-CC23-CC33</f>
        <v>17.65</v>
      </c>
      <c r="CD35" s="13" t="n">
        <f aca="false">CD19-CD23-CD33</f>
        <v>17.65</v>
      </c>
      <c r="CE35" s="13" t="n">
        <f aca="false">CE19-CE23-CE33</f>
        <v>17.65</v>
      </c>
      <c r="CF35" s="13" t="n">
        <f aca="false">CF19-CF23-CF33</f>
        <v>17.65</v>
      </c>
      <c r="CG35" s="13" t="n">
        <f aca="false">CG19-CG23-CG33</f>
        <v>17.65</v>
      </c>
      <c r="CH35" s="13" t="n">
        <f aca="false">CH19-CH23-CH33</f>
        <v>17.65</v>
      </c>
      <c r="CI35" s="13" t="n">
        <f aca="false">CI19-CI23-CI33</f>
        <v>17.65</v>
      </c>
      <c r="CJ35" s="13" t="n">
        <f aca="false">CJ19-CJ23-CJ33</f>
        <v>17.65</v>
      </c>
      <c r="CK35" s="13" t="n">
        <f aca="false">CK19-CK23-CK33</f>
        <v>17.65</v>
      </c>
      <c r="CL35" s="13" t="n">
        <f aca="false">CL19-CL23-CL33</f>
        <v>17.65</v>
      </c>
      <c r="CM35" s="13" t="n">
        <f aca="false">CM19-CM23-CM33</f>
        <v>17.65</v>
      </c>
      <c r="CN35" s="13" t="n">
        <f aca="false">CN19-CN23-CN33</f>
        <v>17.65</v>
      </c>
      <c r="CO35" s="13" t="n">
        <f aca="false">CO19-CO23-CO33</f>
        <v>17.65</v>
      </c>
      <c r="CP35" s="13" t="n">
        <f aca="false">CP19-CP23-CP33</f>
        <v>17.65</v>
      </c>
      <c r="CQ35" s="13" t="n">
        <f aca="false">CQ19-CQ23-CQ33</f>
        <v>17.65</v>
      </c>
      <c r="CR35" s="13" t="n">
        <f aca="false">CR19-CR23-CR33</f>
        <v>17.65</v>
      </c>
      <c r="CS35" s="13" t="n">
        <f aca="false">CS19-CS23-CS33</f>
        <v>17.65</v>
      </c>
      <c r="CT35" s="13" t="n">
        <f aca="false">CT19-CT23-CT33</f>
        <v>17.65</v>
      </c>
      <c r="CU35" s="13" t="n">
        <f aca="false">CU19-CU23-CU33</f>
        <v>17.65</v>
      </c>
      <c r="CV35" s="13" t="n">
        <f aca="false">CV19-CV23-CV33</f>
        <v>17.65</v>
      </c>
      <c r="CW35" s="13" t="n">
        <f aca="false">CW19-CW23-CW33</f>
        <v>17.65</v>
      </c>
      <c r="CX35" s="13" t="n">
        <f aca="false">CX19-CX23-CX33</f>
        <v>17.65</v>
      </c>
      <c r="CY35" s="13" t="n">
        <f aca="false">CY19-CY23-CY33</f>
        <v>17.65</v>
      </c>
      <c r="CZ35" s="13" t="n">
        <f aca="false">CZ19-CZ23-CZ33</f>
        <v>17.65</v>
      </c>
      <c r="DA35" s="13" t="n">
        <f aca="false">DA19-DA23-DA33</f>
        <v>17.65</v>
      </c>
      <c r="DB35" s="13" t="n">
        <f aca="false">DB19-DB23-DB33</f>
        <v>17.65</v>
      </c>
      <c r="DC35" s="13" t="n">
        <f aca="false">DC19-DC23-DC33</f>
        <v>17.65</v>
      </c>
      <c r="DD35" s="13" t="n">
        <f aca="false">DD19-DD23-DD33</f>
        <v>17.65</v>
      </c>
      <c r="DE35" s="13" t="n">
        <f aca="false">DE19-DE23-DE33</f>
        <v>17.65</v>
      </c>
      <c r="DF35" s="13" t="n">
        <f aca="false">DF19-DF23-DF33</f>
        <v>17.65</v>
      </c>
      <c r="DG35" s="13" t="n">
        <f aca="false">DG19-DG23-DG33</f>
        <v>17.65</v>
      </c>
      <c r="DH35" s="13" t="n">
        <f aca="false">DH19-DH23-DH33</f>
        <v>17.65</v>
      </c>
      <c r="DI35" s="13" t="n">
        <f aca="false">DI19-DI23-DI33</f>
        <v>17.65</v>
      </c>
      <c r="DJ35" s="13" t="n">
        <f aca="false">DJ19-DJ23-DJ33</f>
        <v>17.65</v>
      </c>
      <c r="DK35" s="13" t="n">
        <f aca="false">DK19-DK23-DK33</f>
        <v>17.65</v>
      </c>
      <c r="DL35" s="13" t="n">
        <f aca="false">DL19-DL23-DL33</f>
        <v>17.65</v>
      </c>
      <c r="DM35" s="13" t="n">
        <f aca="false">DM19-DM23-DM33</f>
        <v>17.65</v>
      </c>
      <c r="DN35" s="13" t="n">
        <f aca="false">DN19-DN23-DN33</f>
        <v>17.65</v>
      </c>
      <c r="DO35" s="13" t="n">
        <f aca="false">DO19-DO23-DO33</f>
        <v>17.65</v>
      </c>
      <c r="DP35" s="13" t="n">
        <f aca="false">DP19-DP23-DP33</f>
        <v>17.65</v>
      </c>
      <c r="DQ35" s="13" t="n">
        <f aca="false">DQ19-DQ23-DQ33</f>
        <v>17.65</v>
      </c>
      <c r="DR35" s="13" t="n">
        <f aca="false">DR19-DR23-DR33</f>
        <v>17.65</v>
      </c>
    </row>
    <row r="36" customFormat="false" ht="15" hidden="false" customHeight="false" outlineLevel="0" collapsed="false">
      <c r="A36" s="9" t="s">
        <v>205</v>
      </c>
      <c r="B36" s="10" t="n">
        <f aca="false">IF(AND(B$1&gt;Inputs!$B$34,B$1&lt;=Inputs!$B$19),Funding!$C$7/Inputs!$B$19,Inputs!$B$34)</f>
        <v>0</v>
      </c>
      <c r="C36" s="10" t="n">
        <f aca="false">IF(AND(C$1&gt;Inputs!$B$34,C$1&lt;=Inputs!$B$19),Funding!$C$7/Inputs!$B$19,Inputs!$B$34)</f>
        <v>3.58333333333333</v>
      </c>
      <c r="D36" s="10" t="n">
        <f aca="false">IF(AND(D$1&gt;Inputs!$B$34,D$1&lt;=Inputs!$B$19),Funding!$C$7/Inputs!$B$19,Inputs!$B$34)</f>
        <v>3.58333333333333</v>
      </c>
      <c r="E36" s="10" t="n">
        <f aca="false">IF(AND(E$1&gt;Inputs!$B$34,E$1&lt;=Inputs!$B$19),Funding!$C$7/Inputs!$B$19,Inputs!$B$34)</f>
        <v>3.58333333333333</v>
      </c>
      <c r="F36" s="10" t="n">
        <f aca="false">IF(AND(F$1&gt;Inputs!$B$34,F$1&lt;=Inputs!$B$19),Funding!$C$7/Inputs!$B$19,Inputs!$B$34)</f>
        <v>3.58333333333333</v>
      </c>
      <c r="G36" s="10" t="n">
        <f aca="false">IF(AND(G$1&gt;Inputs!$B$34,G$1&lt;=Inputs!$B$19),Funding!$C$7/Inputs!$B$19,Inputs!$B$34)</f>
        <v>3.58333333333333</v>
      </c>
      <c r="H36" s="10" t="n">
        <f aca="false">IF(AND(H$1&gt;Inputs!$B$34,H$1&lt;=Inputs!$B$19),Funding!$C$7/Inputs!$B$19,Inputs!$B$34)</f>
        <v>3.58333333333333</v>
      </c>
      <c r="I36" s="10" t="n">
        <f aca="false">IF(AND(I$1&gt;Inputs!$B$34,I$1&lt;=Inputs!$B$19),Funding!$C$7/Inputs!$B$19,Inputs!$B$34)</f>
        <v>3.58333333333333</v>
      </c>
      <c r="J36" s="10" t="n">
        <f aca="false">IF(AND(J$1&gt;Inputs!$B$34,J$1&lt;=Inputs!$B$19),Funding!$C$7/Inputs!$B$19,Inputs!$B$34)</f>
        <v>3.58333333333333</v>
      </c>
      <c r="K36" s="10" t="n">
        <f aca="false">IF(AND(K$1&gt;Inputs!$B$34,K$1&lt;=Inputs!$B$19),Funding!$C$7/Inputs!$B$19,Inputs!$B$34)</f>
        <v>3.58333333333333</v>
      </c>
      <c r="L36" s="10" t="n">
        <f aca="false">IF(AND(L$1&gt;Inputs!$B$34,L$1&lt;=Inputs!$B$19),Funding!$C$7/Inputs!$B$19,Inputs!$B$34)</f>
        <v>3.58333333333333</v>
      </c>
      <c r="M36" s="10" t="n">
        <f aca="false">IF(AND(M$1&gt;Inputs!$B$34,M$1&lt;=Inputs!$B$19),Funding!$C$7/Inputs!$B$19,Inputs!$B$34)</f>
        <v>3.58333333333333</v>
      </c>
      <c r="N36" s="10" t="n">
        <f aca="false">IF(AND(N$1&gt;Inputs!$B$34,N$1&lt;=Inputs!$B$19),Funding!$C$7/Inputs!$B$19,Inputs!$B$34)</f>
        <v>3.58333333333333</v>
      </c>
      <c r="O36" s="10" t="n">
        <f aca="false">IF(AND(O$1&gt;Inputs!$B$34,O$1&lt;=Inputs!$B$19),Funding!$C$7/Inputs!$B$19,Inputs!$B$34)</f>
        <v>0</v>
      </c>
      <c r="P36" s="10" t="n">
        <f aca="false">IF(AND(P$1&gt;Inputs!$B$34,P$1&lt;=Inputs!$B$19),Funding!$C$7/Inputs!$B$19,Inputs!$B$34)</f>
        <v>0</v>
      </c>
      <c r="Q36" s="10" t="n">
        <f aca="false">IF(AND(Q$1&gt;Inputs!$B$34,Q$1&lt;=Inputs!$B$19),Funding!$C$7/Inputs!$B$19,Inputs!$B$34)</f>
        <v>0</v>
      </c>
      <c r="R36" s="10" t="n">
        <f aca="false">IF(AND(R$1&gt;Inputs!$B$34,R$1&lt;=Inputs!$B$19),Funding!$C$7/Inputs!$B$19,Inputs!$B$34)</f>
        <v>0</v>
      </c>
      <c r="S36" s="10" t="n">
        <f aca="false">IF(AND(S$1&gt;Inputs!$B$34,S$1&lt;=Inputs!$B$19),Funding!$C$7/Inputs!$B$19,Inputs!$B$34)</f>
        <v>0</v>
      </c>
      <c r="T36" s="10" t="n">
        <f aca="false">IF(AND(T$1&gt;Inputs!$B$34,T$1&lt;=Inputs!$B$19),Funding!$C$7/Inputs!$B$19,Inputs!$B$34)</f>
        <v>0</v>
      </c>
      <c r="U36" s="10" t="n">
        <f aca="false">IF(AND(U$1&gt;Inputs!$B$34,U$1&lt;=Inputs!$B$19),Funding!$C$7/Inputs!$B$19,Inputs!$B$34)</f>
        <v>0</v>
      </c>
      <c r="V36" s="10" t="n">
        <f aca="false">IF(AND(V$1&gt;Inputs!$B$34,V$1&lt;=Inputs!$B$19),Funding!$C$7/Inputs!$B$19,Inputs!$B$34)</f>
        <v>0</v>
      </c>
      <c r="W36" s="10" t="n">
        <f aca="false">IF(AND(W$1&gt;Inputs!$B$34,W$1&lt;=Inputs!$B$19),Funding!$C$7/Inputs!$B$19,Inputs!$B$34)</f>
        <v>0</v>
      </c>
      <c r="X36" s="10" t="n">
        <f aca="false">IF(AND(X$1&gt;Inputs!$B$34,X$1&lt;=Inputs!$B$19),Funding!$C$7/Inputs!$B$19,Inputs!$B$34)</f>
        <v>0</v>
      </c>
      <c r="Y36" s="10" t="n">
        <f aca="false">IF(AND(Y$1&gt;Inputs!$B$34,Y$1&lt;=Inputs!$B$19),Funding!$C$7/Inputs!$B$19,Inputs!$B$34)</f>
        <v>0</v>
      </c>
      <c r="Z36" s="10" t="n">
        <f aca="false">IF(AND(Z$1&gt;Inputs!$B$34,Z$1&lt;=Inputs!$B$19),Funding!$C$7/Inputs!$B$19,Inputs!$B$34)</f>
        <v>0</v>
      </c>
      <c r="AA36" s="10" t="n">
        <f aca="false">IF(AND(AA$1&gt;Inputs!$B$34,AA$1&lt;=Inputs!$B$19),Funding!$C$7/Inputs!$B$19,Inputs!$B$34)</f>
        <v>0</v>
      </c>
      <c r="AB36" s="10" t="n">
        <f aca="false">IF(AND(AB$1&gt;Inputs!$B$34,AB$1&lt;=Inputs!$B$19),Funding!$C$7/Inputs!$B$19,Inputs!$B$34)</f>
        <v>0</v>
      </c>
      <c r="AC36" s="10" t="n">
        <f aca="false">IF(AND(AC$1&gt;Inputs!$B$34,AC$1&lt;=Inputs!$B$19),Funding!$C$7/Inputs!$B$19,Inputs!$B$34)</f>
        <v>0</v>
      </c>
      <c r="AD36" s="10" t="n">
        <f aca="false">IF(AND(AD$1&gt;Inputs!$B$34,AD$1&lt;=Inputs!$B$19),Funding!$C$7/Inputs!$B$19,Inputs!$B$34)</f>
        <v>0</v>
      </c>
      <c r="AE36" s="10" t="n">
        <f aca="false">IF(AND(AE$1&gt;Inputs!$B$34,AE$1&lt;=Inputs!$B$19),Funding!$C$7/Inputs!$B$19,Inputs!$B$34)</f>
        <v>0</v>
      </c>
      <c r="AF36" s="10" t="n">
        <f aca="false">IF(AND(AF$1&gt;Inputs!$B$34,AF$1&lt;=Inputs!$B$19),Funding!$C$7/Inputs!$B$19,Inputs!$B$34)</f>
        <v>0</v>
      </c>
      <c r="AG36" s="10" t="n">
        <f aca="false">IF(AND(AG$1&gt;Inputs!$B$34,AG$1&lt;=Inputs!$B$19),Funding!$C$7/Inputs!$B$19,Inputs!$B$34)</f>
        <v>0</v>
      </c>
      <c r="AH36" s="10" t="n">
        <f aca="false">IF(AND(AH$1&gt;Inputs!$B$34,AH$1&lt;=Inputs!$B$19),Funding!$C$7/Inputs!$B$19,Inputs!$B$34)</f>
        <v>0</v>
      </c>
      <c r="AI36" s="10" t="n">
        <f aca="false">IF(AND(AI$1&gt;Inputs!$B$34,AI$1&lt;=Inputs!$B$19),Funding!$C$7/Inputs!$B$19,Inputs!$B$34)</f>
        <v>0</v>
      </c>
      <c r="AJ36" s="10" t="n">
        <f aca="false">IF(AND(AJ$1&gt;Inputs!$B$34,AJ$1&lt;=Inputs!$B$19),Funding!$C$7/Inputs!$B$19,Inputs!$B$34)</f>
        <v>0</v>
      </c>
      <c r="AK36" s="10" t="n">
        <f aca="false">IF(AND(AK$1&gt;Inputs!$B$34,AK$1&lt;=Inputs!$B$19),Funding!$C$7/Inputs!$B$19,Inputs!$B$34)</f>
        <v>0</v>
      </c>
      <c r="AL36" s="10" t="n">
        <f aca="false">IF(AND(AL$1&gt;Inputs!$B$34,AL$1&lt;=Inputs!$B$19),Funding!$C$7/Inputs!$B$19,Inputs!$B$34)</f>
        <v>0</v>
      </c>
      <c r="AM36" s="10" t="n">
        <f aca="false">IF(AND(AM$1&gt;Inputs!$B$34,AM$1&lt;=Inputs!$B$19),Funding!$C$7/Inputs!$B$19,Inputs!$B$34)</f>
        <v>0</v>
      </c>
      <c r="AN36" s="10" t="n">
        <f aca="false">IF(AND(AN$1&gt;Inputs!$B$34,AN$1&lt;=Inputs!$B$19),Funding!$C$7/Inputs!$B$19,Inputs!$B$34)</f>
        <v>0</v>
      </c>
      <c r="AO36" s="10" t="n">
        <f aca="false">IF(AND(AO$1&gt;Inputs!$B$34,AO$1&lt;=Inputs!$B$19),Funding!$C$7/Inputs!$B$19,Inputs!$B$34)</f>
        <v>0</v>
      </c>
      <c r="AP36" s="10" t="n">
        <f aca="false">IF(AND(AP$1&gt;Inputs!$B$34,AP$1&lt;=Inputs!$B$19),Funding!$C$7/Inputs!$B$19,Inputs!$B$34)</f>
        <v>0</v>
      </c>
      <c r="AQ36" s="10" t="n">
        <f aca="false">IF(AND(AQ$1&gt;Inputs!$B$34,AQ$1&lt;=Inputs!$B$19),Funding!$C$7/Inputs!$B$19,Inputs!$B$34)</f>
        <v>0</v>
      </c>
      <c r="AR36" s="10" t="n">
        <f aca="false">IF(AND(AR$1&gt;Inputs!$B$34,AR$1&lt;=Inputs!$B$19),Funding!$C$7/Inputs!$B$19,Inputs!$B$34)</f>
        <v>0</v>
      </c>
      <c r="AS36" s="10" t="n">
        <f aca="false">IF(AND(AS$1&gt;Inputs!$B$34,AS$1&lt;=Inputs!$B$19),Funding!$C$7/Inputs!$B$19,Inputs!$B$34)</f>
        <v>0</v>
      </c>
      <c r="AT36" s="10" t="n">
        <f aca="false">IF(AND(AT$1&gt;Inputs!$B$34,AT$1&lt;=Inputs!$B$19),Funding!$C$7/Inputs!$B$19,Inputs!$B$34)</f>
        <v>0</v>
      </c>
      <c r="AU36" s="10" t="n">
        <f aca="false">IF(AND(AU$1&gt;Inputs!$B$34,AU$1&lt;=Inputs!$B$19),Funding!$C$7/Inputs!$B$19,Inputs!$B$34)</f>
        <v>0</v>
      </c>
      <c r="AV36" s="10" t="n">
        <f aca="false">IF(AND(AV$1&gt;Inputs!$B$34,AV$1&lt;=Inputs!$B$19),Funding!$C$7/Inputs!$B$19,Inputs!$B$34)</f>
        <v>0</v>
      </c>
      <c r="AW36" s="10" t="n">
        <f aca="false">IF(AND(AW$1&gt;Inputs!$B$34,AW$1&lt;=Inputs!$B$19),Funding!$C$7/Inputs!$B$19,Inputs!$B$34)</f>
        <v>0</v>
      </c>
      <c r="AX36" s="10" t="n">
        <f aca="false">IF(AND(AX$1&gt;Inputs!$B$34,AX$1&lt;=Inputs!$B$19),Funding!$C$7/Inputs!$B$19,Inputs!$B$34)</f>
        <v>0</v>
      </c>
      <c r="AY36" s="10" t="n">
        <f aca="false">IF(AND(AY$1&gt;Inputs!$B$34,AY$1&lt;=Inputs!$B$19),Funding!$C$7/Inputs!$B$19,Inputs!$B$34)</f>
        <v>0</v>
      </c>
      <c r="AZ36" s="10" t="n">
        <f aca="false">IF(AND(AZ$1&gt;Inputs!$B$34,AZ$1&lt;=Inputs!$B$19),Funding!$C$7/Inputs!$B$19,Inputs!$B$34)</f>
        <v>0</v>
      </c>
      <c r="BA36" s="10" t="n">
        <f aca="false">IF(AND(BA$1&gt;Inputs!$B$34,BA$1&lt;=Inputs!$B$19),Funding!$C$7/Inputs!$B$19,Inputs!$B$34)</f>
        <v>0</v>
      </c>
      <c r="BB36" s="10" t="n">
        <f aca="false">IF(AND(BB$1&gt;Inputs!$B$34,BB$1&lt;=Inputs!$B$19),Funding!$C$7/Inputs!$B$19,Inputs!$B$34)</f>
        <v>0</v>
      </c>
      <c r="BC36" s="10" t="n">
        <f aca="false">IF(AND(BC$1&gt;Inputs!$B$34,BC$1&lt;=Inputs!$B$19),Funding!$C$7/Inputs!$B$19,Inputs!$B$34)</f>
        <v>0</v>
      </c>
      <c r="BD36" s="10" t="n">
        <f aca="false">IF(AND(BD$1&gt;Inputs!$B$34,BD$1&lt;=Inputs!$B$19),Funding!$C$7/Inputs!$B$19,Inputs!$B$34)</f>
        <v>0</v>
      </c>
      <c r="BE36" s="10" t="n">
        <f aca="false">IF(AND(BE$1&gt;Inputs!$B$34,BE$1&lt;=Inputs!$B$19),Funding!$C$7/Inputs!$B$19,Inputs!$B$34)</f>
        <v>0</v>
      </c>
      <c r="BF36" s="10" t="n">
        <f aca="false">IF(AND(BF$1&gt;Inputs!$B$34,BF$1&lt;=Inputs!$B$19),Funding!$C$7/Inputs!$B$19,Inputs!$B$34)</f>
        <v>0</v>
      </c>
      <c r="BG36" s="10" t="n">
        <f aca="false">IF(AND(BG$1&gt;Inputs!$B$34,BG$1&lt;=Inputs!$B$19),Funding!$C$7/Inputs!$B$19,Inputs!$B$34)</f>
        <v>0</v>
      </c>
      <c r="BH36" s="10" t="n">
        <f aca="false">IF(AND(BH$1&gt;Inputs!$B$34,BH$1&lt;=Inputs!$B$19),Funding!$C$7/Inputs!$B$19,Inputs!$B$34)</f>
        <v>0</v>
      </c>
      <c r="BI36" s="10" t="n">
        <f aca="false">IF(AND(BI$1&gt;Inputs!$B$34,BI$1&lt;=Inputs!$B$19),Funding!$C$7/Inputs!$B$19,Inputs!$B$34)</f>
        <v>0</v>
      </c>
      <c r="BJ36" s="10" t="n">
        <f aca="false">IF(AND(BJ$1&gt;Inputs!$B$34,BJ$1&lt;=Inputs!$B$19),Funding!$C$7/Inputs!$B$19,Inputs!$B$34)</f>
        <v>0</v>
      </c>
      <c r="BK36" s="10" t="n">
        <f aca="false">IF(AND(BK$1&gt;Inputs!$B$34,BK$1&lt;=Inputs!$B$19),Funding!$C$7/Inputs!$B$19,Inputs!$B$34)</f>
        <v>0</v>
      </c>
      <c r="BL36" s="10" t="n">
        <f aca="false">IF(AND(BL$1&gt;Inputs!$B$34,BL$1&lt;=Inputs!$B$19),Funding!$C$7/Inputs!$B$19,Inputs!$B$34)</f>
        <v>0</v>
      </c>
      <c r="BM36" s="10" t="n">
        <f aca="false">IF(AND(BM$1&gt;Inputs!$B$34,BM$1&lt;=Inputs!$B$19),Funding!$C$7/Inputs!$B$19,Inputs!$B$34)</f>
        <v>0</v>
      </c>
      <c r="BN36" s="10" t="n">
        <f aca="false">IF(AND(BN$1&gt;Inputs!$B$34,BN$1&lt;=Inputs!$B$19),Funding!$C$7/Inputs!$B$19,Inputs!$B$34)</f>
        <v>0</v>
      </c>
      <c r="BO36" s="10" t="n">
        <f aca="false">IF(AND(BO$1&gt;Inputs!$B$34,BO$1&lt;=Inputs!$B$19),Funding!$C$7/Inputs!$B$19,Inputs!$B$34)</f>
        <v>0</v>
      </c>
      <c r="BP36" s="10" t="n">
        <f aca="false">IF(AND(BP$1&gt;Inputs!$B$34,BP$1&lt;=Inputs!$B$19),Funding!$C$7/Inputs!$B$19,Inputs!$B$34)</f>
        <v>0</v>
      </c>
      <c r="BQ36" s="10" t="n">
        <f aca="false">IF(AND(BQ$1&gt;Inputs!$B$34,BQ$1&lt;=Inputs!$B$19),Funding!$C$7/Inputs!$B$19,Inputs!$B$34)</f>
        <v>0</v>
      </c>
      <c r="BR36" s="10" t="n">
        <f aca="false">IF(AND(BR$1&gt;Inputs!$B$34,BR$1&lt;=Inputs!$B$19),Funding!$C$7/Inputs!$B$19,Inputs!$B$34)</f>
        <v>0</v>
      </c>
      <c r="BS36" s="10" t="n">
        <f aca="false">IF(AND(BS$1&gt;Inputs!$B$34,BS$1&lt;=Inputs!$B$19),Funding!$C$7/Inputs!$B$19,Inputs!$B$34)</f>
        <v>0</v>
      </c>
      <c r="BT36" s="10" t="n">
        <f aca="false">IF(AND(BT$1&gt;Inputs!$B$34,BT$1&lt;=Inputs!$B$19),Funding!$C$7/Inputs!$B$19,Inputs!$B$34)</f>
        <v>0</v>
      </c>
      <c r="BU36" s="10" t="n">
        <f aca="false">IF(AND(BU$1&gt;Inputs!$B$34,BU$1&lt;=Inputs!$B$19),Funding!$C$7/Inputs!$B$19,Inputs!$B$34)</f>
        <v>0</v>
      </c>
      <c r="BV36" s="10" t="n">
        <f aca="false">IF(AND(BV$1&gt;Inputs!$B$34,BV$1&lt;=Inputs!$B$19),Funding!$C$7/Inputs!$B$19,Inputs!$B$34)</f>
        <v>0</v>
      </c>
      <c r="BW36" s="10" t="n">
        <f aca="false">IF(AND(BW$1&gt;Inputs!$B$34,BW$1&lt;=Inputs!$B$19),Funding!$C$7/Inputs!$B$19,Inputs!$B$34)</f>
        <v>0</v>
      </c>
      <c r="BX36" s="10" t="n">
        <f aca="false">IF(AND(BX$1&gt;Inputs!$B$34,BX$1&lt;=Inputs!$B$19),Funding!$C$7/Inputs!$B$19,Inputs!$B$34)</f>
        <v>0</v>
      </c>
      <c r="BY36" s="10" t="n">
        <f aca="false">IF(AND(BY$1&gt;Inputs!$B$34,BY$1&lt;=Inputs!$B$19),Funding!$C$7/Inputs!$B$19,Inputs!$B$34)</f>
        <v>0</v>
      </c>
      <c r="BZ36" s="10" t="n">
        <f aca="false">IF(AND(BZ$1&gt;Inputs!$B$34,BZ$1&lt;=Inputs!$B$19),Funding!$C$7/Inputs!$B$19,Inputs!$B$34)</f>
        <v>0</v>
      </c>
      <c r="CA36" s="10" t="n">
        <f aca="false">IF(AND(CA$1&gt;Inputs!$B$34,CA$1&lt;=Inputs!$B$19),Funding!$C$7/Inputs!$B$19,Inputs!$B$34)</f>
        <v>0</v>
      </c>
      <c r="CB36" s="10" t="n">
        <f aca="false">IF(AND(CB$1&gt;Inputs!$B$34,CB$1&lt;=Inputs!$B$19),Funding!$C$7/Inputs!$B$19,Inputs!$B$34)</f>
        <v>0</v>
      </c>
      <c r="CC36" s="10" t="n">
        <f aca="false">IF(AND(CC$1&gt;Inputs!$B$34,CC$1&lt;=Inputs!$B$19),Funding!$C$7/Inputs!$B$19,Inputs!$B$34)</f>
        <v>0</v>
      </c>
      <c r="CD36" s="10" t="n">
        <f aca="false">IF(AND(CD$1&gt;Inputs!$B$34,CD$1&lt;=Inputs!$B$19),Funding!$C$7/Inputs!$B$19,Inputs!$B$34)</f>
        <v>0</v>
      </c>
      <c r="CE36" s="10" t="n">
        <f aca="false">IF(AND(CE$1&gt;Inputs!$B$34,CE$1&lt;=Inputs!$B$19),Funding!$C$7/Inputs!$B$19,Inputs!$B$34)</f>
        <v>0</v>
      </c>
      <c r="CF36" s="10" t="n">
        <f aca="false">IF(AND(CF$1&gt;Inputs!$B$34,CF$1&lt;=Inputs!$B$19),Funding!$C$7/Inputs!$B$19,Inputs!$B$34)</f>
        <v>0</v>
      </c>
      <c r="CG36" s="10" t="n">
        <f aca="false">IF(AND(CG$1&gt;Inputs!$B$34,CG$1&lt;=Inputs!$B$19),Funding!$C$7/Inputs!$B$19,Inputs!$B$34)</f>
        <v>0</v>
      </c>
      <c r="CH36" s="10" t="n">
        <f aca="false">IF(AND(CH$1&gt;Inputs!$B$34,CH$1&lt;=Inputs!$B$19),Funding!$C$7/Inputs!$B$19,Inputs!$B$34)</f>
        <v>0</v>
      </c>
      <c r="CI36" s="10" t="n">
        <f aca="false">IF(AND(CI$1&gt;Inputs!$B$34,CI$1&lt;=Inputs!$B$19),Funding!$C$7/Inputs!$B$19,Inputs!$B$34)</f>
        <v>0</v>
      </c>
      <c r="CJ36" s="10" t="n">
        <f aca="false">IF(AND(CJ$1&gt;Inputs!$B$34,CJ$1&lt;=Inputs!$B$19),Funding!$C$7/Inputs!$B$19,Inputs!$B$34)</f>
        <v>0</v>
      </c>
      <c r="CK36" s="10" t="n">
        <f aca="false">IF(AND(CK$1&gt;Inputs!$B$34,CK$1&lt;=Inputs!$B$19),Funding!$C$7/Inputs!$B$19,Inputs!$B$34)</f>
        <v>0</v>
      </c>
      <c r="CL36" s="10" t="n">
        <f aca="false">IF(AND(CL$1&gt;Inputs!$B$34,CL$1&lt;=Inputs!$B$19),Funding!$C$7/Inputs!$B$19,Inputs!$B$34)</f>
        <v>0</v>
      </c>
      <c r="CM36" s="10" t="n">
        <f aca="false">IF(AND(CM$1&gt;Inputs!$B$34,CM$1&lt;=Inputs!$B$19),Funding!$C$7/Inputs!$B$19,Inputs!$B$34)</f>
        <v>0</v>
      </c>
      <c r="CN36" s="10" t="n">
        <f aca="false">IF(AND(CN$1&gt;Inputs!$B$34,CN$1&lt;=Inputs!$B$19),Funding!$C$7/Inputs!$B$19,Inputs!$B$34)</f>
        <v>0</v>
      </c>
      <c r="CO36" s="10" t="n">
        <f aca="false">IF(AND(CO$1&gt;Inputs!$B$34,CO$1&lt;=Inputs!$B$19),Funding!$C$7/Inputs!$B$19,Inputs!$B$34)</f>
        <v>0</v>
      </c>
      <c r="CP36" s="10" t="n">
        <f aca="false">IF(AND(CP$1&gt;Inputs!$B$34,CP$1&lt;=Inputs!$B$19),Funding!$C$7/Inputs!$B$19,Inputs!$B$34)</f>
        <v>0</v>
      </c>
      <c r="CQ36" s="10" t="n">
        <f aca="false">IF(AND(CQ$1&gt;Inputs!$B$34,CQ$1&lt;=Inputs!$B$19),Funding!$C$7/Inputs!$B$19,Inputs!$B$34)</f>
        <v>0</v>
      </c>
      <c r="CR36" s="10" t="n">
        <f aca="false">IF(AND(CR$1&gt;Inputs!$B$34,CR$1&lt;=Inputs!$B$19),Funding!$C$7/Inputs!$B$19,Inputs!$B$34)</f>
        <v>0</v>
      </c>
      <c r="CS36" s="10" t="n">
        <f aca="false">IF(AND(CS$1&gt;Inputs!$B$34,CS$1&lt;=Inputs!$B$19),Funding!$C$7/Inputs!$B$19,Inputs!$B$34)</f>
        <v>0</v>
      </c>
      <c r="CT36" s="10" t="n">
        <f aca="false">IF(AND(CT$1&gt;Inputs!$B$34,CT$1&lt;=Inputs!$B$19),Funding!$C$7/Inputs!$B$19,Inputs!$B$34)</f>
        <v>0</v>
      </c>
      <c r="CU36" s="10" t="n">
        <f aca="false">IF(AND(CU$1&gt;Inputs!$B$34,CU$1&lt;=Inputs!$B$19),Funding!$C$7/Inputs!$B$19,Inputs!$B$34)</f>
        <v>0</v>
      </c>
      <c r="CV36" s="10" t="n">
        <f aca="false">IF(AND(CV$1&gt;Inputs!$B$34,CV$1&lt;=Inputs!$B$19),Funding!$C$7/Inputs!$B$19,Inputs!$B$34)</f>
        <v>0</v>
      </c>
      <c r="CW36" s="10" t="n">
        <f aca="false">IF(AND(CW$1&gt;Inputs!$B$34,CW$1&lt;=Inputs!$B$19),Funding!$C$7/Inputs!$B$19,Inputs!$B$34)</f>
        <v>0</v>
      </c>
      <c r="CX36" s="10" t="n">
        <f aca="false">IF(AND(CX$1&gt;Inputs!$B$34,CX$1&lt;=Inputs!$B$19),Funding!$C$7/Inputs!$B$19,Inputs!$B$34)</f>
        <v>0</v>
      </c>
      <c r="CY36" s="10" t="n">
        <f aca="false">IF(AND(CY$1&gt;Inputs!$B$34,CY$1&lt;=Inputs!$B$19),Funding!$C$7/Inputs!$B$19,Inputs!$B$34)</f>
        <v>0</v>
      </c>
      <c r="CZ36" s="10" t="n">
        <f aca="false">IF(AND(CZ$1&gt;Inputs!$B$34,CZ$1&lt;=Inputs!$B$19),Funding!$C$7/Inputs!$B$19,Inputs!$B$34)</f>
        <v>0</v>
      </c>
      <c r="DA36" s="10" t="n">
        <f aca="false">IF(AND(DA$1&gt;Inputs!$B$34,DA$1&lt;=Inputs!$B$19),Funding!$C$7/Inputs!$B$19,Inputs!$B$34)</f>
        <v>0</v>
      </c>
      <c r="DB36" s="10" t="n">
        <f aca="false">IF(AND(DB$1&gt;Inputs!$B$34,DB$1&lt;=Inputs!$B$19),Funding!$C$7/Inputs!$B$19,Inputs!$B$34)</f>
        <v>0</v>
      </c>
      <c r="DC36" s="10" t="n">
        <f aca="false">IF(AND(DC$1&gt;Inputs!$B$34,DC$1&lt;=Inputs!$B$19),Funding!$C$7/Inputs!$B$19,Inputs!$B$34)</f>
        <v>0</v>
      </c>
      <c r="DD36" s="10" t="n">
        <f aca="false">IF(AND(DD$1&gt;Inputs!$B$34,DD$1&lt;=Inputs!$B$19),Funding!$C$7/Inputs!$B$19,Inputs!$B$34)</f>
        <v>0</v>
      </c>
      <c r="DE36" s="10" t="n">
        <f aca="false">IF(AND(DE$1&gt;Inputs!$B$34,DE$1&lt;=Inputs!$B$19),Funding!$C$7/Inputs!$B$19,Inputs!$B$34)</f>
        <v>0</v>
      </c>
      <c r="DF36" s="10" t="n">
        <f aca="false">IF(AND(DF$1&gt;Inputs!$B$34,DF$1&lt;=Inputs!$B$19),Funding!$C$7/Inputs!$B$19,Inputs!$B$34)</f>
        <v>0</v>
      </c>
      <c r="DG36" s="10" t="n">
        <f aca="false">IF(AND(DG$1&gt;Inputs!$B$34,DG$1&lt;=Inputs!$B$19),Funding!$C$7/Inputs!$B$19,Inputs!$B$34)</f>
        <v>0</v>
      </c>
      <c r="DH36" s="10" t="n">
        <f aca="false">IF(AND(DH$1&gt;Inputs!$B$34,DH$1&lt;=Inputs!$B$19),Funding!$C$7/Inputs!$B$19,Inputs!$B$34)</f>
        <v>0</v>
      </c>
      <c r="DI36" s="10" t="n">
        <f aca="false">IF(AND(DI$1&gt;Inputs!$B$34,DI$1&lt;=Inputs!$B$19),Funding!$C$7/Inputs!$B$19,Inputs!$B$34)</f>
        <v>0</v>
      </c>
      <c r="DJ36" s="10" t="n">
        <f aca="false">IF(AND(DJ$1&gt;Inputs!$B$34,DJ$1&lt;=Inputs!$B$19),Funding!$C$7/Inputs!$B$19,Inputs!$B$34)</f>
        <v>0</v>
      </c>
      <c r="DK36" s="10" t="n">
        <f aca="false">IF(AND(DK$1&gt;Inputs!$B$34,DK$1&lt;=Inputs!$B$19),Funding!$C$7/Inputs!$B$19,Inputs!$B$34)</f>
        <v>0</v>
      </c>
      <c r="DL36" s="10" t="n">
        <f aca="false">IF(AND(DL$1&gt;Inputs!$B$34,DL$1&lt;=Inputs!$B$19),Funding!$C$7/Inputs!$B$19,Inputs!$B$34)</f>
        <v>0</v>
      </c>
      <c r="DM36" s="10" t="n">
        <f aca="false">IF(AND(DM$1&gt;Inputs!$B$34,DM$1&lt;=Inputs!$B$19),Funding!$C$7/Inputs!$B$19,Inputs!$B$34)</f>
        <v>0</v>
      </c>
      <c r="DN36" s="10" t="n">
        <f aca="false">IF(AND(DN$1&gt;Inputs!$B$34,DN$1&lt;=Inputs!$B$19),Funding!$C$7/Inputs!$B$19,Inputs!$B$34)</f>
        <v>0</v>
      </c>
      <c r="DO36" s="10" t="n">
        <f aca="false">IF(AND(DO$1&gt;Inputs!$B$34,DO$1&lt;=Inputs!$B$19),Funding!$C$7/Inputs!$B$19,Inputs!$B$34)</f>
        <v>0</v>
      </c>
      <c r="DP36" s="10" t="n">
        <f aca="false">IF(AND(DP$1&gt;Inputs!$B$34,DP$1&lt;=Inputs!$B$19),Funding!$C$7/Inputs!$B$19,Inputs!$B$34)</f>
        <v>0</v>
      </c>
      <c r="DQ36" s="10" t="n">
        <f aca="false">IF(AND(DQ$1&gt;Inputs!$B$34,DQ$1&lt;=Inputs!$B$19),Funding!$C$7/Inputs!$B$19,Inputs!$B$34)</f>
        <v>0</v>
      </c>
      <c r="DR36" s="10" t="n">
        <f aca="false">IF(AND(DR$1&gt;Inputs!$B$34,DR$1&lt;=Inputs!$B$19),Funding!$C$7/Inputs!$B$19,Inputs!$B$34)</f>
        <v>0</v>
      </c>
    </row>
    <row r="37" customFormat="false" ht="15" hidden="false" customHeight="false" outlineLevel="0" collapsed="false">
      <c r="A37" s="9" t="s">
        <v>206</v>
      </c>
      <c r="B37" s="10" t="n">
        <f aca="false">IF(B$1&gt;Inputs!$B$19,B19*Inputs!$B$21,Inputs!$B$34)</f>
        <v>0</v>
      </c>
      <c r="C37" s="10" t="n">
        <f aca="false">IF(C$1&gt;Inputs!$B$19,C19*Inputs!$B$21,Inputs!$B$34)</f>
        <v>0</v>
      </c>
      <c r="D37" s="10" t="n">
        <f aca="false">IF(D$1&gt;Inputs!$B$19,D19*Inputs!$B$21,Inputs!$B$34)</f>
        <v>0</v>
      </c>
      <c r="E37" s="10" t="n">
        <f aca="false">IF(E$1&gt;Inputs!$B$19,E19*Inputs!$B$21,Inputs!$B$34)</f>
        <v>0</v>
      </c>
      <c r="F37" s="10" t="n">
        <f aca="false">IF(F$1&gt;Inputs!$B$19,F19*Inputs!$B$21,Inputs!$B$34)</f>
        <v>0</v>
      </c>
      <c r="G37" s="10" t="n">
        <f aca="false">IF(G$1&gt;Inputs!$B$19,G19*Inputs!$B$21,Inputs!$B$34)</f>
        <v>0</v>
      </c>
      <c r="H37" s="10" t="n">
        <f aca="false">IF(H$1&gt;Inputs!$B$19,H19*Inputs!$B$21,Inputs!$B$34)</f>
        <v>0</v>
      </c>
      <c r="I37" s="10" t="n">
        <f aca="false">IF(I$1&gt;Inputs!$B$19,I19*Inputs!$B$21,Inputs!$B$34)</f>
        <v>0</v>
      </c>
      <c r="J37" s="10" t="n">
        <f aca="false">IF(J$1&gt;Inputs!$B$19,J19*Inputs!$B$21,Inputs!$B$34)</f>
        <v>0</v>
      </c>
      <c r="K37" s="10" t="n">
        <f aca="false">IF(K$1&gt;Inputs!$B$19,K19*Inputs!$B$21,Inputs!$B$34)</f>
        <v>0</v>
      </c>
      <c r="L37" s="10" t="n">
        <f aca="false">IF(L$1&gt;Inputs!$B$19,L19*Inputs!$B$21,Inputs!$B$34)</f>
        <v>0</v>
      </c>
      <c r="M37" s="10" t="n">
        <f aca="false">IF(M$1&gt;Inputs!$B$19,M19*Inputs!$B$21,Inputs!$B$34)</f>
        <v>0</v>
      </c>
      <c r="N37" s="10" t="n">
        <f aca="false">IF(N$1&gt;Inputs!$B$19,N19*Inputs!$B$21,Inputs!$B$34)</f>
        <v>0</v>
      </c>
      <c r="O37" s="10" t="n">
        <f aca="false">IF(O$1&gt;Inputs!$B$19,O19*Inputs!$B$21,Inputs!$B$34)</f>
        <v>0.35</v>
      </c>
      <c r="P37" s="10" t="n">
        <f aca="false">IF(P$1&gt;Inputs!$B$19,P19*Inputs!$B$21,Inputs!$B$34)</f>
        <v>0.35</v>
      </c>
      <c r="Q37" s="10" t="n">
        <f aca="false">IF(Q$1&gt;Inputs!$B$19,Q19*Inputs!$B$21,Inputs!$B$34)</f>
        <v>0.35</v>
      </c>
      <c r="R37" s="10" t="n">
        <f aca="false">IF(R$1&gt;Inputs!$B$19,R19*Inputs!$B$21,Inputs!$B$34)</f>
        <v>0.35</v>
      </c>
      <c r="S37" s="10" t="n">
        <f aca="false">IF(S$1&gt;Inputs!$B$19,S19*Inputs!$B$21,Inputs!$B$34)</f>
        <v>0.35</v>
      </c>
      <c r="T37" s="10" t="n">
        <f aca="false">IF(T$1&gt;Inputs!$B$19,T19*Inputs!$B$21,Inputs!$B$34)</f>
        <v>0.35</v>
      </c>
      <c r="U37" s="10" t="n">
        <f aca="false">IF(U$1&gt;Inputs!$B$19,U19*Inputs!$B$21,Inputs!$B$34)</f>
        <v>0.35</v>
      </c>
      <c r="V37" s="10" t="n">
        <f aca="false">IF(V$1&gt;Inputs!$B$19,V19*Inputs!$B$21,Inputs!$B$34)</f>
        <v>0.35</v>
      </c>
      <c r="W37" s="10" t="n">
        <f aca="false">IF(W$1&gt;Inputs!$B$19,W19*Inputs!$B$21,Inputs!$B$34)</f>
        <v>0.35</v>
      </c>
      <c r="X37" s="10" t="n">
        <f aca="false">IF(X$1&gt;Inputs!$B$19,X19*Inputs!$B$21,Inputs!$B$34)</f>
        <v>0.35</v>
      </c>
      <c r="Y37" s="10" t="n">
        <f aca="false">IF(Y$1&gt;Inputs!$B$19,Y19*Inputs!$B$21,Inputs!$B$34)</f>
        <v>0.35</v>
      </c>
      <c r="Z37" s="10" t="n">
        <f aca="false">IF(Z$1&gt;Inputs!$B$19,Z19*Inputs!$B$21,Inputs!$B$34)</f>
        <v>0.35</v>
      </c>
      <c r="AA37" s="10" t="n">
        <f aca="false">IF(AA$1&gt;Inputs!$B$19,AA19*Inputs!$B$21,Inputs!$B$34)</f>
        <v>0.35</v>
      </c>
      <c r="AB37" s="10" t="n">
        <f aca="false">IF(AB$1&gt;Inputs!$B$19,AB19*Inputs!$B$21,Inputs!$B$34)</f>
        <v>0.35</v>
      </c>
      <c r="AC37" s="10" t="n">
        <f aca="false">IF(AC$1&gt;Inputs!$B$19,AC19*Inputs!$B$21,Inputs!$B$34)</f>
        <v>0.35</v>
      </c>
      <c r="AD37" s="10" t="n">
        <f aca="false">IF(AD$1&gt;Inputs!$B$19,AD19*Inputs!$B$21,Inputs!$B$34)</f>
        <v>0.35</v>
      </c>
      <c r="AE37" s="10" t="n">
        <f aca="false">IF(AE$1&gt;Inputs!$B$19,AE19*Inputs!$B$21,Inputs!$B$34)</f>
        <v>0.35</v>
      </c>
      <c r="AF37" s="10" t="n">
        <f aca="false">IF(AF$1&gt;Inputs!$B$19,AF19*Inputs!$B$21,Inputs!$B$34)</f>
        <v>0.35</v>
      </c>
      <c r="AG37" s="10" t="n">
        <f aca="false">IF(AG$1&gt;Inputs!$B$19,AG19*Inputs!$B$21,Inputs!$B$34)</f>
        <v>0.35</v>
      </c>
      <c r="AH37" s="10" t="n">
        <f aca="false">IF(AH$1&gt;Inputs!$B$19,AH19*Inputs!$B$21,Inputs!$B$34)</f>
        <v>0.35</v>
      </c>
      <c r="AI37" s="10" t="n">
        <f aca="false">IF(AI$1&gt;Inputs!$B$19,AI19*Inputs!$B$21,Inputs!$B$34)</f>
        <v>0.35</v>
      </c>
      <c r="AJ37" s="10" t="n">
        <f aca="false">IF(AJ$1&gt;Inputs!$B$19,AJ19*Inputs!$B$21,Inputs!$B$34)</f>
        <v>0.35</v>
      </c>
      <c r="AK37" s="10" t="n">
        <f aca="false">IF(AK$1&gt;Inputs!$B$19,AK19*Inputs!$B$21,Inputs!$B$34)</f>
        <v>0.35</v>
      </c>
      <c r="AL37" s="10" t="n">
        <f aca="false">IF(AL$1&gt;Inputs!$B$19,AL19*Inputs!$B$21,Inputs!$B$34)</f>
        <v>0.35</v>
      </c>
      <c r="AM37" s="10" t="n">
        <f aca="false">IF(AM$1&gt;Inputs!$B$19,AM19*Inputs!$B$21,Inputs!$B$34)</f>
        <v>0.35</v>
      </c>
      <c r="AN37" s="10" t="n">
        <f aca="false">IF(AN$1&gt;Inputs!$B$19,AN19*Inputs!$B$21,Inputs!$B$34)</f>
        <v>0.35</v>
      </c>
      <c r="AO37" s="10" t="n">
        <f aca="false">IF(AO$1&gt;Inputs!$B$19,AO19*Inputs!$B$21,Inputs!$B$34)</f>
        <v>0.35</v>
      </c>
      <c r="AP37" s="10" t="n">
        <f aca="false">IF(AP$1&gt;Inputs!$B$19,AP19*Inputs!$B$21,Inputs!$B$34)</f>
        <v>0.35</v>
      </c>
      <c r="AQ37" s="10" t="n">
        <f aca="false">IF(AQ$1&gt;Inputs!$B$19,AQ19*Inputs!$B$21,Inputs!$B$34)</f>
        <v>0.35</v>
      </c>
      <c r="AR37" s="10" t="n">
        <f aca="false">IF(AR$1&gt;Inputs!$B$19,AR19*Inputs!$B$21,Inputs!$B$34)</f>
        <v>0.35</v>
      </c>
      <c r="AS37" s="10" t="n">
        <f aca="false">IF(AS$1&gt;Inputs!$B$19,AS19*Inputs!$B$21,Inputs!$B$34)</f>
        <v>0.35</v>
      </c>
      <c r="AT37" s="10" t="n">
        <f aca="false">IF(AT$1&gt;Inputs!$B$19,AT19*Inputs!$B$21,Inputs!$B$34)</f>
        <v>0.35</v>
      </c>
      <c r="AU37" s="10" t="n">
        <f aca="false">IF(AU$1&gt;Inputs!$B$19,AU19*Inputs!$B$21,Inputs!$B$34)</f>
        <v>0.35</v>
      </c>
      <c r="AV37" s="10" t="n">
        <f aca="false">IF(AV$1&gt;Inputs!$B$19,AV19*Inputs!$B$21,Inputs!$B$34)</f>
        <v>0.35</v>
      </c>
      <c r="AW37" s="10" t="n">
        <f aca="false">IF(AW$1&gt;Inputs!$B$19,AW19*Inputs!$B$21,Inputs!$B$34)</f>
        <v>0.35</v>
      </c>
      <c r="AX37" s="10" t="n">
        <f aca="false">IF(AX$1&gt;Inputs!$B$19,AX19*Inputs!$B$21,Inputs!$B$34)</f>
        <v>0.35</v>
      </c>
      <c r="AY37" s="10" t="n">
        <f aca="false">IF(AY$1&gt;Inputs!$B$19,AY19*Inputs!$B$21,Inputs!$B$34)</f>
        <v>0.35</v>
      </c>
      <c r="AZ37" s="10" t="n">
        <f aca="false">IF(AZ$1&gt;Inputs!$B$19,AZ19*Inputs!$B$21,Inputs!$B$34)</f>
        <v>0.35</v>
      </c>
      <c r="BA37" s="10" t="n">
        <f aca="false">IF(BA$1&gt;Inputs!$B$19,BA19*Inputs!$B$21,Inputs!$B$34)</f>
        <v>0.35</v>
      </c>
      <c r="BB37" s="10" t="n">
        <f aca="false">IF(BB$1&gt;Inputs!$B$19,BB19*Inputs!$B$21,Inputs!$B$34)</f>
        <v>0.35</v>
      </c>
      <c r="BC37" s="10" t="n">
        <f aca="false">IF(BC$1&gt;Inputs!$B$19,BC19*Inputs!$B$21,Inputs!$B$34)</f>
        <v>0.35</v>
      </c>
      <c r="BD37" s="10" t="n">
        <f aca="false">IF(BD$1&gt;Inputs!$B$19,BD19*Inputs!$B$21,Inputs!$B$34)</f>
        <v>0.35</v>
      </c>
      <c r="BE37" s="10" t="n">
        <f aca="false">IF(BE$1&gt;Inputs!$B$19,BE19*Inputs!$B$21,Inputs!$B$34)</f>
        <v>0.35</v>
      </c>
      <c r="BF37" s="10" t="n">
        <f aca="false">IF(BF$1&gt;Inputs!$B$19,BF19*Inputs!$B$21,Inputs!$B$34)</f>
        <v>0.35</v>
      </c>
      <c r="BG37" s="10" t="n">
        <f aca="false">IF(BG$1&gt;Inputs!$B$19,BG19*Inputs!$B$21,Inputs!$B$34)</f>
        <v>0.35</v>
      </c>
      <c r="BH37" s="10" t="n">
        <f aca="false">IF(BH$1&gt;Inputs!$B$19,BH19*Inputs!$B$21,Inputs!$B$34)</f>
        <v>0.35</v>
      </c>
      <c r="BI37" s="10" t="n">
        <f aca="false">IF(BI$1&gt;Inputs!$B$19,BI19*Inputs!$B$21,Inputs!$B$34)</f>
        <v>0.35</v>
      </c>
      <c r="BJ37" s="10" t="n">
        <f aca="false">IF(BJ$1&gt;Inputs!$B$19,BJ19*Inputs!$B$21,Inputs!$B$34)</f>
        <v>0.35</v>
      </c>
      <c r="BK37" s="10" t="n">
        <f aca="false">IF(BK$1&gt;Inputs!$B$19,BK19*Inputs!$B$21,Inputs!$B$34)</f>
        <v>0.35</v>
      </c>
      <c r="BL37" s="10" t="n">
        <f aca="false">IF(BL$1&gt;Inputs!$B$19,BL19*Inputs!$B$21,Inputs!$B$34)</f>
        <v>0.35</v>
      </c>
      <c r="BM37" s="10" t="n">
        <f aca="false">IF(BM$1&gt;Inputs!$B$19,BM19*Inputs!$B$21,Inputs!$B$34)</f>
        <v>0.35</v>
      </c>
      <c r="BN37" s="10" t="n">
        <f aca="false">IF(BN$1&gt;Inputs!$B$19,BN19*Inputs!$B$21,Inputs!$B$34)</f>
        <v>0.35</v>
      </c>
      <c r="BO37" s="10" t="n">
        <f aca="false">IF(BO$1&gt;Inputs!$B$19,BO19*Inputs!$B$21,Inputs!$B$34)</f>
        <v>0.35</v>
      </c>
      <c r="BP37" s="10" t="n">
        <f aca="false">IF(BP$1&gt;Inputs!$B$19,BP19*Inputs!$B$21,Inputs!$B$34)</f>
        <v>0.35</v>
      </c>
      <c r="BQ37" s="10" t="n">
        <f aca="false">IF(BQ$1&gt;Inputs!$B$19,BQ19*Inputs!$B$21,Inputs!$B$34)</f>
        <v>0.35</v>
      </c>
      <c r="BR37" s="10" t="n">
        <f aca="false">IF(BR$1&gt;Inputs!$B$19,BR19*Inputs!$B$21,Inputs!$B$34)</f>
        <v>0.35</v>
      </c>
      <c r="BS37" s="10" t="n">
        <f aca="false">IF(BS$1&gt;Inputs!$B$19,BS19*Inputs!$B$21,Inputs!$B$34)</f>
        <v>0.35</v>
      </c>
      <c r="BT37" s="10" t="n">
        <f aca="false">IF(BT$1&gt;Inputs!$B$19,BT19*Inputs!$B$21,Inputs!$B$34)</f>
        <v>0.35</v>
      </c>
      <c r="BU37" s="10" t="n">
        <f aca="false">IF(BU$1&gt;Inputs!$B$19,BU19*Inputs!$B$21,Inputs!$B$34)</f>
        <v>0.35</v>
      </c>
      <c r="BV37" s="10" t="n">
        <f aca="false">IF(BV$1&gt;Inputs!$B$19,BV19*Inputs!$B$21,Inputs!$B$34)</f>
        <v>0.35</v>
      </c>
      <c r="BW37" s="10" t="n">
        <f aca="false">IF(BW$1&gt;Inputs!$B$19,BW19*Inputs!$B$21,Inputs!$B$34)</f>
        <v>0.35</v>
      </c>
      <c r="BX37" s="10" t="n">
        <f aca="false">IF(BX$1&gt;Inputs!$B$19,BX19*Inputs!$B$21,Inputs!$B$34)</f>
        <v>0.35</v>
      </c>
      <c r="BY37" s="10" t="n">
        <f aca="false">IF(BY$1&gt;Inputs!$B$19,BY19*Inputs!$B$21,Inputs!$B$34)</f>
        <v>0.35</v>
      </c>
      <c r="BZ37" s="10" t="n">
        <f aca="false">IF(BZ$1&gt;Inputs!$B$19,BZ19*Inputs!$B$21,Inputs!$B$34)</f>
        <v>0.35</v>
      </c>
      <c r="CA37" s="10" t="n">
        <f aca="false">IF(CA$1&gt;Inputs!$B$19,CA19*Inputs!$B$21,Inputs!$B$34)</f>
        <v>0.35</v>
      </c>
      <c r="CB37" s="10" t="n">
        <f aca="false">IF(CB$1&gt;Inputs!$B$19,CB19*Inputs!$B$21,Inputs!$B$34)</f>
        <v>0.35</v>
      </c>
      <c r="CC37" s="10" t="n">
        <f aca="false">IF(CC$1&gt;Inputs!$B$19,CC19*Inputs!$B$21,Inputs!$B$34)</f>
        <v>0.35</v>
      </c>
      <c r="CD37" s="10" t="n">
        <f aca="false">IF(CD$1&gt;Inputs!$B$19,CD19*Inputs!$B$21,Inputs!$B$34)</f>
        <v>0.35</v>
      </c>
      <c r="CE37" s="10" t="n">
        <f aca="false">IF(CE$1&gt;Inputs!$B$19,CE19*Inputs!$B$21,Inputs!$B$34)</f>
        <v>0.35</v>
      </c>
      <c r="CF37" s="10" t="n">
        <f aca="false">IF(CF$1&gt;Inputs!$B$19,CF19*Inputs!$B$21,Inputs!$B$34)</f>
        <v>0.35</v>
      </c>
      <c r="CG37" s="10" t="n">
        <f aca="false">IF(CG$1&gt;Inputs!$B$19,CG19*Inputs!$B$21,Inputs!$B$34)</f>
        <v>0.35</v>
      </c>
      <c r="CH37" s="10" t="n">
        <f aca="false">IF(CH$1&gt;Inputs!$B$19,CH19*Inputs!$B$21,Inputs!$B$34)</f>
        <v>0.35</v>
      </c>
      <c r="CI37" s="10" t="n">
        <f aca="false">IF(CI$1&gt;Inputs!$B$19,CI19*Inputs!$B$21,Inputs!$B$34)</f>
        <v>0.35</v>
      </c>
      <c r="CJ37" s="10" t="n">
        <f aca="false">IF(CJ$1&gt;Inputs!$B$19,CJ19*Inputs!$B$21,Inputs!$B$34)</f>
        <v>0.35</v>
      </c>
      <c r="CK37" s="10" t="n">
        <f aca="false">IF(CK$1&gt;Inputs!$B$19,CK19*Inputs!$B$21,Inputs!$B$34)</f>
        <v>0.35</v>
      </c>
      <c r="CL37" s="10" t="n">
        <f aca="false">IF(CL$1&gt;Inputs!$B$19,CL19*Inputs!$B$21,Inputs!$B$34)</f>
        <v>0.35</v>
      </c>
      <c r="CM37" s="10" t="n">
        <f aca="false">IF(CM$1&gt;Inputs!$B$19,CM19*Inputs!$B$21,Inputs!$B$34)</f>
        <v>0.35</v>
      </c>
      <c r="CN37" s="10" t="n">
        <f aca="false">IF(CN$1&gt;Inputs!$B$19,CN19*Inputs!$B$21,Inputs!$B$34)</f>
        <v>0.35</v>
      </c>
      <c r="CO37" s="10" t="n">
        <f aca="false">IF(CO$1&gt;Inputs!$B$19,CO19*Inputs!$B$21,Inputs!$B$34)</f>
        <v>0.35</v>
      </c>
      <c r="CP37" s="10" t="n">
        <f aca="false">IF(CP$1&gt;Inputs!$B$19,CP19*Inputs!$B$21,Inputs!$B$34)</f>
        <v>0.35</v>
      </c>
      <c r="CQ37" s="10" t="n">
        <f aca="false">IF(CQ$1&gt;Inputs!$B$19,CQ19*Inputs!$B$21,Inputs!$B$34)</f>
        <v>0.35</v>
      </c>
      <c r="CR37" s="10" t="n">
        <f aca="false">IF(CR$1&gt;Inputs!$B$19,CR19*Inputs!$B$21,Inputs!$B$34)</f>
        <v>0.35</v>
      </c>
      <c r="CS37" s="10" t="n">
        <f aca="false">IF(CS$1&gt;Inputs!$B$19,CS19*Inputs!$B$21,Inputs!$B$34)</f>
        <v>0.35</v>
      </c>
      <c r="CT37" s="10" t="n">
        <f aca="false">IF(CT$1&gt;Inputs!$B$19,CT19*Inputs!$B$21,Inputs!$B$34)</f>
        <v>0.35</v>
      </c>
      <c r="CU37" s="10" t="n">
        <f aca="false">IF(CU$1&gt;Inputs!$B$19,CU19*Inputs!$B$21,Inputs!$B$34)</f>
        <v>0.35</v>
      </c>
      <c r="CV37" s="10" t="n">
        <f aca="false">IF(CV$1&gt;Inputs!$B$19,CV19*Inputs!$B$21,Inputs!$B$34)</f>
        <v>0.35</v>
      </c>
      <c r="CW37" s="10" t="n">
        <f aca="false">IF(CW$1&gt;Inputs!$B$19,CW19*Inputs!$B$21,Inputs!$B$34)</f>
        <v>0.35</v>
      </c>
      <c r="CX37" s="10" t="n">
        <f aca="false">IF(CX$1&gt;Inputs!$B$19,CX19*Inputs!$B$21,Inputs!$B$34)</f>
        <v>0.35</v>
      </c>
      <c r="CY37" s="10" t="n">
        <f aca="false">IF(CY$1&gt;Inputs!$B$19,CY19*Inputs!$B$21,Inputs!$B$34)</f>
        <v>0.35</v>
      </c>
      <c r="CZ37" s="10" t="n">
        <f aca="false">IF(CZ$1&gt;Inputs!$B$19,CZ19*Inputs!$B$21,Inputs!$B$34)</f>
        <v>0.35</v>
      </c>
      <c r="DA37" s="10" t="n">
        <f aca="false">IF(DA$1&gt;Inputs!$B$19,DA19*Inputs!$B$21,Inputs!$B$34)</f>
        <v>0.35</v>
      </c>
      <c r="DB37" s="10" t="n">
        <f aca="false">IF(DB$1&gt;Inputs!$B$19,DB19*Inputs!$B$21,Inputs!$B$34)</f>
        <v>0.35</v>
      </c>
      <c r="DC37" s="10" t="n">
        <f aca="false">IF(DC$1&gt;Inputs!$B$19,DC19*Inputs!$B$21,Inputs!$B$34)</f>
        <v>0.35</v>
      </c>
      <c r="DD37" s="10" t="n">
        <f aca="false">IF(DD$1&gt;Inputs!$B$19,DD19*Inputs!$B$21,Inputs!$B$34)</f>
        <v>0.35</v>
      </c>
      <c r="DE37" s="10" t="n">
        <f aca="false">IF(DE$1&gt;Inputs!$B$19,DE19*Inputs!$B$21,Inputs!$B$34)</f>
        <v>0.35</v>
      </c>
      <c r="DF37" s="10" t="n">
        <f aca="false">IF(DF$1&gt;Inputs!$B$19,DF19*Inputs!$B$21,Inputs!$B$34)</f>
        <v>0.35</v>
      </c>
      <c r="DG37" s="10" t="n">
        <f aca="false">IF(DG$1&gt;Inputs!$B$19,DG19*Inputs!$B$21,Inputs!$B$34)</f>
        <v>0.35</v>
      </c>
      <c r="DH37" s="10" t="n">
        <f aca="false">IF(DH$1&gt;Inputs!$B$19,DH19*Inputs!$B$21,Inputs!$B$34)</f>
        <v>0.35</v>
      </c>
      <c r="DI37" s="10" t="n">
        <f aca="false">IF(DI$1&gt;Inputs!$B$19,DI19*Inputs!$B$21,Inputs!$B$34)</f>
        <v>0.35</v>
      </c>
      <c r="DJ37" s="10" t="n">
        <f aca="false">IF(DJ$1&gt;Inputs!$B$19,DJ19*Inputs!$B$21,Inputs!$B$34)</f>
        <v>0.35</v>
      </c>
      <c r="DK37" s="10" t="n">
        <f aca="false">IF(DK$1&gt;Inputs!$B$19,DK19*Inputs!$B$21,Inputs!$B$34)</f>
        <v>0.35</v>
      </c>
      <c r="DL37" s="10" t="n">
        <f aca="false">IF(DL$1&gt;Inputs!$B$19,DL19*Inputs!$B$21,Inputs!$B$34)</f>
        <v>0.35</v>
      </c>
      <c r="DM37" s="10" t="n">
        <f aca="false">IF(DM$1&gt;Inputs!$B$19,DM19*Inputs!$B$21,Inputs!$B$34)</f>
        <v>0.35</v>
      </c>
      <c r="DN37" s="10" t="n">
        <f aca="false">IF(DN$1&gt;Inputs!$B$19,DN19*Inputs!$B$21,Inputs!$B$34)</f>
        <v>0.35</v>
      </c>
      <c r="DO37" s="10" t="n">
        <f aca="false">IF(DO$1&gt;Inputs!$B$19,DO19*Inputs!$B$21,Inputs!$B$34)</f>
        <v>0.35</v>
      </c>
      <c r="DP37" s="10" t="n">
        <f aca="false">IF(DP$1&gt;Inputs!$B$19,DP19*Inputs!$B$21,Inputs!$B$34)</f>
        <v>0.35</v>
      </c>
      <c r="DQ37" s="10" t="n">
        <f aca="false">IF(DQ$1&gt;Inputs!$B$19,DQ19*Inputs!$B$21,Inputs!$B$34)</f>
        <v>0.35</v>
      </c>
      <c r="DR37" s="10" t="n">
        <f aca="false">IF(DR$1&gt;Inputs!$B$19,DR19*Inputs!$B$21,Inputs!$B$34)</f>
        <v>0.35</v>
      </c>
    </row>
    <row r="38" customFormat="false" ht="15" hidden="false" customHeight="false" outlineLevel="0" collapsed="false">
      <c r="A38" s="9" t="s">
        <v>207</v>
      </c>
      <c r="B38" s="11" t="n">
        <f aca="false">B36+B37</f>
        <v>0</v>
      </c>
      <c r="C38" s="11" t="n">
        <f aca="false">C36+C37</f>
        <v>3.58333333333333</v>
      </c>
      <c r="D38" s="11" t="n">
        <f aca="false">D36+D37</f>
        <v>3.58333333333333</v>
      </c>
      <c r="E38" s="11" t="n">
        <f aca="false">E36+E37</f>
        <v>3.58333333333333</v>
      </c>
      <c r="F38" s="11" t="n">
        <f aca="false">F36+F37</f>
        <v>3.58333333333333</v>
      </c>
      <c r="G38" s="11" t="n">
        <f aca="false">G36+G37</f>
        <v>3.58333333333333</v>
      </c>
      <c r="H38" s="11" t="n">
        <f aca="false">H36+H37</f>
        <v>3.58333333333333</v>
      </c>
      <c r="I38" s="11" t="n">
        <f aca="false">I36+I37</f>
        <v>3.58333333333333</v>
      </c>
      <c r="J38" s="11" t="n">
        <f aca="false">J36+J37</f>
        <v>3.58333333333333</v>
      </c>
      <c r="K38" s="11" t="n">
        <f aca="false">K36+K37</f>
        <v>3.58333333333333</v>
      </c>
      <c r="L38" s="11" t="n">
        <f aca="false">L36+L37</f>
        <v>3.58333333333333</v>
      </c>
      <c r="M38" s="11" t="n">
        <f aca="false">M36+M37</f>
        <v>3.58333333333333</v>
      </c>
      <c r="N38" s="11" t="n">
        <f aca="false">N36+N37</f>
        <v>3.58333333333333</v>
      </c>
      <c r="O38" s="11" t="n">
        <f aca="false">O36+O37</f>
        <v>0.35</v>
      </c>
      <c r="P38" s="11" t="n">
        <f aca="false">P36+P37</f>
        <v>0.35</v>
      </c>
      <c r="Q38" s="11" t="n">
        <f aca="false">Q36+Q37</f>
        <v>0.35</v>
      </c>
      <c r="R38" s="11" t="n">
        <f aca="false">R36+R37</f>
        <v>0.35</v>
      </c>
      <c r="S38" s="11" t="n">
        <f aca="false">S36+S37</f>
        <v>0.35</v>
      </c>
      <c r="T38" s="11" t="n">
        <f aca="false">T36+T37</f>
        <v>0.35</v>
      </c>
      <c r="U38" s="11" t="n">
        <f aca="false">U36+U37</f>
        <v>0.35</v>
      </c>
      <c r="V38" s="11" t="n">
        <f aca="false">V36+V37</f>
        <v>0.35</v>
      </c>
      <c r="W38" s="11" t="n">
        <f aca="false">W36+W37</f>
        <v>0.35</v>
      </c>
      <c r="X38" s="11" t="n">
        <f aca="false">X36+X37</f>
        <v>0.35</v>
      </c>
      <c r="Y38" s="11" t="n">
        <f aca="false">Y36+Y37</f>
        <v>0.35</v>
      </c>
      <c r="Z38" s="11" t="n">
        <f aca="false">Z36+Z37</f>
        <v>0.35</v>
      </c>
      <c r="AA38" s="11" t="n">
        <f aca="false">AA36+AA37</f>
        <v>0.35</v>
      </c>
      <c r="AB38" s="11" t="n">
        <f aca="false">AB36+AB37</f>
        <v>0.35</v>
      </c>
      <c r="AC38" s="11" t="n">
        <f aca="false">AC36+AC37</f>
        <v>0.35</v>
      </c>
      <c r="AD38" s="11" t="n">
        <f aca="false">AD36+AD37</f>
        <v>0.35</v>
      </c>
      <c r="AE38" s="11" t="n">
        <f aca="false">AE36+AE37</f>
        <v>0.35</v>
      </c>
      <c r="AF38" s="11" t="n">
        <f aca="false">AF36+AF37</f>
        <v>0.35</v>
      </c>
      <c r="AG38" s="11" t="n">
        <f aca="false">AG36+AG37</f>
        <v>0.35</v>
      </c>
      <c r="AH38" s="11" t="n">
        <f aca="false">AH36+AH37</f>
        <v>0.35</v>
      </c>
      <c r="AI38" s="11" t="n">
        <f aca="false">AI36+AI37</f>
        <v>0.35</v>
      </c>
      <c r="AJ38" s="11" t="n">
        <f aca="false">AJ36+AJ37</f>
        <v>0.35</v>
      </c>
      <c r="AK38" s="11" t="n">
        <f aca="false">AK36+AK37</f>
        <v>0.35</v>
      </c>
      <c r="AL38" s="11" t="n">
        <f aca="false">AL36+AL37</f>
        <v>0.35</v>
      </c>
      <c r="AM38" s="11" t="n">
        <f aca="false">AM36+AM37</f>
        <v>0.35</v>
      </c>
      <c r="AN38" s="11" t="n">
        <f aca="false">AN36+AN37</f>
        <v>0.35</v>
      </c>
      <c r="AO38" s="11" t="n">
        <f aca="false">AO36+AO37</f>
        <v>0.35</v>
      </c>
      <c r="AP38" s="11" t="n">
        <f aca="false">AP36+AP37</f>
        <v>0.35</v>
      </c>
      <c r="AQ38" s="11" t="n">
        <f aca="false">AQ36+AQ37</f>
        <v>0.35</v>
      </c>
      <c r="AR38" s="11" t="n">
        <f aca="false">AR36+AR37</f>
        <v>0.35</v>
      </c>
      <c r="AS38" s="11" t="n">
        <f aca="false">AS36+AS37</f>
        <v>0.35</v>
      </c>
      <c r="AT38" s="11" t="n">
        <f aca="false">AT36+AT37</f>
        <v>0.35</v>
      </c>
      <c r="AU38" s="11" t="n">
        <f aca="false">AU36+AU37</f>
        <v>0.35</v>
      </c>
      <c r="AV38" s="11" t="n">
        <f aca="false">AV36+AV37</f>
        <v>0.35</v>
      </c>
      <c r="AW38" s="11" t="n">
        <f aca="false">AW36+AW37</f>
        <v>0.35</v>
      </c>
      <c r="AX38" s="11" t="n">
        <f aca="false">AX36+AX37</f>
        <v>0.35</v>
      </c>
      <c r="AY38" s="11" t="n">
        <f aca="false">AY36+AY37</f>
        <v>0.35</v>
      </c>
      <c r="AZ38" s="11" t="n">
        <f aca="false">AZ36+AZ37</f>
        <v>0.35</v>
      </c>
      <c r="BA38" s="11" t="n">
        <f aca="false">BA36+BA37</f>
        <v>0.35</v>
      </c>
      <c r="BB38" s="11" t="n">
        <f aca="false">BB36+BB37</f>
        <v>0.35</v>
      </c>
      <c r="BC38" s="11" t="n">
        <f aca="false">BC36+BC37</f>
        <v>0.35</v>
      </c>
      <c r="BD38" s="11" t="n">
        <f aca="false">BD36+BD37</f>
        <v>0.35</v>
      </c>
      <c r="BE38" s="11" t="n">
        <f aca="false">BE36+BE37</f>
        <v>0.35</v>
      </c>
      <c r="BF38" s="11" t="n">
        <f aca="false">BF36+BF37</f>
        <v>0.35</v>
      </c>
      <c r="BG38" s="11" t="n">
        <f aca="false">BG36+BG37</f>
        <v>0.35</v>
      </c>
      <c r="BH38" s="11" t="n">
        <f aca="false">BH36+BH37</f>
        <v>0.35</v>
      </c>
      <c r="BI38" s="11" t="n">
        <f aca="false">BI36+BI37</f>
        <v>0.35</v>
      </c>
      <c r="BJ38" s="11" t="n">
        <f aca="false">BJ36+BJ37</f>
        <v>0.35</v>
      </c>
      <c r="BK38" s="11" t="n">
        <f aca="false">BK36+BK37</f>
        <v>0.35</v>
      </c>
      <c r="BL38" s="11" t="n">
        <f aca="false">BL36+BL37</f>
        <v>0.35</v>
      </c>
      <c r="BM38" s="11" t="n">
        <f aca="false">BM36+BM37</f>
        <v>0.35</v>
      </c>
      <c r="BN38" s="11" t="n">
        <f aca="false">BN36+BN37</f>
        <v>0.35</v>
      </c>
      <c r="BO38" s="11" t="n">
        <f aca="false">BO36+BO37</f>
        <v>0.35</v>
      </c>
      <c r="BP38" s="11" t="n">
        <f aca="false">BP36+BP37</f>
        <v>0.35</v>
      </c>
      <c r="BQ38" s="11" t="n">
        <f aca="false">BQ36+BQ37</f>
        <v>0.35</v>
      </c>
      <c r="BR38" s="11" t="n">
        <f aca="false">BR36+BR37</f>
        <v>0.35</v>
      </c>
      <c r="BS38" s="11" t="n">
        <f aca="false">BS36+BS37</f>
        <v>0.35</v>
      </c>
      <c r="BT38" s="11" t="n">
        <f aca="false">BT36+BT37</f>
        <v>0.35</v>
      </c>
      <c r="BU38" s="11" t="n">
        <f aca="false">BU36+BU37</f>
        <v>0.35</v>
      </c>
      <c r="BV38" s="11" t="n">
        <f aca="false">BV36+BV37</f>
        <v>0.35</v>
      </c>
      <c r="BW38" s="11" t="n">
        <f aca="false">BW36+BW37</f>
        <v>0.35</v>
      </c>
      <c r="BX38" s="11" t="n">
        <f aca="false">BX36+BX37</f>
        <v>0.35</v>
      </c>
      <c r="BY38" s="11" t="n">
        <f aca="false">BY36+BY37</f>
        <v>0.35</v>
      </c>
      <c r="BZ38" s="11" t="n">
        <f aca="false">BZ36+BZ37</f>
        <v>0.35</v>
      </c>
      <c r="CA38" s="11" t="n">
        <f aca="false">CA36+CA37</f>
        <v>0.35</v>
      </c>
      <c r="CB38" s="11" t="n">
        <f aca="false">CB36+CB37</f>
        <v>0.35</v>
      </c>
      <c r="CC38" s="11" t="n">
        <f aca="false">CC36+CC37</f>
        <v>0.35</v>
      </c>
      <c r="CD38" s="11" t="n">
        <f aca="false">CD36+CD37</f>
        <v>0.35</v>
      </c>
      <c r="CE38" s="11" t="n">
        <f aca="false">CE36+CE37</f>
        <v>0.35</v>
      </c>
      <c r="CF38" s="11" t="n">
        <f aca="false">CF36+CF37</f>
        <v>0.35</v>
      </c>
      <c r="CG38" s="11" t="n">
        <f aca="false">CG36+CG37</f>
        <v>0.35</v>
      </c>
      <c r="CH38" s="11" t="n">
        <f aca="false">CH36+CH37</f>
        <v>0.35</v>
      </c>
      <c r="CI38" s="11" t="n">
        <f aca="false">CI36+CI37</f>
        <v>0.35</v>
      </c>
      <c r="CJ38" s="11" t="n">
        <f aca="false">CJ36+CJ37</f>
        <v>0.35</v>
      </c>
      <c r="CK38" s="11" t="n">
        <f aca="false">CK36+CK37</f>
        <v>0.35</v>
      </c>
      <c r="CL38" s="11" t="n">
        <f aca="false">CL36+CL37</f>
        <v>0.35</v>
      </c>
      <c r="CM38" s="11" t="n">
        <f aca="false">CM36+CM37</f>
        <v>0.35</v>
      </c>
      <c r="CN38" s="11" t="n">
        <f aca="false">CN36+CN37</f>
        <v>0.35</v>
      </c>
      <c r="CO38" s="11" t="n">
        <f aca="false">CO36+CO37</f>
        <v>0.35</v>
      </c>
      <c r="CP38" s="11" t="n">
        <f aca="false">CP36+CP37</f>
        <v>0.35</v>
      </c>
      <c r="CQ38" s="11" t="n">
        <f aca="false">CQ36+CQ37</f>
        <v>0.35</v>
      </c>
      <c r="CR38" s="11" t="n">
        <f aca="false">CR36+CR37</f>
        <v>0.35</v>
      </c>
      <c r="CS38" s="11" t="n">
        <f aca="false">CS36+CS37</f>
        <v>0.35</v>
      </c>
      <c r="CT38" s="11" t="n">
        <f aca="false">CT36+CT37</f>
        <v>0.35</v>
      </c>
      <c r="CU38" s="11" t="n">
        <f aca="false">CU36+CU37</f>
        <v>0.35</v>
      </c>
      <c r="CV38" s="11" t="n">
        <f aca="false">CV36+CV37</f>
        <v>0.35</v>
      </c>
      <c r="CW38" s="11" t="n">
        <f aca="false">CW36+CW37</f>
        <v>0.35</v>
      </c>
      <c r="CX38" s="11" t="n">
        <f aca="false">CX36+CX37</f>
        <v>0.35</v>
      </c>
      <c r="CY38" s="11" t="n">
        <f aca="false">CY36+CY37</f>
        <v>0.35</v>
      </c>
      <c r="CZ38" s="11" t="n">
        <f aca="false">CZ36+CZ37</f>
        <v>0.35</v>
      </c>
      <c r="DA38" s="11" t="n">
        <f aca="false">DA36+DA37</f>
        <v>0.35</v>
      </c>
      <c r="DB38" s="11" t="n">
        <f aca="false">DB36+DB37</f>
        <v>0.35</v>
      </c>
      <c r="DC38" s="11" t="n">
        <f aca="false">DC36+DC37</f>
        <v>0.35</v>
      </c>
      <c r="DD38" s="11" t="n">
        <f aca="false">DD36+DD37</f>
        <v>0.35</v>
      </c>
      <c r="DE38" s="11" t="n">
        <f aca="false">DE36+DE37</f>
        <v>0.35</v>
      </c>
      <c r="DF38" s="11" t="n">
        <f aca="false">DF36+DF37</f>
        <v>0.35</v>
      </c>
      <c r="DG38" s="11" t="n">
        <f aca="false">DG36+DG37</f>
        <v>0.35</v>
      </c>
      <c r="DH38" s="11" t="n">
        <f aca="false">DH36+DH37</f>
        <v>0.35</v>
      </c>
      <c r="DI38" s="11" t="n">
        <f aca="false">DI36+DI37</f>
        <v>0.35</v>
      </c>
      <c r="DJ38" s="11" t="n">
        <f aca="false">DJ36+DJ37</f>
        <v>0.35</v>
      </c>
      <c r="DK38" s="11" t="n">
        <f aca="false">DK36+DK37</f>
        <v>0.35</v>
      </c>
      <c r="DL38" s="11" t="n">
        <f aca="false">DL36+DL37</f>
        <v>0.35</v>
      </c>
      <c r="DM38" s="11" t="n">
        <f aca="false">DM36+DM37</f>
        <v>0.35</v>
      </c>
      <c r="DN38" s="11" t="n">
        <f aca="false">DN36+DN37</f>
        <v>0.35</v>
      </c>
      <c r="DO38" s="11" t="n">
        <f aca="false">DO36+DO37</f>
        <v>0.35</v>
      </c>
      <c r="DP38" s="11" t="n">
        <f aca="false">DP36+DP37</f>
        <v>0.35</v>
      </c>
      <c r="DQ38" s="11" t="n">
        <f aca="false">DQ36+DQ37</f>
        <v>0.35</v>
      </c>
      <c r="DR38" s="11" t="n">
        <f aca="false">DR36+DR37</f>
        <v>0.35</v>
      </c>
    </row>
    <row r="39" customFormat="false" ht="15" hidden="false" customHeight="false" outlineLevel="0" collapsed="false">
      <c r="A39" s="9" t="s">
        <v>40</v>
      </c>
      <c r="B39" s="10" t="n">
        <f aca="false">SUM(INDEX($B$38:B38,Inputs!$B$35,MAX(Inputs!$B$35,COLUMN()-Inputs!$B$20)): B38)/Inputs!$B$20</f>
        <v>0</v>
      </c>
      <c r="C39" s="10" t="n">
        <f aca="false">SUM(INDEX($B$38:C38,Inputs!$B$35,MAX(Inputs!$B$35,COLUMN()-Inputs!$B$20)): C38)/Inputs!$B$20</f>
        <v>0.0597222222222222</v>
      </c>
      <c r="D39" s="10" t="n">
        <f aca="false">SUM(INDEX($B$38:D38,Inputs!$B$35,MAX(Inputs!$B$35,COLUMN()-Inputs!$B$20)): D38)/Inputs!$B$20</f>
        <v>0.119444444444444</v>
      </c>
      <c r="E39" s="10" t="n">
        <f aca="false">SUM(INDEX($B$38:E38,Inputs!$B$35,MAX(Inputs!$B$35,COLUMN()-Inputs!$B$20)): E38)/Inputs!$B$20</f>
        <v>0.179166666666667</v>
      </c>
      <c r="F39" s="10" t="n">
        <f aca="false">SUM(INDEX($B$38:F38,Inputs!$B$35,MAX(Inputs!$B$35,COLUMN()-Inputs!$B$20)): F38)/Inputs!$B$20</f>
        <v>0.238888888888889</v>
      </c>
      <c r="G39" s="10" t="n">
        <f aca="false">SUM(INDEX($B$38:G38,Inputs!$B$35,MAX(Inputs!$B$35,COLUMN()-Inputs!$B$20)): G38)/Inputs!$B$20</f>
        <v>0.298611111111111</v>
      </c>
      <c r="H39" s="10" t="n">
        <f aca="false">SUM(INDEX($B$38:H38,Inputs!$B$35,MAX(Inputs!$B$35,COLUMN()-Inputs!$B$20)): H38)/Inputs!$B$20</f>
        <v>0.358333333333333</v>
      </c>
      <c r="I39" s="10" t="n">
        <f aca="false">SUM(INDEX($B$38:I38,Inputs!$B$35,MAX(Inputs!$B$35,COLUMN()-Inputs!$B$20)): I38)/Inputs!$B$20</f>
        <v>0.418055555555556</v>
      </c>
      <c r="J39" s="10" t="n">
        <f aca="false">SUM(INDEX($B$38:J38,Inputs!$B$35,MAX(Inputs!$B$35,COLUMN()-Inputs!$B$20)): J38)/Inputs!$B$20</f>
        <v>0.477777777777778</v>
      </c>
      <c r="K39" s="10" t="n">
        <f aca="false">SUM(INDEX($B$38:K38,Inputs!$B$35,MAX(Inputs!$B$35,COLUMN()-Inputs!$B$20)): K38)/Inputs!$B$20</f>
        <v>0.5375</v>
      </c>
      <c r="L39" s="10" t="n">
        <f aca="false">SUM(INDEX($B$38:L38,Inputs!$B$35,MAX(Inputs!$B$35,COLUMN()-Inputs!$B$20)): L38)/Inputs!$B$20</f>
        <v>0.597222222222222</v>
      </c>
      <c r="M39" s="10" t="n">
        <f aca="false">SUM(INDEX($B$38:M38,Inputs!$B$35,MAX(Inputs!$B$35,COLUMN()-Inputs!$B$20)): M38)/Inputs!$B$20</f>
        <v>0.656944444444445</v>
      </c>
      <c r="N39" s="10" t="n">
        <f aca="false">SUM(INDEX($B$38:N38,Inputs!$B$35,MAX(Inputs!$B$35,COLUMN()-Inputs!$B$20)): N38)/Inputs!$B$20</f>
        <v>0.716666666666667</v>
      </c>
      <c r="O39" s="10" t="n">
        <f aca="false">SUM(INDEX($B$38:O38,Inputs!$B$35,MAX(Inputs!$B$35,COLUMN()-Inputs!$B$20)): O38)/Inputs!$B$20</f>
        <v>0.7225</v>
      </c>
      <c r="P39" s="10" t="n">
        <f aca="false">SUM(INDEX($B$38:P38,Inputs!$B$35,MAX(Inputs!$B$35,COLUMN()-Inputs!$B$20)): P38)/Inputs!$B$20</f>
        <v>0.728333333333333</v>
      </c>
      <c r="Q39" s="10" t="n">
        <f aca="false">SUM(INDEX($B$38:Q38,Inputs!$B$35,MAX(Inputs!$B$35,COLUMN()-Inputs!$B$20)): Q38)/Inputs!$B$20</f>
        <v>0.734166666666667</v>
      </c>
      <c r="R39" s="10" t="n">
        <f aca="false">SUM(INDEX($B$38:R38,Inputs!$B$35,MAX(Inputs!$B$35,COLUMN()-Inputs!$B$20)): R38)/Inputs!$B$20</f>
        <v>0.74</v>
      </c>
      <c r="S39" s="10" t="n">
        <f aca="false">SUM(INDEX($B$38:S38,Inputs!$B$35,MAX(Inputs!$B$35,COLUMN()-Inputs!$B$20)): S38)/Inputs!$B$20</f>
        <v>0.745833333333333</v>
      </c>
      <c r="T39" s="10" t="n">
        <f aca="false">SUM(INDEX($B$38:T38,Inputs!$B$35,MAX(Inputs!$B$35,COLUMN()-Inputs!$B$20)): T38)/Inputs!$B$20</f>
        <v>0.751666666666667</v>
      </c>
      <c r="U39" s="10" t="n">
        <f aca="false">SUM(INDEX($B$38:U38,Inputs!$B$35,MAX(Inputs!$B$35,COLUMN()-Inputs!$B$20)): U38)/Inputs!$B$20</f>
        <v>0.7575</v>
      </c>
      <c r="V39" s="10" t="n">
        <f aca="false">SUM(INDEX($B$38:V38,Inputs!$B$35,MAX(Inputs!$B$35,COLUMN()-Inputs!$B$20)): V38)/Inputs!$B$20</f>
        <v>0.763333333333333</v>
      </c>
      <c r="W39" s="10" t="n">
        <f aca="false">SUM(INDEX($B$38:W38,Inputs!$B$35,MAX(Inputs!$B$35,COLUMN()-Inputs!$B$20)): W38)/Inputs!$B$20</f>
        <v>0.769166666666667</v>
      </c>
      <c r="X39" s="10" t="n">
        <f aca="false">SUM(INDEX($B$38:X38,Inputs!$B$35,MAX(Inputs!$B$35,COLUMN()-Inputs!$B$20)): X38)/Inputs!$B$20</f>
        <v>0.775</v>
      </c>
      <c r="Y39" s="10" t="n">
        <f aca="false">SUM(INDEX($B$38:Y38,Inputs!$B$35,MAX(Inputs!$B$35,COLUMN()-Inputs!$B$20)): Y38)/Inputs!$B$20</f>
        <v>0.780833333333333</v>
      </c>
      <c r="Z39" s="10" t="n">
        <f aca="false">SUM(INDEX($B$38:Z38,Inputs!$B$35,MAX(Inputs!$B$35,COLUMN()-Inputs!$B$20)): Z38)/Inputs!$B$20</f>
        <v>0.786666666666667</v>
      </c>
      <c r="AA39" s="10" t="n">
        <f aca="false">SUM(INDEX($B$38:AA38,Inputs!$B$35,MAX(Inputs!$B$35,COLUMN()-Inputs!$B$20)): AA38)/Inputs!$B$20</f>
        <v>0.7925</v>
      </c>
      <c r="AB39" s="10" t="n">
        <f aca="false">SUM(INDEX($B$38:AB38,Inputs!$B$35,MAX(Inputs!$B$35,COLUMN()-Inputs!$B$20)): AB38)/Inputs!$B$20</f>
        <v>0.798333333333334</v>
      </c>
      <c r="AC39" s="10" t="n">
        <f aca="false">SUM(INDEX($B$38:AC38,Inputs!$B$35,MAX(Inputs!$B$35,COLUMN()-Inputs!$B$20)): AC38)/Inputs!$B$20</f>
        <v>0.804166666666667</v>
      </c>
      <c r="AD39" s="10" t="n">
        <f aca="false">SUM(INDEX($B$38:AD38,Inputs!$B$35,MAX(Inputs!$B$35,COLUMN()-Inputs!$B$20)): AD38)/Inputs!$B$20</f>
        <v>0.81</v>
      </c>
      <c r="AE39" s="10" t="n">
        <f aca="false">SUM(INDEX($B$38:AE38,Inputs!$B$35,MAX(Inputs!$B$35,COLUMN()-Inputs!$B$20)): AE38)/Inputs!$B$20</f>
        <v>0.815833333333333</v>
      </c>
      <c r="AF39" s="10" t="n">
        <f aca="false">SUM(INDEX($B$38:AF38,Inputs!$B$35,MAX(Inputs!$B$35,COLUMN()-Inputs!$B$20)): AF38)/Inputs!$B$20</f>
        <v>0.821666666666667</v>
      </c>
      <c r="AG39" s="10" t="n">
        <f aca="false">SUM(INDEX($B$38:AG38,Inputs!$B$35,MAX(Inputs!$B$35,COLUMN()-Inputs!$B$20)): AG38)/Inputs!$B$20</f>
        <v>0.8275</v>
      </c>
      <c r="AH39" s="10" t="n">
        <f aca="false">SUM(INDEX($B$38:AH38,Inputs!$B$35,MAX(Inputs!$B$35,COLUMN()-Inputs!$B$20)): AH38)/Inputs!$B$20</f>
        <v>0.833333333333333</v>
      </c>
      <c r="AI39" s="10" t="n">
        <f aca="false">SUM(INDEX($B$38:AI38,Inputs!$B$35,MAX(Inputs!$B$35,COLUMN()-Inputs!$B$20)): AI38)/Inputs!$B$20</f>
        <v>0.839166666666667</v>
      </c>
      <c r="AJ39" s="10" t="n">
        <f aca="false">SUM(INDEX($B$38:AJ38,Inputs!$B$35,MAX(Inputs!$B$35,COLUMN()-Inputs!$B$20)): AJ38)/Inputs!$B$20</f>
        <v>0.845</v>
      </c>
      <c r="AK39" s="10" t="n">
        <f aca="false">SUM(INDEX($B$38:AK38,Inputs!$B$35,MAX(Inputs!$B$35,COLUMN()-Inputs!$B$20)): AK38)/Inputs!$B$20</f>
        <v>0.850833333333333</v>
      </c>
      <c r="AL39" s="10" t="n">
        <f aca="false">SUM(INDEX($B$38:AL38,Inputs!$B$35,MAX(Inputs!$B$35,COLUMN()-Inputs!$B$20)): AL38)/Inputs!$B$20</f>
        <v>0.856666666666667</v>
      </c>
      <c r="AM39" s="10" t="n">
        <f aca="false">SUM(INDEX($B$38:AM38,Inputs!$B$35,MAX(Inputs!$B$35,COLUMN()-Inputs!$B$20)): AM38)/Inputs!$B$20</f>
        <v>0.8625</v>
      </c>
      <c r="AN39" s="10" t="n">
        <f aca="false">SUM(INDEX($B$38:AN38,Inputs!$B$35,MAX(Inputs!$B$35,COLUMN()-Inputs!$B$20)): AN38)/Inputs!$B$20</f>
        <v>0.868333333333333</v>
      </c>
      <c r="AO39" s="10" t="n">
        <f aca="false">SUM(INDEX($B$38:AO38,Inputs!$B$35,MAX(Inputs!$B$35,COLUMN()-Inputs!$B$20)): AO38)/Inputs!$B$20</f>
        <v>0.874166666666667</v>
      </c>
      <c r="AP39" s="10" t="n">
        <f aca="false">SUM(INDEX($B$38:AP38,Inputs!$B$35,MAX(Inputs!$B$35,COLUMN()-Inputs!$B$20)): AP38)/Inputs!$B$20</f>
        <v>0.88</v>
      </c>
      <c r="AQ39" s="10" t="n">
        <f aca="false">SUM(INDEX($B$38:AQ38,Inputs!$B$35,MAX(Inputs!$B$35,COLUMN()-Inputs!$B$20)): AQ38)/Inputs!$B$20</f>
        <v>0.885833333333334</v>
      </c>
      <c r="AR39" s="10" t="n">
        <f aca="false">SUM(INDEX($B$38:AR38,Inputs!$B$35,MAX(Inputs!$B$35,COLUMN()-Inputs!$B$20)): AR38)/Inputs!$B$20</f>
        <v>0.891666666666667</v>
      </c>
      <c r="AS39" s="10" t="n">
        <f aca="false">SUM(INDEX($B$38:AS38,Inputs!$B$35,MAX(Inputs!$B$35,COLUMN()-Inputs!$B$20)): AS38)/Inputs!$B$20</f>
        <v>0.8975</v>
      </c>
      <c r="AT39" s="10" t="n">
        <f aca="false">SUM(INDEX($B$38:AT38,Inputs!$B$35,MAX(Inputs!$B$35,COLUMN()-Inputs!$B$20)): AT38)/Inputs!$B$20</f>
        <v>0.903333333333333</v>
      </c>
      <c r="AU39" s="10" t="n">
        <f aca="false">SUM(INDEX($B$38:AU38,Inputs!$B$35,MAX(Inputs!$B$35,COLUMN()-Inputs!$B$20)): AU38)/Inputs!$B$20</f>
        <v>0.909166666666667</v>
      </c>
      <c r="AV39" s="10" t="n">
        <f aca="false">SUM(INDEX($B$38:AV38,Inputs!$B$35,MAX(Inputs!$B$35,COLUMN()-Inputs!$B$20)): AV38)/Inputs!$B$20</f>
        <v>0.915</v>
      </c>
      <c r="AW39" s="10" t="n">
        <f aca="false">SUM(INDEX($B$38:AW38,Inputs!$B$35,MAX(Inputs!$B$35,COLUMN()-Inputs!$B$20)): AW38)/Inputs!$B$20</f>
        <v>0.920833333333333</v>
      </c>
      <c r="AX39" s="10" t="n">
        <f aca="false">SUM(INDEX($B$38:AX38,Inputs!$B$35,MAX(Inputs!$B$35,COLUMN()-Inputs!$B$20)): AX38)/Inputs!$B$20</f>
        <v>0.926666666666667</v>
      </c>
      <c r="AY39" s="10" t="n">
        <f aca="false">SUM(INDEX($B$38:AY38,Inputs!$B$35,MAX(Inputs!$B$35,COLUMN()-Inputs!$B$20)): AY38)/Inputs!$B$20</f>
        <v>0.9325</v>
      </c>
      <c r="AZ39" s="10" t="n">
        <f aca="false">SUM(INDEX($B$38:AZ38,Inputs!$B$35,MAX(Inputs!$B$35,COLUMN()-Inputs!$B$20)): AZ38)/Inputs!$B$20</f>
        <v>0.938333333333333</v>
      </c>
      <c r="BA39" s="10" t="n">
        <f aca="false">SUM(INDEX($B$38:BA38,Inputs!$B$35,MAX(Inputs!$B$35,COLUMN()-Inputs!$B$20)): BA38)/Inputs!$B$20</f>
        <v>0.944166666666667</v>
      </c>
      <c r="BB39" s="10" t="n">
        <f aca="false">SUM(INDEX($B$38:BB38,Inputs!$B$35,MAX(Inputs!$B$35,COLUMN()-Inputs!$B$20)): BB38)/Inputs!$B$20</f>
        <v>0.95</v>
      </c>
      <c r="BC39" s="10" t="n">
        <f aca="false">SUM(INDEX($B$38:BC38,Inputs!$B$35,MAX(Inputs!$B$35,COLUMN()-Inputs!$B$20)): BC38)/Inputs!$B$20</f>
        <v>0.955833333333333</v>
      </c>
      <c r="BD39" s="10" t="n">
        <f aca="false">SUM(INDEX($B$38:BD38,Inputs!$B$35,MAX(Inputs!$B$35,COLUMN()-Inputs!$B$20)): BD38)/Inputs!$B$20</f>
        <v>0.961666666666667</v>
      </c>
      <c r="BE39" s="10" t="n">
        <f aca="false">SUM(INDEX($B$38:BE38,Inputs!$B$35,MAX(Inputs!$B$35,COLUMN()-Inputs!$B$20)): BE38)/Inputs!$B$20</f>
        <v>0.9675</v>
      </c>
      <c r="BF39" s="10" t="n">
        <f aca="false">SUM(INDEX($B$38:BF38,Inputs!$B$35,MAX(Inputs!$B$35,COLUMN()-Inputs!$B$20)): BF38)/Inputs!$B$20</f>
        <v>0.973333333333333</v>
      </c>
      <c r="BG39" s="10" t="n">
        <f aca="false">SUM(INDEX($B$38:BG38,Inputs!$B$35,MAX(Inputs!$B$35,COLUMN()-Inputs!$B$20)): BG38)/Inputs!$B$20</f>
        <v>0.979166666666667</v>
      </c>
      <c r="BH39" s="10" t="n">
        <f aca="false">SUM(INDEX($B$38:BH38,Inputs!$B$35,MAX(Inputs!$B$35,COLUMN()-Inputs!$B$20)): BH38)/Inputs!$B$20</f>
        <v>0.985</v>
      </c>
      <c r="BI39" s="10" t="n">
        <f aca="false">SUM(INDEX($B$38:BI38,Inputs!$B$35,MAX(Inputs!$B$35,COLUMN()-Inputs!$B$20)): BI38)/Inputs!$B$20</f>
        <v>0.990833333333333</v>
      </c>
      <c r="BJ39" s="10" t="n">
        <f aca="false">SUM(INDEX($B$38:BJ38,Inputs!$B$35,MAX(Inputs!$B$35,COLUMN()-Inputs!$B$20)): BJ38)/Inputs!$B$20</f>
        <v>0.996666666666667</v>
      </c>
      <c r="BK39" s="10" t="n">
        <f aca="false">SUM(INDEX($B$38:BK38,Inputs!$B$35,MAX(Inputs!$B$35,COLUMN()-Inputs!$B$20)): BK38)/Inputs!$B$20</f>
        <v>0.942777777777778</v>
      </c>
      <c r="BL39" s="10" t="n">
        <f aca="false">SUM(INDEX($B$38:BL38,Inputs!$B$35,MAX(Inputs!$B$35,COLUMN()-Inputs!$B$20)): BL38)/Inputs!$B$20</f>
        <v>0.888888888888889</v>
      </c>
      <c r="BM39" s="10" t="n">
        <f aca="false">SUM(INDEX($B$38:BM38,Inputs!$B$35,MAX(Inputs!$B$35,COLUMN()-Inputs!$B$20)): BM38)/Inputs!$B$20</f>
        <v>0.835</v>
      </c>
      <c r="BN39" s="10" t="n">
        <f aca="false">SUM(INDEX($B$38:BN38,Inputs!$B$35,MAX(Inputs!$B$35,COLUMN()-Inputs!$B$20)): BN38)/Inputs!$B$20</f>
        <v>0.781111111111111</v>
      </c>
      <c r="BO39" s="10" t="n">
        <f aca="false">SUM(INDEX($B$38:BO38,Inputs!$B$35,MAX(Inputs!$B$35,COLUMN()-Inputs!$B$20)): BO38)/Inputs!$B$20</f>
        <v>0.727222222222222</v>
      </c>
      <c r="BP39" s="10" t="n">
        <f aca="false">SUM(INDEX($B$38:BP38,Inputs!$B$35,MAX(Inputs!$B$35,COLUMN()-Inputs!$B$20)): BP38)/Inputs!$B$20</f>
        <v>0.673333333333334</v>
      </c>
      <c r="BQ39" s="10" t="n">
        <f aca="false">SUM(INDEX($B$38:BQ38,Inputs!$B$35,MAX(Inputs!$B$35,COLUMN()-Inputs!$B$20)): BQ38)/Inputs!$B$20</f>
        <v>0.619444444444445</v>
      </c>
      <c r="BR39" s="10" t="n">
        <f aca="false">SUM(INDEX($B$38:BR38,Inputs!$B$35,MAX(Inputs!$B$35,COLUMN()-Inputs!$B$20)): BR38)/Inputs!$B$20</f>
        <v>0.565555555555556</v>
      </c>
      <c r="BS39" s="10" t="n">
        <f aca="false">SUM(INDEX($B$38:BS38,Inputs!$B$35,MAX(Inputs!$B$35,COLUMN()-Inputs!$B$20)): BS38)/Inputs!$B$20</f>
        <v>0.511666666666667</v>
      </c>
      <c r="BT39" s="10" t="n">
        <f aca="false">SUM(INDEX($B$38:BT38,Inputs!$B$35,MAX(Inputs!$B$35,COLUMN()-Inputs!$B$20)): BT38)/Inputs!$B$20</f>
        <v>0.457777777777778</v>
      </c>
      <c r="BU39" s="10" t="n">
        <f aca="false">SUM(INDEX($B$38:BU38,Inputs!$B$35,MAX(Inputs!$B$35,COLUMN()-Inputs!$B$20)): BU38)/Inputs!$B$20</f>
        <v>0.403888888888889</v>
      </c>
      <c r="BV39" s="10" t="n">
        <f aca="false">SUM(INDEX($B$38:BV38,Inputs!$B$35,MAX(Inputs!$B$35,COLUMN()-Inputs!$B$20)): BV38)/Inputs!$B$20</f>
        <v>0.35</v>
      </c>
      <c r="BW39" s="10" t="n">
        <f aca="false">SUM(INDEX($B$38:BW38,Inputs!$B$35,MAX(Inputs!$B$35,COLUMN()-Inputs!$B$20)): BW38)/Inputs!$B$20</f>
        <v>0.35</v>
      </c>
      <c r="BX39" s="10" t="n">
        <f aca="false">SUM(INDEX($B$38:BX38,Inputs!$B$35,MAX(Inputs!$B$35,COLUMN()-Inputs!$B$20)): BX38)/Inputs!$B$20</f>
        <v>0.35</v>
      </c>
      <c r="BY39" s="10" t="n">
        <f aca="false">SUM(INDEX($B$38:BY38,Inputs!$B$35,MAX(Inputs!$B$35,COLUMN()-Inputs!$B$20)): BY38)/Inputs!$B$20</f>
        <v>0.35</v>
      </c>
      <c r="BZ39" s="10" t="n">
        <f aca="false">SUM(INDEX($B$38:BZ38,Inputs!$B$35,MAX(Inputs!$B$35,COLUMN()-Inputs!$B$20)): BZ38)/Inputs!$B$20</f>
        <v>0.35</v>
      </c>
      <c r="CA39" s="10" t="n">
        <f aca="false">SUM(INDEX($B$38:CA38,Inputs!$B$35,MAX(Inputs!$B$35,COLUMN()-Inputs!$B$20)): CA38)/Inputs!$B$20</f>
        <v>0.35</v>
      </c>
      <c r="CB39" s="10" t="n">
        <f aca="false">SUM(INDEX($B$38:CB38,Inputs!$B$35,MAX(Inputs!$B$35,COLUMN()-Inputs!$B$20)): CB38)/Inputs!$B$20</f>
        <v>0.35</v>
      </c>
      <c r="CC39" s="10" t="n">
        <f aca="false">SUM(INDEX($B$38:CC38,Inputs!$B$35,MAX(Inputs!$B$35,COLUMN()-Inputs!$B$20)): CC38)/Inputs!$B$20</f>
        <v>0.35</v>
      </c>
      <c r="CD39" s="10" t="n">
        <f aca="false">SUM(INDEX($B$38:CD38,Inputs!$B$35,MAX(Inputs!$B$35,COLUMN()-Inputs!$B$20)): CD38)/Inputs!$B$20</f>
        <v>0.35</v>
      </c>
      <c r="CE39" s="10" t="n">
        <f aca="false">SUM(INDEX($B$38:CE38,Inputs!$B$35,MAX(Inputs!$B$35,COLUMN()-Inputs!$B$20)): CE38)/Inputs!$B$20</f>
        <v>0.35</v>
      </c>
      <c r="CF39" s="10" t="n">
        <f aca="false">SUM(INDEX($B$38:CF38,Inputs!$B$35,MAX(Inputs!$B$35,COLUMN()-Inputs!$B$20)): CF38)/Inputs!$B$20</f>
        <v>0.35</v>
      </c>
      <c r="CG39" s="10" t="n">
        <f aca="false">SUM(INDEX($B$38:CG38,Inputs!$B$35,MAX(Inputs!$B$35,COLUMN()-Inputs!$B$20)): CG38)/Inputs!$B$20</f>
        <v>0.35</v>
      </c>
      <c r="CH39" s="10" t="n">
        <f aca="false">SUM(INDEX($B$38:CH38,Inputs!$B$35,MAX(Inputs!$B$35,COLUMN()-Inputs!$B$20)): CH38)/Inputs!$B$20</f>
        <v>0.35</v>
      </c>
      <c r="CI39" s="10" t="n">
        <f aca="false">SUM(INDEX($B$38:CI38,Inputs!$B$35,MAX(Inputs!$B$35,COLUMN()-Inputs!$B$20)): CI38)/Inputs!$B$20</f>
        <v>0.35</v>
      </c>
      <c r="CJ39" s="10" t="n">
        <f aca="false">SUM(INDEX($B$38:CJ38,Inputs!$B$35,MAX(Inputs!$B$35,COLUMN()-Inputs!$B$20)): CJ38)/Inputs!$B$20</f>
        <v>0.35</v>
      </c>
      <c r="CK39" s="10" t="n">
        <f aca="false">SUM(INDEX($B$38:CK38,Inputs!$B$35,MAX(Inputs!$B$35,COLUMN()-Inputs!$B$20)): CK38)/Inputs!$B$20</f>
        <v>0.35</v>
      </c>
      <c r="CL39" s="10" t="n">
        <f aca="false">SUM(INDEX($B$38:CL38,Inputs!$B$35,MAX(Inputs!$B$35,COLUMN()-Inputs!$B$20)): CL38)/Inputs!$B$20</f>
        <v>0.35</v>
      </c>
      <c r="CM39" s="10" t="n">
        <f aca="false">SUM(INDEX($B$38:CM38,Inputs!$B$35,MAX(Inputs!$B$35,COLUMN()-Inputs!$B$20)): CM38)/Inputs!$B$20</f>
        <v>0.35</v>
      </c>
      <c r="CN39" s="10" t="n">
        <f aca="false">SUM(INDEX($B$38:CN38,Inputs!$B$35,MAX(Inputs!$B$35,COLUMN()-Inputs!$B$20)): CN38)/Inputs!$B$20</f>
        <v>0.35</v>
      </c>
      <c r="CO39" s="10" t="n">
        <f aca="false">SUM(INDEX($B$38:CO38,Inputs!$B$35,MAX(Inputs!$B$35,COLUMN()-Inputs!$B$20)): CO38)/Inputs!$B$20</f>
        <v>0.35</v>
      </c>
      <c r="CP39" s="10" t="n">
        <f aca="false">SUM(INDEX($B$38:CP38,Inputs!$B$35,MAX(Inputs!$B$35,COLUMN()-Inputs!$B$20)): CP38)/Inputs!$B$20</f>
        <v>0.35</v>
      </c>
      <c r="CQ39" s="10" t="n">
        <f aca="false">SUM(INDEX($B$38:CQ38,Inputs!$B$35,MAX(Inputs!$B$35,COLUMN()-Inputs!$B$20)): CQ38)/Inputs!$B$20</f>
        <v>0.35</v>
      </c>
      <c r="CR39" s="10" t="n">
        <f aca="false">SUM(INDEX($B$38:CR38,Inputs!$B$35,MAX(Inputs!$B$35,COLUMN()-Inputs!$B$20)): CR38)/Inputs!$B$20</f>
        <v>0.35</v>
      </c>
      <c r="CS39" s="10" t="n">
        <f aca="false">SUM(INDEX($B$38:CS38,Inputs!$B$35,MAX(Inputs!$B$35,COLUMN()-Inputs!$B$20)): CS38)/Inputs!$B$20</f>
        <v>0.35</v>
      </c>
      <c r="CT39" s="10" t="n">
        <f aca="false">SUM(INDEX($B$38:CT38,Inputs!$B$35,MAX(Inputs!$B$35,COLUMN()-Inputs!$B$20)): CT38)/Inputs!$B$20</f>
        <v>0.35</v>
      </c>
      <c r="CU39" s="10" t="n">
        <f aca="false">SUM(INDEX($B$38:CU38,Inputs!$B$35,MAX(Inputs!$B$35,COLUMN()-Inputs!$B$20)): CU38)/Inputs!$B$20</f>
        <v>0.35</v>
      </c>
      <c r="CV39" s="10" t="n">
        <f aca="false">SUM(INDEX($B$38:CV38,Inputs!$B$35,MAX(Inputs!$B$35,COLUMN()-Inputs!$B$20)): CV38)/Inputs!$B$20</f>
        <v>0.35</v>
      </c>
      <c r="CW39" s="10" t="n">
        <f aca="false">SUM(INDEX($B$38:CW38,Inputs!$B$35,MAX(Inputs!$B$35,COLUMN()-Inputs!$B$20)): CW38)/Inputs!$B$20</f>
        <v>0.35</v>
      </c>
      <c r="CX39" s="10" t="n">
        <f aca="false">SUM(INDEX($B$38:CX38,Inputs!$B$35,MAX(Inputs!$B$35,COLUMN()-Inputs!$B$20)): CX38)/Inputs!$B$20</f>
        <v>0.35</v>
      </c>
      <c r="CY39" s="10" t="n">
        <f aca="false">SUM(INDEX($B$38:CY38,Inputs!$B$35,MAX(Inputs!$B$35,COLUMN()-Inputs!$B$20)): CY38)/Inputs!$B$20</f>
        <v>0.35</v>
      </c>
      <c r="CZ39" s="10" t="n">
        <f aca="false">SUM(INDEX($B$38:CZ38,Inputs!$B$35,MAX(Inputs!$B$35,COLUMN()-Inputs!$B$20)): CZ38)/Inputs!$B$20</f>
        <v>0.35</v>
      </c>
      <c r="DA39" s="10" t="n">
        <f aca="false">SUM(INDEX($B$38:DA38,Inputs!$B$35,MAX(Inputs!$B$35,COLUMN()-Inputs!$B$20)): DA38)/Inputs!$B$20</f>
        <v>0.35</v>
      </c>
      <c r="DB39" s="10" t="n">
        <f aca="false">SUM(INDEX($B$38:DB38,Inputs!$B$35,MAX(Inputs!$B$35,COLUMN()-Inputs!$B$20)): DB38)/Inputs!$B$20</f>
        <v>0.35</v>
      </c>
      <c r="DC39" s="10" t="n">
        <f aca="false">SUM(INDEX($B$38:DC38,Inputs!$B$35,MAX(Inputs!$B$35,COLUMN()-Inputs!$B$20)): DC38)/Inputs!$B$20</f>
        <v>0.35</v>
      </c>
      <c r="DD39" s="10" t="n">
        <f aca="false">SUM(INDEX($B$38:DD38,Inputs!$B$35,MAX(Inputs!$B$35,COLUMN()-Inputs!$B$20)): DD38)/Inputs!$B$20</f>
        <v>0.35</v>
      </c>
      <c r="DE39" s="10" t="n">
        <f aca="false">SUM(INDEX($B$38:DE38,Inputs!$B$35,MAX(Inputs!$B$35,COLUMN()-Inputs!$B$20)): DE38)/Inputs!$B$20</f>
        <v>0.35</v>
      </c>
      <c r="DF39" s="10" t="n">
        <f aca="false">SUM(INDEX($B$38:DF38,Inputs!$B$35,MAX(Inputs!$B$35,COLUMN()-Inputs!$B$20)): DF38)/Inputs!$B$20</f>
        <v>0.35</v>
      </c>
      <c r="DG39" s="10" t="n">
        <f aca="false">SUM(INDEX($B$38:DG38,Inputs!$B$35,MAX(Inputs!$B$35,COLUMN()-Inputs!$B$20)): DG38)/Inputs!$B$20</f>
        <v>0.35</v>
      </c>
      <c r="DH39" s="10" t="n">
        <f aca="false">SUM(INDEX($B$38:DH38,Inputs!$B$35,MAX(Inputs!$B$35,COLUMN()-Inputs!$B$20)): DH38)/Inputs!$B$20</f>
        <v>0.35</v>
      </c>
      <c r="DI39" s="10" t="n">
        <f aca="false">SUM(INDEX($B$38:DI38,Inputs!$B$35,MAX(Inputs!$B$35,COLUMN()-Inputs!$B$20)): DI38)/Inputs!$B$20</f>
        <v>0.35</v>
      </c>
      <c r="DJ39" s="10" t="n">
        <f aca="false">SUM(INDEX($B$38:DJ38,Inputs!$B$35,MAX(Inputs!$B$35,COLUMN()-Inputs!$B$20)): DJ38)/Inputs!$B$20</f>
        <v>0.35</v>
      </c>
      <c r="DK39" s="10" t="n">
        <f aca="false">SUM(INDEX($B$38:DK38,Inputs!$B$35,MAX(Inputs!$B$35,COLUMN()-Inputs!$B$20)): DK38)/Inputs!$B$20</f>
        <v>0.35</v>
      </c>
      <c r="DL39" s="10" t="n">
        <f aca="false">SUM(INDEX($B$38:DL38,Inputs!$B$35,MAX(Inputs!$B$35,COLUMN()-Inputs!$B$20)): DL38)/Inputs!$B$20</f>
        <v>0.35</v>
      </c>
      <c r="DM39" s="10" t="n">
        <f aca="false">SUM(INDEX($B$38:DM38,Inputs!$B$35,MAX(Inputs!$B$35,COLUMN()-Inputs!$B$20)): DM38)/Inputs!$B$20</f>
        <v>0.35</v>
      </c>
      <c r="DN39" s="10" t="n">
        <f aca="false">SUM(INDEX($B$38:DN38,Inputs!$B$35,MAX(Inputs!$B$35,COLUMN()-Inputs!$B$20)): DN38)/Inputs!$B$20</f>
        <v>0.35</v>
      </c>
      <c r="DO39" s="10" t="n">
        <f aca="false">SUM(INDEX($B$38:DO38,Inputs!$B$35,MAX(Inputs!$B$35,COLUMN()-Inputs!$B$20)): DO38)/Inputs!$B$20</f>
        <v>0.35</v>
      </c>
      <c r="DP39" s="10" t="n">
        <f aca="false">SUM(INDEX($B$38:DP38,Inputs!$B$35,MAX(Inputs!$B$35,COLUMN()-Inputs!$B$20)): DP38)/Inputs!$B$20</f>
        <v>0.35</v>
      </c>
      <c r="DQ39" s="10" t="n">
        <f aca="false">SUM(INDEX($B$38:DQ38,Inputs!$B$35,MAX(Inputs!$B$35,COLUMN()-Inputs!$B$20)): DQ38)/Inputs!$B$20</f>
        <v>0.35</v>
      </c>
      <c r="DR39" s="10" t="n">
        <f aca="false">SUM(INDEX($B$38:DR38,Inputs!$B$35,MAX(Inputs!$B$35,COLUMN()-Inputs!$B$20)): DR38)/Inputs!$B$20</f>
        <v>0.35</v>
      </c>
    </row>
    <row r="40" customFormat="false" ht="15" hidden="false" customHeight="false" outlineLevel="0" collapsed="false">
      <c r="A40" s="9" t="s">
        <v>208</v>
      </c>
      <c r="B40" s="11" t="n">
        <f aca="false">B35-B39</f>
        <v>0</v>
      </c>
      <c r="C40" s="11" t="n">
        <f aca="false">C35-C39</f>
        <v>17.0069444444444</v>
      </c>
      <c r="D40" s="11" t="n">
        <f aca="false">D35-D39</f>
        <v>16.9472222222222</v>
      </c>
      <c r="E40" s="11" t="n">
        <f aca="false">E35-E39</f>
        <v>16.8875</v>
      </c>
      <c r="F40" s="11" t="n">
        <f aca="false">F35-F39</f>
        <v>16.8277777777778</v>
      </c>
      <c r="G40" s="11" t="n">
        <f aca="false">G35-G39</f>
        <v>16.7680555555556</v>
      </c>
      <c r="H40" s="11" t="n">
        <f aca="false">H35-H39</f>
        <v>16.7083333333333</v>
      </c>
      <c r="I40" s="11" t="n">
        <f aca="false">I35-I39</f>
        <v>16.6486111111111</v>
      </c>
      <c r="J40" s="11" t="n">
        <f aca="false">J35-J39</f>
        <v>16.5888888888889</v>
      </c>
      <c r="K40" s="11" t="n">
        <f aca="false">K35-K39</f>
        <v>16.5291666666667</v>
      </c>
      <c r="L40" s="11" t="n">
        <f aca="false">L35-L39</f>
        <v>16.4694444444444</v>
      </c>
      <c r="M40" s="11" t="n">
        <f aca="false">M35-M39</f>
        <v>16.4097222222222</v>
      </c>
      <c r="N40" s="11" t="n">
        <f aca="false">N35-N39</f>
        <v>16.35</v>
      </c>
      <c r="O40" s="11" t="n">
        <f aca="false">O35-O39</f>
        <v>16.9275</v>
      </c>
      <c r="P40" s="11" t="n">
        <f aca="false">P35-P39</f>
        <v>16.9216666666667</v>
      </c>
      <c r="Q40" s="11" t="n">
        <f aca="false">Q35-Q39</f>
        <v>16.9158333333333</v>
      </c>
      <c r="R40" s="11" t="n">
        <f aca="false">R35-R39</f>
        <v>16.91</v>
      </c>
      <c r="S40" s="11" t="n">
        <f aca="false">S35-S39</f>
        <v>16.9041666666667</v>
      </c>
      <c r="T40" s="11" t="n">
        <f aca="false">T35-T39</f>
        <v>16.8983333333333</v>
      </c>
      <c r="U40" s="11" t="n">
        <f aca="false">U35-U39</f>
        <v>16.8925</v>
      </c>
      <c r="V40" s="11" t="n">
        <f aca="false">V35-V39</f>
        <v>16.8866666666667</v>
      </c>
      <c r="W40" s="11" t="n">
        <f aca="false">W35-W39</f>
        <v>16.8808333333333</v>
      </c>
      <c r="X40" s="11" t="n">
        <f aca="false">X35-X39</f>
        <v>16.875</v>
      </c>
      <c r="Y40" s="11" t="n">
        <f aca="false">Y35-Y39</f>
        <v>16.8691666666667</v>
      </c>
      <c r="Z40" s="11" t="n">
        <f aca="false">Z35-Z39</f>
        <v>16.8633333333333</v>
      </c>
      <c r="AA40" s="11" t="n">
        <f aca="false">AA35-AA39</f>
        <v>16.8575</v>
      </c>
      <c r="AB40" s="11" t="n">
        <f aca="false">AB35-AB39</f>
        <v>16.8516666666667</v>
      </c>
      <c r="AC40" s="11" t="n">
        <f aca="false">AC35-AC39</f>
        <v>16.8458333333333</v>
      </c>
      <c r="AD40" s="11" t="n">
        <f aca="false">AD35-AD39</f>
        <v>16.84</v>
      </c>
      <c r="AE40" s="11" t="n">
        <f aca="false">AE35-AE39</f>
        <v>16.8341666666667</v>
      </c>
      <c r="AF40" s="11" t="n">
        <f aca="false">AF35-AF39</f>
        <v>16.8283333333333</v>
      </c>
      <c r="AG40" s="11" t="n">
        <f aca="false">AG35-AG39</f>
        <v>16.8225</v>
      </c>
      <c r="AH40" s="11" t="n">
        <f aca="false">AH35-AH39</f>
        <v>16.8166666666667</v>
      </c>
      <c r="AI40" s="11" t="n">
        <f aca="false">AI35-AI39</f>
        <v>16.8108333333333</v>
      </c>
      <c r="AJ40" s="11" t="n">
        <f aca="false">AJ35-AJ39</f>
        <v>16.805</v>
      </c>
      <c r="AK40" s="11" t="n">
        <f aca="false">AK35-AK39</f>
        <v>16.7991666666667</v>
      </c>
      <c r="AL40" s="11" t="n">
        <f aca="false">AL35-AL39</f>
        <v>16.7933333333333</v>
      </c>
      <c r="AM40" s="11" t="n">
        <f aca="false">AM35-AM39</f>
        <v>16.7875</v>
      </c>
      <c r="AN40" s="11" t="n">
        <f aca="false">AN35-AN39</f>
        <v>16.7816666666667</v>
      </c>
      <c r="AO40" s="11" t="n">
        <f aca="false">AO35-AO39</f>
        <v>16.7758333333333</v>
      </c>
      <c r="AP40" s="11" t="n">
        <f aca="false">AP35-AP39</f>
        <v>16.77</v>
      </c>
      <c r="AQ40" s="11" t="n">
        <f aca="false">AQ35-AQ39</f>
        <v>16.7641666666667</v>
      </c>
      <c r="AR40" s="11" t="n">
        <f aca="false">AR35-AR39</f>
        <v>16.7583333333333</v>
      </c>
      <c r="AS40" s="11" t="n">
        <f aca="false">AS35-AS39</f>
        <v>16.7525</v>
      </c>
      <c r="AT40" s="11" t="n">
        <f aca="false">AT35-AT39</f>
        <v>16.7466666666667</v>
      </c>
      <c r="AU40" s="11" t="n">
        <f aca="false">AU35-AU39</f>
        <v>16.7408333333333</v>
      </c>
      <c r="AV40" s="11" t="n">
        <f aca="false">AV35-AV39</f>
        <v>16.735</v>
      </c>
      <c r="AW40" s="11" t="n">
        <f aca="false">AW35-AW39</f>
        <v>16.7291666666667</v>
      </c>
      <c r="AX40" s="11" t="n">
        <f aca="false">AX35-AX39</f>
        <v>16.7233333333333</v>
      </c>
      <c r="AY40" s="11" t="n">
        <f aca="false">AY35-AY39</f>
        <v>16.7175</v>
      </c>
      <c r="AZ40" s="11" t="n">
        <f aca="false">AZ35-AZ39</f>
        <v>16.7116666666667</v>
      </c>
      <c r="BA40" s="11" t="n">
        <f aca="false">BA35-BA39</f>
        <v>16.7058333333333</v>
      </c>
      <c r="BB40" s="11" t="n">
        <f aca="false">BB35-BB39</f>
        <v>16.7</v>
      </c>
      <c r="BC40" s="11" t="n">
        <f aca="false">BC35-BC39</f>
        <v>16.6941666666667</v>
      </c>
      <c r="BD40" s="11" t="n">
        <f aca="false">BD35-BD39</f>
        <v>16.6883333333333</v>
      </c>
      <c r="BE40" s="11" t="n">
        <f aca="false">BE35-BE39</f>
        <v>16.6825</v>
      </c>
      <c r="BF40" s="11" t="n">
        <f aca="false">BF35-BF39</f>
        <v>16.6766666666667</v>
      </c>
      <c r="BG40" s="11" t="n">
        <f aca="false">BG35-BG39</f>
        <v>16.6708333333333</v>
      </c>
      <c r="BH40" s="11" t="n">
        <f aca="false">BH35-BH39</f>
        <v>16.665</v>
      </c>
      <c r="BI40" s="11" t="n">
        <f aca="false">BI35-BI39</f>
        <v>16.6591666666667</v>
      </c>
      <c r="BJ40" s="11" t="n">
        <f aca="false">BJ35-BJ39</f>
        <v>16.6533333333333</v>
      </c>
      <c r="BK40" s="11" t="n">
        <f aca="false">BK35-BK39</f>
        <v>16.7072222222222</v>
      </c>
      <c r="BL40" s="11" t="n">
        <f aca="false">BL35-BL39</f>
        <v>16.7611111111111</v>
      </c>
      <c r="BM40" s="11" t="n">
        <f aca="false">BM35-BM39</f>
        <v>16.815</v>
      </c>
      <c r="BN40" s="11" t="n">
        <f aca="false">BN35-BN39</f>
        <v>16.8688888888889</v>
      </c>
      <c r="BO40" s="11" t="n">
        <f aca="false">BO35-BO39</f>
        <v>16.9227777777778</v>
      </c>
      <c r="BP40" s="11" t="n">
        <f aca="false">BP35-BP39</f>
        <v>16.9766666666667</v>
      </c>
      <c r="BQ40" s="11" t="n">
        <f aca="false">BQ35-BQ39</f>
        <v>17.0305555555556</v>
      </c>
      <c r="BR40" s="11" t="n">
        <f aca="false">BR35-BR39</f>
        <v>17.0844444444444</v>
      </c>
      <c r="BS40" s="11" t="n">
        <f aca="false">BS35-BS39</f>
        <v>17.1383333333333</v>
      </c>
      <c r="BT40" s="11" t="n">
        <f aca="false">BT35-BT39</f>
        <v>17.1922222222222</v>
      </c>
      <c r="BU40" s="11" t="n">
        <f aca="false">BU35-BU39</f>
        <v>17.2461111111111</v>
      </c>
      <c r="BV40" s="11" t="n">
        <f aca="false">BV35-BV39</f>
        <v>17.3</v>
      </c>
      <c r="BW40" s="11" t="n">
        <f aca="false">BW35-BW39</f>
        <v>17.3</v>
      </c>
      <c r="BX40" s="11" t="n">
        <f aca="false">BX35-BX39</f>
        <v>17.3</v>
      </c>
      <c r="BY40" s="11" t="n">
        <f aca="false">BY35-BY39</f>
        <v>17.3</v>
      </c>
      <c r="BZ40" s="11" t="n">
        <f aca="false">BZ35-BZ39</f>
        <v>17.3</v>
      </c>
      <c r="CA40" s="11" t="n">
        <f aca="false">CA35-CA39</f>
        <v>17.3</v>
      </c>
      <c r="CB40" s="11" t="n">
        <f aca="false">CB35-CB39</f>
        <v>17.3</v>
      </c>
      <c r="CC40" s="11" t="n">
        <f aca="false">CC35-CC39</f>
        <v>17.3</v>
      </c>
      <c r="CD40" s="11" t="n">
        <f aca="false">CD35-CD39</f>
        <v>17.3</v>
      </c>
      <c r="CE40" s="11" t="n">
        <f aca="false">CE35-CE39</f>
        <v>17.3</v>
      </c>
      <c r="CF40" s="11" t="n">
        <f aca="false">CF35-CF39</f>
        <v>17.3</v>
      </c>
      <c r="CG40" s="11" t="n">
        <f aca="false">CG35-CG39</f>
        <v>17.3</v>
      </c>
      <c r="CH40" s="11" t="n">
        <f aca="false">CH35-CH39</f>
        <v>17.3</v>
      </c>
      <c r="CI40" s="11" t="n">
        <f aca="false">CI35-CI39</f>
        <v>17.3</v>
      </c>
      <c r="CJ40" s="11" t="n">
        <f aca="false">CJ35-CJ39</f>
        <v>17.3</v>
      </c>
      <c r="CK40" s="11" t="n">
        <f aca="false">CK35-CK39</f>
        <v>17.3</v>
      </c>
      <c r="CL40" s="11" t="n">
        <f aca="false">CL35-CL39</f>
        <v>17.3</v>
      </c>
      <c r="CM40" s="11" t="n">
        <f aca="false">CM35-CM39</f>
        <v>17.3</v>
      </c>
      <c r="CN40" s="11" t="n">
        <f aca="false">CN35-CN39</f>
        <v>17.3</v>
      </c>
      <c r="CO40" s="11" t="n">
        <f aca="false">CO35-CO39</f>
        <v>17.3</v>
      </c>
      <c r="CP40" s="11" t="n">
        <f aca="false">CP35-CP39</f>
        <v>17.3</v>
      </c>
      <c r="CQ40" s="11" t="n">
        <f aca="false">CQ35-CQ39</f>
        <v>17.3</v>
      </c>
      <c r="CR40" s="11" t="n">
        <f aca="false">CR35-CR39</f>
        <v>17.3</v>
      </c>
      <c r="CS40" s="11" t="n">
        <f aca="false">CS35-CS39</f>
        <v>17.3</v>
      </c>
      <c r="CT40" s="11" t="n">
        <f aca="false">CT35-CT39</f>
        <v>17.3</v>
      </c>
      <c r="CU40" s="11" t="n">
        <f aca="false">CU35-CU39</f>
        <v>17.3</v>
      </c>
      <c r="CV40" s="11" t="n">
        <f aca="false">CV35-CV39</f>
        <v>17.3</v>
      </c>
      <c r="CW40" s="11" t="n">
        <f aca="false">CW35-CW39</f>
        <v>17.3</v>
      </c>
      <c r="CX40" s="11" t="n">
        <f aca="false">CX35-CX39</f>
        <v>17.3</v>
      </c>
      <c r="CY40" s="11" t="n">
        <f aca="false">CY35-CY39</f>
        <v>17.3</v>
      </c>
      <c r="CZ40" s="11" t="n">
        <f aca="false">CZ35-CZ39</f>
        <v>17.3</v>
      </c>
      <c r="DA40" s="11" t="n">
        <f aca="false">DA35-DA39</f>
        <v>17.3</v>
      </c>
      <c r="DB40" s="11" t="n">
        <f aca="false">DB35-DB39</f>
        <v>17.3</v>
      </c>
      <c r="DC40" s="11" t="n">
        <f aca="false">DC35-DC39</f>
        <v>17.3</v>
      </c>
      <c r="DD40" s="11" t="n">
        <f aca="false">DD35-DD39</f>
        <v>17.3</v>
      </c>
      <c r="DE40" s="11" t="n">
        <f aca="false">DE35-DE39</f>
        <v>17.3</v>
      </c>
      <c r="DF40" s="11" t="n">
        <f aca="false">DF35-DF39</f>
        <v>17.3</v>
      </c>
      <c r="DG40" s="11" t="n">
        <f aca="false">DG35-DG39</f>
        <v>17.3</v>
      </c>
      <c r="DH40" s="11" t="n">
        <f aca="false">DH35-DH39</f>
        <v>17.3</v>
      </c>
      <c r="DI40" s="11" t="n">
        <f aca="false">DI35-DI39</f>
        <v>17.3</v>
      </c>
      <c r="DJ40" s="11" t="n">
        <f aca="false">DJ35-DJ39</f>
        <v>17.3</v>
      </c>
      <c r="DK40" s="11" t="n">
        <f aca="false">DK35-DK39</f>
        <v>17.3</v>
      </c>
      <c r="DL40" s="11" t="n">
        <f aca="false">DL35-DL39</f>
        <v>17.3</v>
      </c>
      <c r="DM40" s="11" t="n">
        <f aca="false">DM35-DM39</f>
        <v>17.3</v>
      </c>
      <c r="DN40" s="11" t="n">
        <f aca="false">DN35-DN39</f>
        <v>17.3</v>
      </c>
      <c r="DO40" s="11" t="n">
        <f aca="false">DO35-DO39</f>
        <v>17.3</v>
      </c>
      <c r="DP40" s="11" t="n">
        <f aca="false">DP35-DP39</f>
        <v>17.3</v>
      </c>
      <c r="DQ40" s="11" t="n">
        <f aca="false">DQ35-DQ39</f>
        <v>17.3</v>
      </c>
      <c r="DR40" s="11" t="n">
        <f aca="false">DR35-DR39</f>
        <v>17.3</v>
      </c>
    </row>
    <row r="41" customFormat="false" ht="15" hidden="false" customHeight="false" outlineLevel="0" collapsed="false">
      <c r="A41" s="9" t="s">
        <v>209</v>
      </c>
      <c r="B41" s="10" t="n">
        <f aca="false">MAX(Inputs!$B$34,B40)*Inputs!$B$11</f>
        <v>0</v>
      </c>
      <c r="C41" s="10" t="n">
        <f aca="false">MAX(Inputs!$B$34,C40)*Inputs!$B$11</f>
        <v>5.10208333333333</v>
      </c>
      <c r="D41" s="10" t="n">
        <f aca="false">MAX(Inputs!$B$34,D40)*Inputs!$B$11</f>
        <v>5.08416666666667</v>
      </c>
      <c r="E41" s="10" t="n">
        <f aca="false">MAX(Inputs!$B$34,E40)*Inputs!$B$11</f>
        <v>5.06625</v>
      </c>
      <c r="F41" s="10" t="n">
        <f aca="false">MAX(Inputs!$B$34,F40)*Inputs!$B$11</f>
        <v>5.04833333333333</v>
      </c>
      <c r="G41" s="10" t="n">
        <f aca="false">MAX(Inputs!$B$34,G40)*Inputs!$B$11</f>
        <v>5.03041666666667</v>
      </c>
      <c r="H41" s="10" t="n">
        <f aca="false">MAX(Inputs!$B$34,H40)*Inputs!$B$11</f>
        <v>5.0125</v>
      </c>
      <c r="I41" s="10" t="n">
        <f aca="false">MAX(Inputs!$B$34,I40)*Inputs!$B$11</f>
        <v>4.99458333333333</v>
      </c>
      <c r="J41" s="10" t="n">
        <f aca="false">MAX(Inputs!$B$34,J40)*Inputs!$B$11</f>
        <v>4.97666666666667</v>
      </c>
      <c r="K41" s="10" t="n">
        <f aca="false">MAX(Inputs!$B$34,K40)*Inputs!$B$11</f>
        <v>4.95875</v>
      </c>
      <c r="L41" s="10" t="n">
        <f aca="false">MAX(Inputs!$B$34,L40)*Inputs!$B$11</f>
        <v>4.94083333333333</v>
      </c>
      <c r="M41" s="10" t="n">
        <f aca="false">MAX(Inputs!$B$34,M40)*Inputs!$B$11</f>
        <v>4.92291666666667</v>
      </c>
      <c r="N41" s="10" t="n">
        <f aca="false">MAX(Inputs!$B$34,N40)*Inputs!$B$11</f>
        <v>4.905</v>
      </c>
      <c r="O41" s="10" t="n">
        <f aca="false">MAX(Inputs!$B$34,O40)*Inputs!$B$11</f>
        <v>5.07825</v>
      </c>
      <c r="P41" s="10" t="n">
        <f aca="false">MAX(Inputs!$B$34,P40)*Inputs!$B$11</f>
        <v>5.0765</v>
      </c>
      <c r="Q41" s="10" t="n">
        <f aca="false">MAX(Inputs!$B$34,Q40)*Inputs!$B$11</f>
        <v>5.07475</v>
      </c>
      <c r="R41" s="10" t="n">
        <f aca="false">MAX(Inputs!$B$34,R40)*Inputs!$B$11</f>
        <v>5.073</v>
      </c>
      <c r="S41" s="10" t="n">
        <f aca="false">MAX(Inputs!$B$34,S40)*Inputs!$B$11</f>
        <v>5.07125</v>
      </c>
      <c r="T41" s="10" t="n">
        <f aca="false">MAX(Inputs!$B$34,T40)*Inputs!$B$11</f>
        <v>5.0695</v>
      </c>
      <c r="U41" s="10" t="n">
        <f aca="false">MAX(Inputs!$B$34,U40)*Inputs!$B$11</f>
        <v>5.06775</v>
      </c>
      <c r="V41" s="10" t="n">
        <f aca="false">MAX(Inputs!$B$34,V40)*Inputs!$B$11</f>
        <v>5.066</v>
      </c>
      <c r="W41" s="10" t="n">
        <f aca="false">MAX(Inputs!$B$34,W40)*Inputs!$B$11</f>
        <v>5.06425</v>
      </c>
      <c r="X41" s="10" t="n">
        <f aca="false">MAX(Inputs!$B$34,X40)*Inputs!$B$11</f>
        <v>5.0625</v>
      </c>
      <c r="Y41" s="10" t="n">
        <f aca="false">MAX(Inputs!$B$34,Y40)*Inputs!$B$11</f>
        <v>5.06075</v>
      </c>
      <c r="Z41" s="10" t="n">
        <f aca="false">MAX(Inputs!$B$34,Z40)*Inputs!$B$11</f>
        <v>5.059</v>
      </c>
      <c r="AA41" s="10" t="n">
        <f aca="false">MAX(Inputs!$B$34,AA40)*Inputs!$B$11</f>
        <v>5.05725</v>
      </c>
      <c r="AB41" s="10" t="n">
        <f aca="false">MAX(Inputs!$B$34,AB40)*Inputs!$B$11</f>
        <v>5.0555</v>
      </c>
      <c r="AC41" s="10" t="n">
        <f aca="false">MAX(Inputs!$B$34,AC40)*Inputs!$B$11</f>
        <v>5.05375</v>
      </c>
      <c r="AD41" s="10" t="n">
        <f aca="false">MAX(Inputs!$B$34,AD40)*Inputs!$B$11</f>
        <v>5.052</v>
      </c>
      <c r="AE41" s="10" t="n">
        <f aca="false">MAX(Inputs!$B$34,AE40)*Inputs!$B$11</f>
        <v>5.05025</v>
      </c>
      <c r="AF41" s="10" t="n">
        <f aca="false">MAX(Inputs!$B$34,AF40)*Inputs!$B$11</f>
        <v>5.0485</v>
      </c>
      <c r="AG41" s="10" t="n">
        <f aca="false">MAX(Inputs!$B$34,AG40)*Inputs!$B$11</f>
        <v>5.04675</v>
      </c>
      <c r="AH41" s="10" t="n">
        <f aca="false">MAX(Inputs!$B$34,AH40)*Inputs!$B$11</f>
        <v>5.045</v>
      </c>
      <c r="AI41" s="10" t="n">
        <f aca="false">MAX(Inputs!$B$34,AI40)*Inputs!$B$11</f>
        <v>5.04325</v>
      </c>
      <c r="AJ41" s="10" t="n">
        <f aca="false">MAX(Inputs!$B$34,AJ40)*Inputs!$B$11</f>
        <v>5.0415</v>
      </c>
      <c r="AK41" s="10" t="n">
        <f aca="false">MAX(Inputs!$B$34,AK40)*Inputs!$B$11</f>
        <v>5.03975</v>
      </c>
      <c r="AL41" s="10" t="n">
        <f aca="false">MAX(Inputs!$B$34,AL40)*Inputs!$B$11</f>
        <v>5.038</v>
      </c>
      <c r="AM41" s="10" t="n">
        <f aca="false">MAX(Inputs!$B$34,AM40)*Inputs!$B$11</f>
        <v>5.03625</v>
      </c>
      <c r="AN41" s="10" t="n">
        <f aca="false">MAX(Inputs!$B$34,AN40)*Inputs!$B$11</f>
        <v>5.0345</v>
      </c>
      <c r="AO41" s="10" t="n">
        <f aca="false">MAX(Inputs!$B$34,AO40)*Inputs!$B$11</f>
        <v>5.03275</v>
      </c>
      <c r="AP41" s="10" t="n">
        <f aca="false">MAX(Inputs!$B$34,AP40)*Inputs!$B$11</f>
        <v>5.031</v>
      </c>
      <c r="AQ41" s="10" t="n">
        <f aca="false">MAX(Inputs!$B$34,AQ40)*Inputs!$B$11</f>
        <v>5.02925</v>
      </c>
      <c r="AR41" s="10" t="n">
        <f aca="false">MAX(Inputs!$B$34,AR40)*Inputs!$B$11</f>
        <v>5.0275</v>
      </c>
      <c r="AS41" s="10" t="n">
        <f aca="false">MAX(Inputs!$B$34,AS40)*Inputs!$B$11</f>
        <v>5.02575</v>
      </c>
      <c r="AT41" s="10" t="n">
        <f aca="false">MAX(Inputs!$B$34,AT40)*Inputs!$B$11</f>
        <v>5.024</v>
      </c>
      <c r="AU41" s="10" t="n">
        <f aca="false">MAX(Inputs!$B$34,AU40)*Inputs!$B$11</f>
        <v>5.02225</v>
      </c>
      <c r="AV41" s="10" t="n">
        <f aca="false">MAX(Inputs!$B$34,AV40)*Inputs!$B$11</f>
        <v>5.0205</v>
      </c>
      <c r="AW41" s="10" t="n">
        <f aca="false">MAX(Inputs!$B$34,AW40)*Inputs!$B$11</f>
        <v>5.01875</v>
      </c>
      <c r="AX41" s="10" t="n">
        <f aca="false">MAX(Inputs!$B$34,AX40)*Inputs!$B$11</f>
        <v>5.017</v>
      </c>
      <c r="AY41" s="10" t="n">
        <f aca="false">MAX(Inputs!$B$34,AY40)*Inputs!$B$11</f>
        <v>5.01525</v>
      </c>
      <c r="AZ41" s="10" t="n">
        <f aca="false">MAX(Inputs!$B$34,AZ40)*Inputs!$B$11</f>
        <v>5.0135</v>
      </c>
      <c r="BA41" s="10" t="n">
        <f aca="false">MAX(Inputs!$B$34,BA40)*Inputs!$B$11</f>
        <v>5.01175</v>
      </c>
      <c r="BB41" s="10" t="n">
        <f aca="false">MAX(Inputs!$B$34,BB40)*Inputs!$B$11</f>
        <v>5.01</v>
      </c>
      <c r="BC41" s="10" t="n">
        <f aca="false">MAX(Inputs!$B$34,BC40)*Inputs!$B$11</f>
        <v>5.00825</v>
      </c>
      <c r="BD41" s="10" t="n">
        <f aca="false">MAX(Inputs!$B$34,BD40)*Inputs!$B$11</f>
        <v>5.0065</v>
      </c>
      <c r="BE41" s="10" t="n">
        <f aca="false">MAX(Inputs!$B$34,BE40)*Inputs!$B$11</f>
        <v>5.00475</v>
      </c>
      <c r="BF41" s="10" t="n">
        <f aca="false">MAX(Inputs!$B$34,BF40)*Inputs!$B$11</f>
        <v>5.003</v>
      </c>
      <c r="BG41" s="10" t="n">
        <f aca="false">MAX(Inputs!$B$34,BG40)*Inputs!$B$11</f>
        <v>5.00125</v>
      </c>
      <c r="BH41" s="10" t="n">
        <f aca="false">MAX(Inputs!$B$34,BH40)*Inputs!$B$11</f>
        <v>4.9995</v>
      </c>
      <c r="BI41" s="10" t="n">
        <f aca="false">MAX(Inputs!$B$34,BI40)*Inputs!$B$11</f>
        <v>4.99775</v>
      </c>
      <c r="BJ41" s="10" t="n">
        <f aca="false">MAX(Inputs!$B$34,BJ40)*Inputs!$B$11</f>
        <v>4.996</v>
      </c>
      <c r="BK41" s="10" t="n">
        <f aca="false">MAX(Inputs!$B$34,BK40)*Inputs!$B$11</f>
        <v>5.01216666666667</v>
      </c>
      <c r="BL41" s="10" t="n">
        <f aca="false">MAX(Inputs!$B$34,BL40)*Inputs!$B$11</f>
        <v>5.02833333333333</v>
      </c>
      <c r="BM41" s="10" t="n">
        <f aca="false">MAX(Inputs!$B$34,BM40)*Inputs!$B$11</f>
        <v>5.0445</v>
      </c>
      <c r="BN41" s="10" t="n">
        <f aca="false">MAX(Inputs!$B$34,BN40)*Inputs!$B$11</f>
        <v>5.06066666666667</v>
      </c>
      <c r="BO41" s="10" t="n">
        <f aca="false">MAX(Inputs!$B$34,BO40)*Inputs!$B$11</f>
        <v>5.07683333333333</v>
      </c>
      <c r="BP41" s="10" t="n">
        <f aca="false">MAX(Inputs!$B$34,BP40)*Inputs!$B$11</f>
        <v>5.093</v>
      </c>
      <c r="BQ41" s="10" t="n">
        <f aca="false">MAX(Inputs!$B$34,BQ40)*Inputs!$B$11</f>
        <v>5.10916666666667</v>
      </c>
      <c r="BR41" s="10" t="n">
        <f aca="false">MAX(Inputs!$B$34,BR40)*Inputs!$B$11</f>
        <v>5.12533333333333</v>
      </c>
      <c r="BS41" s="10" t="n">
        <f aca="false">MAX(Inputs!$B$34,BS40)*Inputs!$B$11</f>
        <v>5.1415</v>
      </c>
      <c r="BT41" s="10" t="n">
        <f aca="false">MAX(Inputs!$B$34,BT40)*Inputs!$B$11</f>
        <v>5.15766666666667</v>
      </c>
      <c r="BU41" s="10" t="n">
        <f aca="false">MAX(Inputs!$B$34,BU40)*Inputs!$B$11</f>
        <v>5.17383333333333</v>
      </c>
      <c r="BV41" s="10" t="n">
        <f aca="false">MAX(Inputs!$B$34,BV40)*Inputs!$B$11</f>
        <v>5.19</v>
      </c>
      <c r="BW41" s="10" t="n">
        <f aca="false">MAX(Inputs!$B$34,BW40)*Inputs!$B$11</f>
        <v>5.19</v>
      </c>
      <c r="BX41" s="10" t="n">
        <f aca="false">MAX(Inputs!$B$34,BX40)*Inputs!$B$11</f>
        <v>5.19</v>
      </c>
      <c r="BY41" s="10" t="n">
        <f aca="false">MAX(Inputs!$B$34,BY40)*Inputs!$B$11</f>
        <v>5.19</v>
      </c>
      <c r="BZ41" s="10" t="n">
        <f aca="false">MAX(Inputs!$B$34,BZ40)*Inputs!$B$11</f>
        <v>5.19</v>
      </c>
      <c r="CA41" s="10" t="n">
        <f aca="false">MAX(Inputs!$B$34,CA40)*Inputs!$B$11</f>
        <v>5.19</v>
      </c>
      <c r="CB41" s="10" t="n">
        <f aca="false">MAX(Inputs!$B$34,CB40)*Inputs!$B$11</f>
        <v>5.19</v>
      </c>
      <c r="CC41" s="10" t="n">
        <f aca="false">MAX(Inputs!$B$34,CC40)*Inputs!$B$11</f>
        <v>5.19</v>
      </c>
      <c r="CD41" s="10" t="n">
        <f aca="false">MAX(Inputs!$B$34,CD40)*Inputs!$B$11</f>
        <v>5.19</v>
      </c>
      <c r="CE41" s="10" t="n">
        <f aca="false">MAX(Inputs!$B$34,CE40)*Inputs!$B$11</f>
        <v>5.19</v>
      </c>
      <c r="CF41" s="10" t="n">
        <f aca="false">MAX(Inputs!$B$34,CF40)*Inputs!$B$11</f>
        <v>5.19</v>
      </c>
      <c r="CG41" s="10" t="n">
        <f aca="false">MAX(Inputs!$B$34,CG40)*Inputs!$B$11</f>
        <v>5.19</v>
      </c>
      <c r="CH41" s="10" t="n">
        <f aca="false">MAX(Inputs!$B$34,CH40)*Inputs!$B$11</f>
        <v>5.19</v>
      </c>
      <c r="CI41" s="10" t="n">
        <f aca="false">MAX(Inputs!$B$34,CI40)*Inputs!$B$11</f>
        <v>5.19</v>
      </c>
      <c r="CJ41" s="10" t="n">
        <f aca="false">MAX(Inputs!$B$34,CJ40)*Inputs!$B$11</f>
        <v>5.19</v>
      </c>
      <c r="CK41" s="10" t="n">
        <f aca="false">MAX(Inputs!$B$34,CK40)*Inputs!$B$11</f>
        <v>5.19</v>
      </c>
      <c r="CL41" s="10" t="n">
        <f aca="false">MAX(Inputs!$B$34,CL40)*Inputs!$B$11</f>
        <v>5.19</v>
      </c>
      <c r="CM41" s="10" t="n">
        <f aca="false">MAX(Inputs!$B$34,CM40)*Inputs!$B$11</f>
        <v>5.19</v>
      </c>
      <c r="CN41" s="10" t="n">
        <f aca="false">MAX(Inputs!$B$34,CN40)*Inputs!$B$11</f>
        <v>5.19</v>
      </c>
      <c r="CO41" s="10" t="n">
        <f aca="false">MAX(Inputs!$B$34,CO40)*Inputs!$B$11</f>
        <v>5.19</v>
      </c>
      <c r="CP41" s="10" t="n">
        <f aca="false">MAX(Inputs!$B$34,CP40)*Inputs!$B$11</f>
        <v>5.19</v>
      </c>
      <c r="CQ41" s="10" t="n">
        <f aca="false">MAX(Inputs!$B$34,CQ40)*Inputs!$B$11</f>
        <v>5.19</v>
      </c>
      <c r="CR41" s="10" t="n">
        <f aca="false">MAX(Inputs!$B$34,CR40)*Inputs!$B$11</f>
        <v>5.19</v>
      </c>
      <c r="CS41" s="10" t="n">
        <f aca="false">MAX(Inputs!$B$34,CS40)*Inputs!$B$11</f>
        <v>5.19</v>
      </c>
      <c r="CT41" s="10" t="n">
        <f aca="false">MAX(Inputs!$B$34,CT40)*Inputs!$B$11</f>
        <v>5.19</v>
      </c>
      <c r="CU41" s="10" t="n">
        <f aca="false">MAX(Inputs!$B$34,CU40)*Inputs!$B$11</f>
        <v>5.19</v>
      </c>
      <c r="CV41" s="10" t="n">
        <f aca="false">MAX(Inputs!$B$34,CV40)*Inputs!$B$11</f>
        <v>5.19</v>
      </c>
      <c r="CW41" s="10" t="n">
        <f aca="false">MAX(Inputs!$B$34,CW40)*Inputs!$B$11</f>
        <v>5.19</v>
      </c>
      <c r="CX41" s="10" t="n">
        <f aca="false">MAX(Inputs!$B$34,CX40)*Inputs!$B$11</f>
        <v>5.19</v>
      </c>
      <c r="CY41" s="10" t="n">
        <f aca="false">MAX(Inputs!$B$34,CY40)*Inputs!$B$11</f>
        <v>5.19</v>
      </c>
      <c r="CZ41" s="10" t="n">
        <f aca="false">MAX(Inputs!$B$34,CZ40)*Inputs!$B$11</f>
        <v>5.19</v>
      </c>
      <c r="DA41" s="10" t="n">
        <f aca="false">MAX(Inputs!$B$34,DA40)*Inputs!$B$11</f>
        <v>5.19</v>
      </c>
      <c r="DB41" s="10" t="n">
        <f aca="false">MAX(Inputs!$B$34,DB40)*Inputs!$B$11</f>
        <v>5.19</v>
      </c>
      <c r="DC41" s="10" t="n">
        <f aca="false">MAX(Inputs!$B$34,DC40)*Inputs!$B$11</f>
        <v>5.19</v>
      </c>
      <c r="DD41" s="10" t="n">
        <f aca="false">MAX(Inputs!$B$34,DD40)*Inputs!$B$11</f>
        <v>5.19</v>
      </c>
      <c r="DE41" s="10" t="n">
        <f aca="false">MAX(Inputs!$B$34,DE40)*Inputs!$B$11</f>
        <v>5.19</v>
      </c>
      <c r="DF41" s="10" t="n">
        <f aca="false">MAX(Inputs!$B$34,DF40)*Inputs!$B$11</f>
        <v>5.19</v>
      </c>
      <c r="DG41" s="10" t="n">
        <f aca="false">MAX(Inputs!$B$34,DG40)*Inputs!$B$11</f>
        <v>5.19</v>
      </c>
      <c r="DH41" s="10" t="n">
        <f aca="false">MAX(Inputs!$B$34,DH40)*Inputs!$B$11</f>
        <v>5.19</v>
      </c>
      <c r="DI41" s="10" t="n">
        <f aca="false">MAX(Inputs!$B$34,DI40)*Inputs!$B$11</f>
        <v>5.19</v>
      </c>
      <c r="DJ41" s="10" t="n">
        <f aca="false">MAX(Inputs!$B$34,DJ40)*Inputs!$B$11</f>
        <v>5.19</v>
      </c>
      <c r="DK41" s="10" t="n">
        <f aca="false">MAX(Inputs!$B$34,DK40)*Inputs!$B$11</f>
        <v>5.19</v>
      </c>
      <c r="DL41" s="10" t="n">
        <f aca="false">MAX(Inputs!$B$34,DL40)*Inputs!$B$11</f>
        <v>5.19</v>
      </c>
      <c r="DM41" s="10" t="n">
        <f aca="false">MAX(Inputs!$B$34,DM40)*Inputs!$B$11</f>
        <v>5.19</v>
      </c>
      <c r="DN41" s="10" t="n">
        <f aca="false">MAX(Inputs!$B$34,DN40)*Inputs!$B$11</f>
        <v>5.19</v>
      </c>
      <c r="DO41" s="10" t="n">
        <f aca="false">MAX(Inputs!$B$34,DO40)*Inputs!$B$11</f>
        <v>5.19</v>
      </c>
      <c r="DP41" s="10" t="n">
        <f aca="false">MAX(Inputs!$B$34,DP40)*Inputs!$B$11</f>
        <v>5.19</v>
      </c>
      <c r="DQ41" s="10" t="n">
        <f aca="false">MAX(Inputs!$B$34,DQ40)*Inputs!$B$11</f>
        <v>5.19</v>
      </c>
      <c r="DR41" s="10" t="n">
        <f aca="false">MAX(Inputs!$B$34,DR40)*Inputs!$B$11</f>
        <v>5.19</v>
      </c>
    </row>
    <row r="42" customFormat="false" ht="15" hidden="false" customHeight="false" outlineLevel="0" collapsed="false">
      <c r="A42" s="12" t="s">
        <v>210</v>
      </c>
      <c r="B42" s="13" t="n">
        <f aca="false">B40-B41</f>
        <v>0</v>
      </c>
      <c r="C42" s="13" t="n">
        <f aca="false">C40-C41</f>
        <v>11.9048611111111</v>
      </c>
      <c r="D42" s="13" t="n">
        <f aca="false">D40-D41</f>
        <v>11.8630555555556</v>
      </c>
      <c r="E42" s="13" t="n">
        <f aca="false">E40-E41</f>
        <v>11.82125</v>
      </c>
      <c r="F42" s="13" t="n">
        <f aca="false">F40-F41</f>
        <v>11.7794444444444</v>
      </c>
      <c r="G42" s="13" t="n">
        <f aca="false">G40-G41</f>
        <v>11.7376388888889</v>
      </c>
      <c r="H42" s="13" t="n">
        <f aca="false">H40-H41</f>
        <v>11.6958333333333</v>
      </c>
      <c r="I42" s="13" t="n">
        <f aca="false">I40-I41</f>
        <v>11.6540277777778</v>
      </c>
      <c r="J42" s="13" t="n">
        <f aca="false">J40-J41</f>
        <v>11.6122222222222</v>
      </c>
      <c r="K42" s="13" t="n">
        <f aca="false">K40-K41</f>
        <v>11.5704166666667</v>
      </c>
      <c r="L42" s="13" t="n">
        <f aca="false">L40-L41</f>
        <v>11.5286111111111</v>
      </c>
      <c r="M42" s="13" t="n">
        <f aca="false">M40-M41</f>
        <v>11.4868055555556</v>
      </c>
      <c r="N42" s="13" t="n">
        <f aca="false">N40-N41</f>
        <v>11.445</v>
      </c>
      <c r="O42" s="13" t="n">
        <f aca="false">O40-O41</f>
        <v>11.84925</v>
      </c>
      <c r="P42" s="13" t="n">
        <f aca="false">P40-P41</f>
        <v>11.8451666666667</v>
      </c>
      <c r="Q42" s="13" t="n">
        <f aca="false">Q40-Q41</f>
        <v>11.8410833333333</v>
      </c>
      <c r="R42" s="13" t="n">
        <f aca="false">R40-R41</f>
        <v>11.837</v>
      </c>
      <c r="S42" s="13" t="n">
        <f aca="false">S40-S41</f>
        <v>11.8329166666667</v>
      </c>
      <c r="T42" s="13" t="n">
        <f aca="false">T40-T41</f>
        <v>11.8288333333333</v>
      </c>
      <c r="U42" s="13" t="n">
        <f aca="false">U40-U41</f>
        <v>11.82475</v>
      </c>
      <c r="V42" s="13" t="n">
        <f aca="false">V40-V41</f>
        <v>11.8206666666667</v>
      </c>
      <c r="W42" s="13" t="n">
        <f aca="false">W40-W41</f>
        <v>11.8165833333333</v>
      </c>
      <c r="X42" s="13" t="n">
        <f aca="false">X40-X41</f>
        <v>11.8125</v>
      </c>
      <c r="Y42" s="13" t="n">
        <f aca="false">Y40-Y41</f>
        <v>11.8084166666667</v>
      </c>
      <c r="Z42" s="13" t="n">
        <f aca="false">Z40-Z41</f>
        <v>11.8043333333333</v>
      </c>
      <c r="AA42" s="13" t="n">
        <f aca="false">AA40-AA41</f>
        <v>11.80025</v>
      </c>
      <c r="AB42" s="13" t="n">
        <f aca="false">AB40-AB41</f>
        <v>11.7961666666667</v>
      </c>
      <c r="AC42" s="13" t="n">
        <f aca="false">AC40-AC41</f>
        <v>11.7920833333333</v>
      </c>
      <c r="AD42" s="13" t="n">
        <f aca="false">AD40-AD41</f>
        <v>11.788</v>
      </c>
      <c r="AE42" s="13" t="n">
        <f aca="false">AE40-AE41</f>
        <v>11.7839166666667</v>
      </c>
      <c r="AF42" s="13" t="n">
        <f aca="false">AF40-AF41</f>
        <v>11.7798333333333</v>
      </c>
      <c r="AG42" s="13" t="n">
        <f aca="false">AG40-AG41</f>
        <v>11.77575</v>
      </c>
      <c r="AH42" s="13" t="n">
        <f aca="false">AH40-AH41</f>
        <v>11.7716666666667</v>
      </c>
      <c r="AI42" s="13" t="n">
        <f aca="false">AI40-AI41</f>
        <v>11.7675833333333</v>
      </c>
      <c r="AJ42" s="13" t="n">
        <f aca="false">AJ40-AJ41</f>
        <v>11.7635</v>
      </c>
      <c r="AK42" s="13" t="n">
        <f aca="false">AK40-AK41</f>
        <v>11.7594166666667</v>
      </c>
      <c r="AL42" s="13" t="n">
        <f aca="false">AL40-AL41</f>
        <v>11.7553333333333</v>
      </c>
      <c r="AM42" s="13" t="n">
        <f aca="false">AM40-AM41</f>
        <v>11.75125</v>
      </c>
      <c r="AN42" s="13" t="n">
        <f aca="false">AN40-AN41</f>
        <v>11.7471666666667</v>
      </c>
      <c r="AO42" s="13" t="n">
        <f aca="false">AO40-AO41</f>
        <v>11.7430833333333</v>
      </c>
      <c r="AP42" s="13" t="n">
        <f aca="false">AP40-AP41</f>
        <v>11.739</v>
      </c>
      <c r="AQ42" s="13" t="n">
        <f aca="false">AQ40-AQ41</f>
        <v>11.7349166666667</v>
      </c>
      <c r="AR42" s="13" t="n">
        <f aca="false">AR40-AR41</f>
        <v>11.7308333333333</v>
      </c>
      <c r="AS42" s="13" t="n">
        <f aca="false">AS40-AS41</f>
        <v>11.72675</v>
      </c>
      <c r="AT42" s="13" t="n">
        <f aca="false">AT40-AT41</f>
        <v>11.7226666666667</v>
      </c>
      <c r="AU42" s="13" t="n">
        <f aca="false">AU40-AU41</f>
        <v>11.7185833333333</v>
      </c>
      <c r="AV42" s="13" t="n">
        <f aca="false">AV40-AV41</f>
        <v>11.7145</v>
      </c>
      <c r="AW42" s="13" t="n">
        <f aca="false">AW40-AW41</f>
        <v>11.7104166666667</v>
      </c>
      <c r="AX42" s="13" t="n">
        <f aca="false">AX40-AX41</f>
        <v>11.7063333333333</v>
      </c>
      <c r="AY42" s="13" t="n">
        <f aca="false">AY40-AY41</f>
        <v>11.70225</v>
      </c>
      <c r="AZ42" s="13" t="n">
        <f aca="false">AZ40-AZ41</f>
        <v>11.6981666666667</v>
      </c>
      <c r="BA42" s="13" t="n">
        <f aca="false">BA40-BA41</f>
        <v>11.6940833333333</v>
      </c>
      <c r="BB42" s="13" t="n">
        <f aca="false">BB40-BB41</f>
        <v>11.69</v>
      </c>
      <c r="BC42" s="13" t="n">
        <f aca="false">BC40-BC41</f>
        <v>11.6859166666667</v>
      </c>
      <c r="BD42" s="13" t="n">
        <f aca="false">BD40-BD41</f>
        <v>11.6818333333333</v>
      </c>
      <c r="BE42" s="13" t="n">
        <f aca="false">BE40-BE41</f>
        <v>11.67775</v>
      </c>
      <c r="BF42" s="13" t="n">
        <f aca="false">BF40-BF41</f>
        <v>11.6736666666667</v>
      </c>
      <c r="BG42" s="13" t="n">
        <f aca="false">BG40-BG41</f>
        <v>11.6695833333333</v>
      </c>
      <c r="BH42" s="13" t="n">
        <f aca="false">BH40-BH41</f>
        <v>11.6655</v>
      </c>
      <c r="BI42" s="13" t="n">
        <f aca="false">BI40-BI41</f>
        <v>11.6614166666667</v>
      </c>
      <c r="BJ42" s="13" t="n">
        <f aca="false">BJ40-BJ41</f>
        <v>11.6573333333333</v>
      </c>
      <c r="BK42" s="13" t="n">
        <f aca="false">BK40-BK41</f>
        <v>11.6950555555556</v>
      </c>
      <c r="BL42" s="13" t="n">
        <f aca="false">BL40-BL41</f>
        <v>11.7327777777778</v>
      </c>
      <c r="BM42" s="13" t="n">
        <f aca="false">BM40-BM41</f>
        <v>11.7705</v>
      </c>
      <c r="BN42" s="13" t="n">
        <f aca="false">BN40-BN41</f>
        <v>11.8082222222222</v>
      </c>
      <c r="BO42" s="13" t="n">
        <f aca="false">BO40-BO41</f>
        <v>11.8459444444444</v>
      </c>
      <c r="BP42" s="13" t="n">
        <f aca="false">BP40-BP41</f>
        <v>11.8836666666667</v>
      </c>
      <c r="BQ42" s="13" t="n">
        <f aca="false">BQ40-BQ41</f>
        <v>11.9213888888889</v>
      </c>
      <c r="BR42" s="13" t="n">
        <f aca="false">BR40-BR41</f>
        <v>11.9591111111111</v>
      </c>
      <c r="BS42" s="13" t="n">
        <f aca="false">BS40-BS41</f>
        <v>11.9968333333333</v>
      </c>
      <c r="BT42" s="13" t="n">
        <f aca="false">BT40-BT41</f>
        <v>12.0345555555556</v>
      </c>
      <c r="BU42" s="13" t="n">
        <f aca="false">BU40-BU41</f>
        <v>12.0722777777778</v>
      </c>
      <c r="BV42" s="13" t="n">
        <f aca="false">BV40-BV41</f>
        <v>12.11</v>
      </c>
      <c r="BW42" s="13" t="n">
        <f aca="false">BW40-BW41</f>
        <v>12.11</v>
      </c>
      <c r="BX42" s="13" t="n">
        <f aca="false">BX40-BX41</f>
        <v>12.11</v>
      </c>
      <c r="BY42" s="13" t="n">
        <f aca="false">BY40-BY41</f>
        <v>12.11</v>
      </c>
      <c r="BZ42" s="13" t="n">
        <f aca="false">BZ40-BZ41</f>
        <v>12.11</v>
      </c>
      <c r="CA42" s="13" t="n">
        <f aca="false">CA40-CA41</f>
        <v>12.11</v>
      </c>
      <c r="CB42" s="13" t="n">
        <f aca="false">CB40-CB41</f>
        <v>12.11</v>
      </c>
      <c r="CC42" s="13" t="n">
        <f aca="false">CC40-CC41</f>
        <v>12.11</v>
      </c>
      <c r="CD42" s="13" t="n">
        <f aca="false">CD40-CD41</f>
        <v>12.11</v>
      </c>
      <c r="CE42" s="13" t="n">
        <f aca="false">CE40-CE41</f>
        <v>12.11</v>
      </c>
      <c r="CF42" s="13" t="n">
        <f aca="false">CF40-CF41</f>
        <v>12.11</v>
      </c>
      <c r="CG42" s="13" t="n">
        <f aca="false">CG40-CG41</f>
        <v>12.11</v>
      </c>
      <c r="CH42" s="13" t="n">
        <f aca="false">CH40-CH41</f>
        <v>12.11</v>
      </c>
      <c r="CI42" s="13" t="n">
        <f aca="false">CI40-CI41</f>
        <v>12.11</v>
      </c>
      <c r="CJ42" s="13" t="n">
        <f aca="false">CJ40-CJ41</f>
        <v>12.11</v>
      </c>
      <c r="CK42" s="13" t="n">
        <f aca="false">CK40-CK41</f>
        <v>12.11</v>
      </c>
      <c r="CL42" s="13" t="n">
        <f aca="false">CL40-CL41</f>
        <v>12.11</v>
      </c>
      <c r="CM42" s="13" t="n">
        <f aca="false">CM40-CM41</f>
        <v>12.11</v>
      </c>
      <c r="CN42" s="13" t="n">
        <f aca="false">CN40-CN41</f>
        <v>12.11</v>
      </c>
      <c r="CO42" s="13" t="n">
        <f aca="false">CO40-CO41</f>
        <v>12.11</v>
      </c>
      <c r="CP42" s="13" t="n">
        <f aca="false">CP40-CP41</f>
        <v>12.11</v>
      </c>
      <c r="CQ42" s="13" t="n">
        <f aca="false">CQ40-CQ41</f>
        <v>12.11</v>
      </c>
      <c r="CR42" s="13" t="n">
        <f aca="false">CR40-CR41</f>
        <v>12.11</v>
      </c>
      <c r="CS42" s="13" t="n">
        <f aca="false">CS40-CS41</f>
        <v>12.11</v>
      </c>
      <c r="CT42" s="13" t="n">
        <f aca="false">CT40-CT41</f>
        <v>12.11</v>
      </c>
      <c r="CU42" s="13" t="n">
        <f aca="false">CU40-CU41</f>
        <v>12.11</v>
      </c>
      <c r="CV42" s="13" t="n">
        <f aca="false">CV40-CV41</f>
        <v>12.11</v>
      </c>
      <c r="CW42" s="13" t="n">
        <f aca="false">CW40-CW41</f>
        <v>12.11</v>
      </c>
      <c r="CX42" s="13" t="n">
        <f aca="false">CX40-CX41</f>
        <v>12.11</v>
      </c>
      <c r="CY42" s="13" t="n">
        <f aca="false">CY40-CY41</f>
        <v>12.11</v>
      </c>
      <c r="CZ42" s="13" t="n">
        <f aca="false">CZ40-CZ41</f>
        <v>12.11</v>
      </c>
      <c r="DA42" s="13" t="n">
        <f aca="false">DA40-DA41</f>
        <v>12.11</v>
      </c>
      <c r="DB42" s="13" t="n">
        <f aca="false">DB40-DB41</f>
        <v>12.11</v>
      </c>
      <c r="DC42" s="13" t="n">
        <f aca="false">DC40-DC41</f>
        <v>12.11</v>
      </c>
      <c r="DD42" s="13" t="n">
        <f aca="false">DD40-DD41</f>
        <v>12.11</v>
      </c>
      <c r="DE42" s="13" t="n">
        <f aca="false">DE40-DE41</f>
        <v>12.11</v>
      </c>
      <c r="DF42" s="13" t="n">
        <f aca="false">DF40-DF41</f>
        <v>12.11</v>
      </c>
      <c r="DG42" s="13" t="n">
        <f aca="false">DG40-DG41</f>
        <v>12.11</v>
      </c>
      <c r="DH42" s="13" t="n">
        <f aca="false">DH40-DH41</f>
        <v>12.11</v>
      </c>
      <c r="DI42" s="13" t="n">
        <f aca="false">DI40-DI41</f>
        <v>12.11</v>
      </c>
      <c r="DJ42" s="13" t="n">
        <f aca="false">DJ40-DJ41</f>
        <v>12.11</v>
      </c>
      <c r="DK42" s="13" t="n">
        <f aca="false">DK40-DK41</f>
        <v>12.11</v>
      </c>
      <c r="DL42" s="13" t="n">
        <f aca="false">DL40-DL41</f>
        <v>12.11</v>
      </c>
      <c r="DM42" s="13" t="n">
        <f aca="false">DM40-DM41</f>
        <v>12.11</v>
      </c>
      <c r="DN42" s="13" t="n">
        <f aca="false">DN40-DN41</f>
        <v>12.11</v>
      </c>
      <c r="DO42" s="13" t="n">
        <f aca="false">DO40-DO41</f>
        <v>12.11</v>
      </c>
      <c r="DP42" s="13" t="n">
        <f aca="false">DP40-DP41</f>
        <v>12.11</v>
      </c>
      <c r="DQ42" s="13" t="n">
        <f aca="false">DQ40-DQ41</f>
        <v>12.11</v>
      </c>
      <c r="DR42" s="13" t="n">
        <f aca="false">DR40-DR41</f>
        <v>12.11</v>
      </c>
    </row>
    <row r="43" customFormat="false" ht="15" hidden="false" customHeight="false" outlineLevel="0" collapsed="false">
      <c r="A43" s="9" t="s">
        <v>211</v>
      </c>
      <c r="B43" s="10" t="n">
        <f aca="false">B31*Inputs!$B$17/Inputs!$B$18</f>
        <v>0</v>
      </c>
      <c r="C43" s="10" t="n">
        <f aca="false">C31*Inputs!$B$17/Inputs!$B$18</f>
        <v>0</v>
      </c>
      <c r="D43" s="10" t="n">
        <f aca="false">D31*Inputs!$B$17/Inputs!$B$18</f>
        <v>0</v>
      </c>
      <c r="E43" s="10" t="n">
        <f aca="false">E31*Inputs!$B$17/Inputs!$B$18</f>
        <v>0</v>
      </c>
      <c r="F43" s="10" t="n">
        <f aca="false">F31*Inputs!$B$17/Inputs!$B$18</f>
        <v>0</v>
      </c>
      <c r="G43" s="10" t="n">
        <f aca="false">G31*Inputs!$B$17/Inputs!$B$18</f>
        <v>0</v>
      </c>
      <c r="H43" s="10" t="n">
        <f aca="false">H31*Inputs!$B$17/Inputs!$B$18</f>
        <v>0</v>
      </c>
      <c r="I43" s="10" t="n">
        <f aca="false">I31*Inputs!$B$17/Inputs!$B$18</f>
        <v>0</v>
      </c>
      <c r="J43" s="10" t="n">
        <f aca="false">J31*Inputs!$B$17/Inputs!$B$18</f>
        <v>0</v>
      </c>
      <c r="K43" s="10" t="n">
        <f aca="false">K31*Inputs!$B$17/Inputs!$B$18</f>
        <v>0</v>
      </c>
      <c r="L43" s="10" t="n">
        <f aca="false">L31*Inputs!$B$17/Inputs!$B$18</f>
        <v>0</v>
      </c>
      <c r="M43" s="10" t="n">
        <f aca="false">M31*Inputs!$B$17/Inputs!$B$18</f>
        <v>0</v>
      </c>
      <c r="N43" s="10" t="n">
        <f aca="false">N31*Inputs!$B$17/Inputs!$B$18</f>
        <v>0</v>
      </c>
      <c r="O43" s="10" t="n">
        <f aca="false">O31*Inputs!$B$17/Inputs!$B$18</f>
        <v>0</v>
      </c>
      <c r="P43" s="10" t="n">
        <f aca="false">P31*Inputs!$B$17/Inputs!$B$18</f>
        <v>0</v>
      </c>
      <c r="Q43" s="10" t="n">
        <f aca="false">Q31*Inputs!$B$17/Inputs!$B$18</f>
        <v>0</v>
      </c>
      <c r="R43" s="10" t="n">
        <f aca="false">R31*Inputs!$B$17/Inputs!$B$18</f>
        <v>0</v>
      </c>
      <c r="S43" s="10" t="n">
        <f aca="false">S31*Inputs!$B$17/Inputs!$B$18</f>
        <v>0</v>
      </c>
      <c r="T43" s="10" t="n">
        <f aca="false">T31*Inputs!$B$17/Inputs!$B$18</f>
        <v>0</v>
      </c>
      <c r="U43" s="10" t="n">
        <f aca="false">U31*Inputs!$B$17/Inputs!$B$18</f>
        <v>0</v>
      </c>
      <c r="V43" s="10" t="n">
        <f aca="false">V31*Inputs!$B$17/Inputs!$B$18</f>
        <v>0</v>
      </c>
      <c r="W43" s="10" t="n">
        <f aca="false">W31*Inputs!$B$17/Inputs!$B$18</f>
        <v>0</v>
      </c>
      <c r="X43" s="10" t="n">
        <f aca="false">X31*Inputs!$B$17/Inputs!$B$18</f>
        <v>0</v>
      </c>
      <c r="Y43" s="10" t="n">
        <f aca="false">Y31*Inputs!$B$17/Inputs!$B$18</f>
        <v>0</v>
      </c>
      <c r="Z43" s="10" t="n">
        <f aca="false">Z31*Inputs!$B$17/Inputs!$B$18</f>
        <v>0</v>
      </c>
      <c r="AA43" s="10" t="n">
        <f aca="false">AA31*Inputs!$B$17/Inputs!$B$18</f>
        <v>0</v>
      </c>
      <c r="AB43" s="10" t="n">
        <f aca="false">AB31*Inputs!$B$17/Inputs!$B$18</f>
        <v>0</v>
      </c>
      <c r="AC43" s="10" t="n">
        <f aca="false">AC31*Inputs!$B$17/Inputs!$B$18</f>
        <v>0</v>
      </c>
      <c r="AD43" s="10" t="n">
        <f aca="false">AD31*Inputs!$B$17/Inputs!$B$18</f>
        <v>0</v>
      </c>
      <c r="AE43" s="10" t="n">
        <f aca="false">AE31*Inputs!$B$17/Inputs!$B$18</f>
        <v>0</v>
      </c>
      <c r="AF43" s="10" t="n">
        <f aca="false">AF31*Inputs!$B$17/Inputs!$B$18</f>
        <v>0</v>
      </c>
      <c r="AG43" s="10" t="n">
        <f aca="false">AG31*Inputs!$B$17/Inputs!$B$18</f>
        <v>0</v>
      </c>
      <c r="AH43" s="10" t="n">
        <f aca="false">AH31*Inputs!$B$17/Inputs!$B$18</f>
        <v>0</v>
      </c>
      <c r="AI43" s="10" t="n">
        <f aca="false">AI31*Inputs!$B$17/Inputs!$B$18</f>
        <v>0</v>
      </c>
      <c r="AJ43" s="10" t="n">
        <f aca="false">AJ31*Inputs!$B$17/Inputs!$B$18</f>
        <v>0</v>
      </c>
      <c r="AK43" s="10" t="n">
        <f aca="false">AK31*Inputs!$B$17/Inputs!$B$18</f>
        <v>0</v>
      </c>
      <c r="AL43" s="10" t="n">
        <f aca="false">AL31*Inputs!$B$17/Inputs!$B$18</f>
        <v>0</v>
      </c>
      <c r="AM43" s="10" t="n">
        <f aca="false">AM31*Inputs!$B$17/Inputs!$B$18</f>
        <v>0</v>
      </c>
      <c r="AN43" s="10" t="n">
        <f aca="false">AN31*Inputs!$B$17/Inputs!$B$18</f>
        <v>0</v>
      </c>
      <c r="AO43" s="10" t="n">
        <f aca="false">AO31*Inputs!$B$17/Inputs!$B$18</f>
        <v>0</v>
      </c>
      <c r="AP43" s="10" t="n">
        <f aca="false">AP31*Inputs!$B$17/Inputs!$B$18</f>
        <v>0</v>
      </c>
      <c r="AQ43" s="10" t="n">
        <f aca="false">AQ31*Inputs!$B$17/Inputs!$B$18</f>
        <v>0</v>
      </c>
      <c r="AR43" s="10" t="n">
        <f aca="false">AR31*Inputs!$B$17/Inputs!$B$18</f>
        <v>0</v>
      </c>
      <c r="AS43" s="10" t="n">
        <f aca="false">AS31*Inputs!$B$17/Inputs!$B$18</f>
        <v>0</v>
      </c>
      <c r="AT43" s="10" t="n">
        <f aca="false">AT31*Inputs!$B$17/Inputs!$B$18</f>
        <v>0</v>
      </c>
      <c r="AU43" s="10" t="n">
        <f aca="false">AU31*Inputs!$B$17/Inputs!$B$18</f>
        <v>0</v>
      </c>
      <c r="AV43" s="10" t="n">
        <f aca="false">AV31*Inputs!$B$17/Inputs!$B$18</f>
        <v>0</v>
      </c>
      <c r="AW43" s="10" t="n">
        <f aca="false">AW31*Inputs!$B$17/Inputs!$B$18</f>
        <v>0</v>
      </c>
      <c r="AX43" s="10" t="n">
        <f aca="false">AX31*Inputs!$B$17/Inputs!$B$18</f>
        <v>0</v>
      </c>
      <c r="AY43" s="10" t="n">
        <f aca="false">AY31*Inputs!$B$17/Inputs!$B$18</f>
        <v>0</v>
      </c>
      <c r="AZ43" s="10" t="n">
        <f aca="false">AZ31*Inputs!$B$17/Inputs!$B$18</f>
        <v>0</v>
      </c>
      <c r="BA43" s="10" t="n">
        <f aca="false">BA31*Inputs!$B$17/Inputs!$B$18</f>
        <v>0</v>
      </c>
      <c r="BB43" s="10" t="n">
        <f aca="false">BB31*Inputs!$B$17/Inputs!$B$18</f>
        <v>0</v>
      </c>
      <c r="BC43" s="10" t="n">
        <f aca="false">BC31*Inputs!$B$17/Inputs!$B$18</f>
        <v>0</v>
      </c>
      <c r="BD43" s="10" t="n">
        <f aca="false">BD31*Inputs!$B$17/Inputs!$B$18</f>
        <v>0</v>
      </c>
      <c r="BE43" s="10" t="n">
        <f aca="false">BE31*Inputs!$B$17/Inputs!$B$18</f>
        <v>0</v>
      </c>
      <c r="BF43" s="10" t="n">
        <f aca="false">BF31*Inputs!$B$17/Inputs!$B$18</f>
        <v>0</v>
      </c>
      <c r="BG43" s="10" t="n">
        <f aca="false">BG31*Inputs!$B$17/Inputs!$B$18</f>
        <v>0</v>
      </c>
      <c r="BH43" s="10" t="n">
        <f aca="false">BH31*Inputs!$B$17/Inputs!$B$18</f>
        <v>0</v>
      </c>
      <c r="BI43" s="10" t="n">
        <f aca="false">BI31*Inputs!$B$17/Inputs!$B$18</f>
        <v>0</v>
      </c>
      <c r="BJ43" s="10" t="n">
        <f aca="false">BJ31*Inputs!$B$17/Inputs!$B$18</f>
        <v>0</v>
      </c>
      <c r="BK43" s="10" t="n">
        <f aca="false">BK31*Inputs!$B$17/Inputs!$B$18</f>
        <v>0</v>
      </c>
      <c r="BL43" s="10" t="n">
        <f aca="false">BL31*Inputs!$B$17/Inputs!$B$18</f>
        <v>0</v>
      </c>
      <c r="BM43" s="10" t="n">
        <f aca="false">BM31*Inputs!$B$17/Inputs!$B$18</f>
        <v>0</v>
      </c>
      <c r="BN43" s="10" t="n">
        <f aca="false">BN31*Inputs!$B$17/Inputs!$B$18</f>
        <v>0</v>
      </c>
      <c r="BO43" s="10" t="n">
        <f aca="false">BO31*Inputs!$B$17/Inputs!$B$18</f>
        <v>0</v>
      </c>
      <c r="BP43" s="10" t="n">
        <f aca="false">BP31*Inputs!$B$17/Inputs!$B$18</f>
        <v>0</v>
      </c>
      <c r="BQ43" s="10" t="n">
        <f aca="false">BQ31*Inputs!$B$17/Inputs!$B$18</f>
        <v>0</v>
      </c>
      <c r="BR43" s="10" t="n">
        <f aca="false">BR31*Inputs!$B$17/Inputs!$B$18</f>
        <v>0</v>
      </c>
      <c r="BS43" s="10" t="n">
        <f aca="false">BS31*Inputs!$B$17/Inputs!$B$18</f>
        <v>0</v>
      </c>
      <c r="BT43" s="10" t="n">
        <f aca="false">BT31*Inputs!$B$17/Inputs!$B$18</f>
        <v>0</v>
      </c>
      <c r="BU43" s="10" t="n">
        <f aca="false">BU31*Inputs!$B$17/Inputs!$B$18</f>
        <v>0</v>
      </c>
      <c r="BV43" s="10" t="n">
        <f aca="false">BV31*Inputs!$B$17/Inputs!$B$18</f>
        <v>0</v>
      </c>
      <c r="BW43" s="10" t="n">
        <f aca="false">BW31*Inputs!$B$17/Inputs!$B$18</f>
        <v>0</v>
      </c>
      <c r="BX43" s="10" t="n">
        <f aca="false">BX31*Inputs!$B$17/Inputs!$B$18</f>
        <v>0</v>
      </c>
      <c r="BY43" s="10" t="n">
        <f aca="false">BY31*Inputs!$B$17/Inputs!$B$18</f>
        <v>0</v>
      </c>
      <c r="BZ43" s="10" t="n">
        <f aca="false">BZ31*Inputs!$B$17/Inputs!$B$18</f>
        <v>0</v>
      </c>
      <c r="CA43" s="10" t="n">
        <f aca="false">CA31*Inputs!$B$17/Inputs!$B$18</f>
        <v>0</v>
      </c>
      <c r="CB43" s="10" t="n">
        <f aca="false">CB31*Inputs!$B$17/Inputs!$B$18</f>
        <v>0</v>
      </c>
      <c r="CC43" s="10" t="n">
        <f aca="false">CC31*Inputs!$B$17/Inputs!$B$18</f>
        <v>0</v>
      </c>
      <c r="CD43" s="10" t="n">
        <f aca="false">CD31*Inputs!$B$17/Inputs!$B$18</f>
        <v>0</v>
      </c>
      <c r="CE43" s="10" t="n">
        <f aca="false">CE31*Inputs!$B$17/Inputs!$B$18</f>
        <v>0</v>
      </c>
      <c r="CF43" s="10" t="n">
        <f aca="false">CF31*Inputs!$B$17/Inputs!$B$18</f>
        <v>0</v>
      </c>
      <c r="CG43" s="10" t="n">
        <f aca="false">CG31*Inputs!$B$17/Inputs!$B$18</f>
        <v>0</v>
      </c>
      <c r="CH43" s="10" t="n">
        <f aca="false">CH31*Inputs!$B$17/Inputs!$B$18</f>
        <v>0</v>
      </c>
      <c r="CI43" s="10" t="n">
        <f aca="false">CI31*Inputs!$B$17/Inputs!$B$18</f>
        <v>0</v>
      </c>
      <c r="CJ43" s="10" t="n">
        <f aca="false">CJ31*Inputs!$B$17/Inputs!$B$18</f>
        <v>0</v>
      </c>
      <c r="CK43" s="10" t="n">
        <f aca="false">CK31*Inputs!$B$17/Inputs!$B$18</f>
        <v>0</v>
      </c>
      <c r="CL43" s="10" t="n">
        <f aca="false">CL31*Inputs!$B$17/Inputs!$B$18</f>
        <v>0</v>
      </c>
      <c r="CM43" s="10" t="n">
        <f aca="false">CM31*Inputs!$B$17/Inputs!$B$18</f>
        <v>0</v>
      </c>
      <c r="CN43" s="10" t="n">
        <f aca="false">CN31*Inputs!$B$17/Inputs!$B$18</f>
        <v>0</v>
      </c>
      <c r="CO43" s="10" t="n">
        <f aca="false">CO31*Inputs!$B$17/Inputs!$B$18</f>
        <v>0</v>
      </c>
      <c r="CP43" s="10" t="n">
        <f aca="false">CP31*Inputs!$B$17/Inputs!$B$18</f>
        <v>0</v>
      </c>
      <c r="CQ43" s="10" t="n">
        <f aca="false">CQ31*Inputs!$B$17/Inputs!$B$18</f>
        <v>0</v>
      </c>
      <c r="CR43" s="10" t="n">
        <f aca="false">CR31*Inputs!$B$17/Inputs!$B$18</f>
        <v>0</v>
      </c>
      <c r="CS43" s="10" t="n">
        <f aca="false">CS31*Inputs!$B$17/Inputs!$B$18</f>
        <v>0</v>
      </c>
      <c r="CT43" s="10" t="n">
        <f aca="false">CT31*Inputs!$B$17/Inputs!$B$18</f>
        <v>0</v>
      </c>
      <c r="CU43" s="10" t="n">
        <f aca="false">CU31*Inputs!$B$17/Inputs!$B$18</f>
        <v>0</v>
      </c>
      <c r="CV43" s="10" t="n">
        <f aca="false">CV31*Inputs!$B$17/Inputs!$B$18</f>
        <v>0</v>
      </c>
      <c r="CW43" s="10" t="n">
        <f aca="false">CW31*Inputs!$B$17/Inputs!$B$18</f>
        <v>0</v>
      </c>
      <c r="CX43" s="10" t="n">
        <f aca="false">CX31*Inputs!$B$17/Inputs!$B$18</f>
        <v>0</v>
      </c>
      <c r="CY43" s="10" t="n">
        <f aca="false">CY31*Inputs!$B$17/Inputs!$B$18</f>
        <v>0</v>
      </c>
      <c r="CZ43" s="10" t="n">
        <f aca="false">CZ31*Inputs!$B$17/Inputs!$B$18</f>
        <v>0</v>
      </c>
      <c r="DA43" s="10" t="n">
        <f aca="false">DA31*Inputs!$B$17/Inputs!$B$18</f>
        <v>0</v>
      </c>
      <c r="DB43" s="10" t="n">
        <f aca="false">DB31*Inputs!$B$17/Inputs!$B$18</f>
        <v>0</v>
      </c>
      <c r="DC43" s="10" t="n">
        <f aca="false">DC31*Inputs!$B$17/Inputs!$B$18</f>
        <v>0</v>
      </c>
      <c r="DD43" s="10" t="n">
        <f aca="false">DD31*Inputs!$B$17/Inputs!$B$18</f>
        <v>0</v>
      </c>
      <c r="DE43" s="10" t="n">
        <f aca="false">DE31*Inputs!$B$17/Inputs!$B$18</f>
        <v>0</v>
      </c>
      <c r="DF43" s="10" t="n">
        <f aca="false">DF31*Inputs!$B$17/Inputs!$B$18</f>
        <v>0</v>
      </c>
      <c r="DG43" s="10" t="n">
        <f aca="false">DG31*Inputs!$B$17/Inputs!$B$18</f>
        <v>0</v>
      </c>
      <c r="DH43" s="10" t="n">
        <f aca="false">DH31*Inputs!$B$17/Inputs!$B$18</f>
        <v>0</v>
      </c>
      <c r="DI43" s="10" t="n">
        <f aca="false">DI31*Inputs!$B$17/Inputs!$B$18</f>
        <v>0</v>
      </c>
      <c r="DJ43" s="10" t="n">
        <f aca="false">DJ31*Inputs!$B$17/Inputs!$B$18</f>
        <v>0</v>
      </c>
      <c r="DK43" s="10" t="n">
        <f aca="false">DK31*Inputs!$B$17/Inputs!$B$18</f>
        <v>0</v>
      </c>
      <c r="DL43" s="10" t="n">
        <f aca="false">DL31*Inputs!$B$17/Inputs!$B$18</f>
        <v>0</v>
      </c>
      <c r="DM43" s="10" t="n">
        <f aca="false">DM31*Inputs!$B$17/Inputs!$B$18</f>
        <v>0</v>
      </c>
      <c r="DN43" s="10" t="n">
        <f aca="false">DN31*Inputs!$B$17/Inputs!$B$18</f>
        <v>0</v>
      </c>
      <c r="DO43" s="10" t="n">
        <f aca="false">DO31*Inputs!$B$17/Inputs!$B$18</f>
        <v>0</v>
      </c>
      <c r="DP43" s="10" t="n">
        <f aca="false">DP31*Inputs!$B$17/Inputs!$B$18</f>
        <v>0</v>
      </c>
      <c r="DQ43" s="10" t="n">
        <f aca="false">DQ31*Inputs!$B$17/Inputs!$B$18</f>
        <v>0</v>
      </c>
      <c r="DR43" s="10" t="n">
        <f aca="false">DR31*Inputs!$B$17/Inputs!$B$18</f>
        <v>0</v>
      </c>
    </row>
    <row r="44" customFormat="false" ht="15" hidden="false" customHeight="false" outlineLevel="0" collapsed="false">
      <c r="A44" s="9" t="s">
        <v>212</v>
      </c>
      <c r="B44" s="10" t="n">
        <f aca="false">B43-Inputs!$B$34</f>
        <v>0</v>
      </c>
      <c r="C44" s="11" t="n">
        <f aca="false">C43-B43</f>
        <v>0</v>
      </c>
      <c r="D44" s="11" t="n">
        <f aca="false">D43-C43</f>
        <v>0</v>
      </c>
      <c r="E44" s="11" t="n">
        <f aca="false">E43-D43</f>
        <v>0</v>
      </c>
      <c r="F44" s="11" t="n">
        <f aca="false">F43-E43</f>
        <v>0</v>
      </c>
      <c r="G44" s="11" t="n">
        <f aca="false">G43-F43</f>
        <v>0</v>
      </c>
      <c r="H44" s="11" t="n">
        <f aca="false">H43-G43</f>
        <v>0</v>
      </c>
      <c r="I44" s="11" t="n">
        <f aca="false">I43-H43</f>
        <v>0</v>
      </c>
      <c r="J44" s="11" t="n">
        <f aca="false">J43-I43</f>
        <v>0</v>
      </c>
      <c r="K44" s="11" t="n">
        <f aca="false">K43-J43</f>
        <v>0</v>
      </c>
      <c r="L44" s="11" t="n">
        <f aca="false">L43-K43</f>
        <v>0</v>
      </c>
      <c r="M44" s="11" t="n">
        <f aca="false">M43-L43</f>
        <v>0</v>
      </c>
      <c r="N44" s="11" t="n">
        <f aca="false">N43-M43</f>
        <v>0</v>
      </c>
      <c r="O44" s="11" t="n">
        <f aca="false">O43-N43</f>
        <v>0</v>
      </c>
      <c r="P44" s="11" t="n">
        <f aca="false">P43-O43</f>
        <v>0</v>
      </c>
      <c r="Q44" s="11" t="n">
        <f aca="false">Q43-P43</f>
        <v>0</v>
      </c>
      <c r="R44" s="11" t="n">
        <f aca="false">R43-Q43</f>
        <v>0</v>
      </c>
      <c r="S44" s="11" t="n">
        <f aca="false">S43-R43</f>
        <v>0</v>
      </c>
      <c r="T44" s="11" t="n">
        <f aca="false">T43-S43</f>
        <v>0</v>
      </c>
      <c r="U44" s="11" t="n">
        <f aca="false">U43-T43</f>
        <v>0</v>
      </c>
      <c r="V44" s="11" t="n">
        <f aca="false">V43-U43</f>
        <v>0</v>
      </c>
      <c r="W44" s="11" t="n">
        <f aca="false">W43-V43</f>
        <v>0</v>
      </c>
      <c r="X44" s="11" t="n">
        <f aca="false">X43-W43</f>
        <v>0</v>
      </c>
      <c r="Y44" s="11" t="n">
        <f aca="false">Y43-X43</f>
        <v>0</v>
      </c>
      <c r="Z44" s="11" t="n">
        <f aca="false">Z43-Y43</f>
        <v>0</v>
      </c>
      <c r="AA44" s="11" t="n">
        <f aca="false">AA43-Z43</f>
        <v>0</v>
      </c>
      <c r="AB44" s="11" t="n">
        <f aca="false">AB43-AA43</f>
        <v>0</v>
      </c>
      <c r="AC44" s="11" t="n">
        <f aca="false">AC43-AB43</f>
        <v>0</v>
      </c>
      <c r="AD44" s="11" t="n">
        <f aca="false">AD43-AC43</f>
        <v>0</v>
      </c>
      <c r="AE44" s="11" t="n">
        <f aca="false">AE43-AD43</f>
        <v>0</v>
      </c>
      <c r="AF44" s="11" t="n">
        <f aca="false">AF43-AE43</f>
        <v>0</v>
      </c>
      <c r="AG44" s="11" t="n">
        <f aca="false">AG43-AF43</f>
        <v>0</v>
      </c>
      <c r="AH44" s="11" t="n">
        <f aca="false">AH43-AG43</f>
        <v>0</v>
      </c>
      <c r="AI44" s="11" t="n">
        <f aca="false">AI43-AH43</f>
        <v>0</v>
      </c>
      <c r="AJ44" s="11" t="n">
        <f aca="false">AJ43-AI43</f>
        <v>0</v>
      </c>
      <c r="AK44" s="11" t="n">
        <f aca="false">AK43-AJ43</f>
        <v>0</v>
      </c>
      <c r="AL44" s="11" t="n">
        <f aca="false">AL43-AK43</f>
        <v>0</v>
      </c>
      <c r="AM44" s="11" t="n">
        <f aca="false">AM43-AL43</f>
        <v>0</v>
      </c>
      <c r="AN44" s="11" t="n">
        <f aca="false">AN43-AM43</f>
        <v>0</v>
      </c>
      <c r="AO44" s="11" t="n">
        <f aca="false">AO43-AN43</f>
        <v>0</v>
      </c>
      <c r="AP44" s="11" t="n">
        <f aca="false">AP43-AO43</f>
        <v>0</v>
      </c>
      <c r="AQ44" s="11" t="n">
        <f aca="false">AQ43-AP43</f>
        <v>0</v>
      </c>
      <c r="AR44" s="11" t="n">
        <f aca="false">AR43-AQ43</f>
        <v>0</v>
      </c>
      <c r="AS44" s="11" t="n">
        <f aca="false">AS43-AR43</f>
        <v>0</v>
      </c>
      <c r="AT44" s="11" t="n">
        <f aca="false">AT43-AS43</f>
        <v>0</v>
      </c>
      <c r="AU44" s="11" t="n">
        <f aca="false">AU43-AT43</f>
        <v>0</v>
      </c>
      <c r="AV44" s="11" t="n">
        <f aca="false">AV43-AU43</f>
        <v>0</v>
      </c>
      <c r="AW44" s="11" t="n">
        <f aca="false">AW43-AV43</f>
        <v>0</v>
      </c>
      <c r="AX44" s="11" t="n">
        <f aca="false">AX43-AW43</f>
        <v>0</v>
      </c>
      <c r="AY44" s="11" t="n">
        <f aca="false">AY43-AX43</f>
        <v>0</v>
      </c>
      <c r="AZ44" s="11" t="n">
        <f aca="false">AZ43-AY43</f>
        <v>0</v>
      </c>
      <c r="BA44" s="11" t="n">
        <f aca="false">BA43-AZ43</f>
        <v>0</v>
      </c>
      <c r="BB44" s="11" t="n">
        <f aca="false">BB43-BA43</f>
        <v>0</v>
      </c>
      <c r="BC44" s="11" t="n">
        <f aca="false">BC43-BB43</f>
        <v>0</v>
      </c>
      <c r="BD44" s="11" t="n">
        <f aca="false">BD43-BC43</f>
        <v>0</v>
      </c>
      <c r="BE44" s="11" t="n">
        <f aca="false">BE43-BD43</f>
        <v>0</v>
      </c>
      <c r="BF44" s="11" t="n">
        <f aca="false">BF43-BE43</f>
        <v>0</v>
      </c>
      <c r="BG44" s="11" t="n">
        <f aca="false">BG43-BF43</f>
        <v>0</v>
      </c>
      <c r="BH44" s="11" t="n">
        <f aca="false">BH43-BG43</f>
        <v>0</v>
      </c>
      <c r="BI44" s="11" t="n">
        <f aca="false">BI43-BH43</f>
        <v>0</v>
      </c>
      <c r="BJ44" s="11" t="n">
        <f aca="false">BJ43-BI43</f>
        <v>0</v>
      </c>
      <c r="BK44" s="11" t="n">
        <f aca="false">BK43-BJ43</f>
        <v>0</v>
      </c>
      <c r="BL44" s="11" t="n">
        <f aca="false">BL43-BK43</f>
        <v>0</v>
      </c>
      <c r="BM44" s="11" t="n">
        <f aca="false">BM43-BL43</f>
        <v>0</v>
      </c>
      <c r="BN44" s="11" t="n">
        <f aca="false">BN43-BM43</f>
        <v>0</v>
      </c>
      <c r="BO44" s="11" t="n">
        <f aca="false">BO43-BN43</f>
        <v>0</v>
      </c>
      <c r="BP44" s="11" t="n">
        <f aca="false">BP43-BO43</f>
        <v>0</v>
      </c>
      <c r="BQ44" s="11" t="n">
        <f aca="false">BQ43-BP43</f>
        <v>0</v>
      </c>
      <c r="BR44" s="11" t="n">
        <f aca="false">BR43-BQ43</f>
        <v>0</v>
      </c>
      <c r="BS44" s="11" t="n">
        <f aca="false">BS43-BR43</f>
        <v>0</v>
      </c>
      <c r="BT44" s="11" t="n">
        <f aca="false">BT43-BS43</f>
        <v>0</v>
      </c>
      <c r="BU44" s="11" t="n">
        <f aca="false">BU43-BT43</f>
        <v>0</v>
      </c>
      <c r="BV44" s="11" t="n">
        <f aca="false">BV43-BU43</f>
        <v>0</v>
      </c>
      <c r="BW44" s="11" t="n">
        <f aca="false">BW43-BV43</f>
        <v>0</v>
      </c>
      <c r="BX44" s="11" t="n">
        <f aca="false">BX43-BW43</f>
        <v>0</v>
      </c>
      <c r="BY44" s="11" t="n">
        <f aca="false">BY43-BX43</f>
        <v>0</v>
      </c>
      <c r="BZ44" s="11" t="n">
        <f aca="false">BZ43-BY43</f>
        <v>0</v>
      </c>
      <c r="CA44" s="11" t="n">
        <f aca="false">CA43-BZ43</f>
        <v>0</v>
      </c>
      <c r="CB44" s="11" t="n">
        <f aca="false">CB43-CA43</f>
        <v>0</v>
      </c>
      <c r="CC44" s="11" t="n">
        <f aca="false">CC43-CB43</f>
        <v>0</v>
      </c>
      <c r="CD44" s="11" t="n">
        <f aca="false">CD43-CC43</f>
        <v>0</v>
      </c>
      <c r="CE44" s="11" t="n">
        <f aca="false">CE43-CD43</f>
        <v>0</v>
      </c>
      <c r="CF44" s="11" t="n">
        <f aca="false">CF43-CE43</f>
        <v>0</v>
      </c>
      <c r="CG44" s="11" t="n">
        <f aca="false">CG43-CF43</f>
        <v>0</v>
      </c>
      <c r="CH44" s="11" t="n">
        <f aca="false">CH43-CG43</f>
        <v>0</v>
      </c>
      <c r="CI44" s="11" t="n">
        <f aca="false">CI43-CH43</f>
        <v>0</v>
      </c>
      <c r="CJ44" s="11" t="n">
        <f aca="false">CJ43-CI43</f>
        <v>0</v>
      </c>
      <c r="CK44" s="11" t="n">
        <f aca="false">CK43-CJ43</f>
        <v>0</v>
      </c>
      <c r="CL44" s="11" t="n">
        <f aca="false">CL43-CK43</f>
        <v>0</v>
      </c>
      <c r="CM44" s="11" t="n">
        <f aca="false">CM43-CL43</f>
        <v>0</v>
      </c>
      <c r="CN44" s="11" t="n">
        <f aca="false">CN43-CM43</f>
        <v>0</v>
      </c>
      <c r="CO44" s="11" t="n">
        <f aca="false">CO43-CN43</f>
        <v>0</v>
      </c>
      <c r="CP44" s="11" t="n">
        <f aca="false">CP43-CO43</f>
        <v>0</v>
      </c>
      <c r="CQ44" s="11" t="n">
        <f aca="false">CQ43-CP43</f>
        <v>0</v>
      </c>
      <c r="CR44" s="11" t="n">
        <f aca="false">CR43-CQ43</f>
        <v>0</v>
      </c>
      <c r="CS44" s="11" t="n">
        <f aca="false">CS43-CR43</f>
        <v>0</v>
      </c>
      <c r="CT44" s="11" t="n">
        <f aca="false">CT43-CS43</f>
        <v>0</v>
      </c>
      <c r="CU44" s="11" t="n">
        <f aca="false">CU43-CT43</f>
        <v>0</v>
      </c>
      <c r="CV44" s="11" t="n">
        <f aca="false">CV43-CU43</f>
        <v>0</v>
      </c>
      <c r="CW44" s="11" t="n">
        <f aca="false">CW43-CV43</f>
        <v>0</v>
      </c>
      <c r="CX44" s="11" t="n">
        <f aca="false">CX43-CW43</f>
        <v>0</v>
      </c>
      <c r="CY44" s="11" t="n">
        <f aca="false">CY43-CX43</f>
        <v>0</v>
      </c>
      <c r="CZ44" s="11" t="n">
        <f aca="false">CZ43-CY43</f>
        <v>0</v>
      </c>
      <c r="DA44" s="11" t="n">
        <f aca="false">DA43-CZ43</f>
        <v>0</v>
      </c>
      <c r="DB44" s="11" t="n">
        <f aca="false">DB43-DA43</f>
        <v>0</v>
      </c>
      <c r="DC44" s="11" t="n">
        <f aca="false">DC43-DB43</f>
        <v>0</v>
      </c>
      <c r="DD44" s="11" t="n">
        <f aca="false">DD43-DC43</f>
        <v>0</v>
      </c>
      <c r="DE44" s="11" t="n">
        <f aca="false">DE43-DD43</f>
        <v>0</v>
      </c>
      <c r="DF44" s="11" t="n">
        <f aca="false">DF43-DE43</f>
        <v>0</v>
      </c>
      <c r="DG44" s="11" t="n">
        <f aca="false">DG43-DF43</f>
        <v>0</v>
      </c>
      <c r="DH44" s="11" t="n">
        <f aca="false">DH43-DG43</f>
        <v>0</v>
      </c>
      <c r="DI44" s="11" t="n">
        <f aca="false">DI43-DH43</f>
        <v>0</v>
      </c>
      <c r="DJ44" s="11" t="n">
        <f aca="false">DJ43-DI43</f>
        <v>0</v>
      </c>
      <c r="DK44" s="11" t="n">
        <f aca="false">DK43-DJ43</f>
        <v>0</v>
      </c>
      <c r="DL44" s="11" t="n">
        <f aca="false">DL43-DK43</f>
        <v>0</v>
      </c>
      <c r="DM44" s="11" t="n">
        <f aca="false">DM43-DL43</f>
        <v>0</v>
      </c>
      <c r="DN44" s="11" t="n">
        <f aca="false">DN43-DM43</f>
        <v>0</v>
      </c>
      <c r="DO44" s="11" t="n">
        <f aca="false">DO43-DN43</f>
        <v>0</v>
      </c>
      <c r="DP44" s="11" t="n">
        <f aca="false">DP43-DO43</f>
        <v>0</v>
      </c>
      <c r="DQ44" s="11" t="n">
        <f aca="false">DQ43-DP43</f>
        <v>0</v>
      </c>
      <c r="DR44" s="11" t="n">
        <f aca="false">DR43-DQ43</f>
        <v>0</v>
      </c>
    </row>
    <row r="45" customFormat="false" ht="15" hidden="false" customHeight="false" outlineLevel="0" collapsed="false">
      <c r="A45" s="12" t="s">
        <v>213</v>
      </c>
      <c r="B45" s="13" t="n">
        <f aca="false">B42+B39-B21+B44</f>
        <v>0</v>
      </c>
      <c r="C45" s="13" t="n">
        <f aca="false">C42+C39-C21+C44</f>
        <v>11.9645833333333</v>
      </c>
      <c r="D45" s="13" t="n">
        <f aca="false">D42+D39-D21+D44</f>
        <v>11.9825</v>
      </c>
      <c r="E45" s="13" t="n">
        <f aca="false">E42+E39-E21+E44</f>
        <v>12.0004166666667</v>
      </c>
      <c r="F45" s="13" t="n">
        <f aca="false">F42+F39-F21+F44</f>
        <v>12.0183333333333</v>
      </c>
      <c r="G45" s="13" t="n">
        <f aca="false">G42+G39-G21+G44</f>
        <v>12.03625</v>
      </c>
      <c r="H45" s="13" t="n">
        <f aca="false">H42+H39-H21+H44</f>
        <v>12.0541666666667</v>
      </c>
      <c r="I45" s="13" t="n">
        <f aca="false">I42+I39-I21+I44</f>
        <v>12.0720833333333</v>
      </c>
      <c r="J45" s="13" t="n">
        <f aca="false">J42+J39-J21+J44</f>
        <v>12.09</v>
      </c>
      <c r="K45" s="13" t="n">
        <f aca="false">K42+K39-K21+K44</f>
        <v>12.1079166666667</v>
      </c>
      <c r="L45" s="13" t="n">
        <f aca="false">L42+L39-L21+L44</f>
        <v>12.1258333333333</v>
      </c>
      <c r="M45" s="13" t="n">
        <f aca="false">M42+M39-M21+M44</f>
        <v>12.14375</v>
      </c>
      <c r="N45" s="13" t="n">
        <f aca="false">N42+N39-N21+N44</f>
        <v>12.1616666666667</v>
      </c>
      <c r="O45" s="13" t="n">
        <f aca="false">O42+O39-O21+O44</f>
        <v>12.57175</v>
      </c>
      <c r="P45" s="13" t="n">
        <f aca="false">P42+P39-P21+P44</f>
        <v>12.5735</v>
      </c>
      <c r="Q45" s="13" t="n">
        <f aca="false">Q42+Q39-Q21+Q44</f>
        <v>12.57525</v>
      </c>
      <c r="R45" s="13" t="n">
        <f aca="false">R42+R39-R21+R44</f>
        <v>12.577</v>
      </c>
      <c r="S45" s="13" t="n">
        <f aca="false">S42+S39-S21+S44</f>
        <v>12.57875</v>
      </c>
      <c r="T45" s="13" t="n">
        <f aca="false">T42+T39-T21+T44</f>
        <v>12.5805</v>
      </c>
      <c r="U45" s="13" t="n">
        <f aca="false">U42+U39-U21+U44</f>
        <v>12.58225</v>
      </c>
      <c r="V45" s="13" t="n">
        <f aca="false">V42+V39-V21+V44</f>
        <v>12.584</v>
      </c>
      <c r="W45" s="13" t="n">
        <f aca="false">W42+W39-W21+W44</f>
        <v>12.58575</v>
      </c>
      <c r="X45" s="13" t="n">
        <f aca="false">X42+X39-X21+X44</f>
        <v>12.5875</v>
      </c>
      <c r="Y45" s="13" t="n">
        <f aca="false">Y42+Y39-Y21+Y44</f>
        <v>12.58925</v>
      </c>
      <c r="Z45" s="13" t="n">
        <f aca="false">Z42+Z39-Z21+Z44</f>
        <v>12.591</v>
      </c>
      <c r="AA45" s="13" t="n">
        <f aca="false">AA42+AA39-AA21+AA44</f>
        <v>12.59275</v>
      </c>
      <c r="AB45" s="13" t="n">
        <f aca="false">AB42+AB39-AB21+AB44</f>
        <v>12.5945</v>
      </c>
      <c r="AC45" s="13" t="n">
        <f aca="false">AC42+AC39-AC21+AC44</f>
        <v>12.59625</v>
      </c>
      <c r="AD45" s="13" t="n">
        <f aca="false">AD42+AD39-AD21+AD44</f>
        <v>12.598</v>
      </c>
      <c r="AE45" s="13" t="n">
        <f aca="false">AE42+AE39-AE21+AE44</f>
        <v>12.59975</v>
      </c>
      <c r="AF45" s="13" t="n">
        <f aca="false">AF42+AF39-AF21+AF44</f>
        <v>12.6015</v>
      </c>
      <c r="AG45" s="13" t="n">
        <f aca="false">AG42+AG39-AG21+AG44</f>
        <v>12.60325</v>
      </c>
      <c r="AH45" s="13" t="n">
        <f aca="false">AH42+AH39-AH21+AH44</f>
        <v>12.605</v>
      </c>
      <c r="AI45" s="13" t="n">
        <f aca="false">AI42+AI39-AI21+AI44</f>
        <v>12.60675</v>
      </c>
      <c r="AJ45" s="13" t="n">
        <f aca="false">AJ42+AJ39-AJ21+AJ44</f>
        <v>12.6085</v>
      </c>
      <c r="AK45" s="13" t="n">
        <f aca="false">AK42+AK39-AK21+AK44</f>
        <v>12.61025</v>
      </c>
      <c r="AL45" s="13" t="n">
        <f aca="false">AL42+AL39-AL21+AL44</f>
        <v>12.612</v>
      </c>
      <c r="AM45" s="13" t="n">
        <f aca="false">AM42+AM39-AM21+AM44</f>
        <v>12.61375</v>
      </c>
      <c r="AN45" s="13" t="n">
        <f aca="false">AN42+AN39-AN21+AN44</f>
        <v>12.6155</v>
      </c>
      <c r="AO45" s="13" t="n">
        <f aca="false">AO42+AO39-AO21+AO44</f>
        <v>12.61725</v>
      </c>
      <c r="AP45" s="13" t="n">
        <f aca="false">AP42+AP39-AP21+AP44</f>
        <v>12.619</v>
      </c>
      <c r="AQ45" s="13" t="n">
        <f aca="false">AQ42+AQ39-AQ21+AQ44</f>
        <v>12.62075</v>
      </c>
      <c r="AR45" s="13" t="n">
        <f aca="false">AR42+AR39-AR21+AR44</f>
        <v>12.6225</v>
      </c>
      <c r="AS45" s="13" t="n">
        <f aca="false">AS42+AS39-AS21+AS44</f>
        <v>12.62425</v>
      </c>
      <c r="AT45" s="13" t="n">
        <f aca="false">AT42+AT39-AT21+AT44</f>
        <v>12.626</v>
      </c>
      <c r="AU45" s="13" t="n">
        <f aca="false">AU42+AU39-AU21+AU44</f>
        <v>12.62775</v>
      </c>
      <c r="AV45" s="13" t="n">
        <f aca="false">AV42+AV39-AV21+AV44</f>
        <v>12.6295</v>
      </c>
      <c r="AW45" s="13" t="n">
        <f aca="false">AW42+AW39-AW21+AW44</f>
        <v>12.63125</v>
      </c>
      <c r="AX45" s="13" t="n">
        <f aca="false">AX42+AX39-AX21+AX44</f>
        <v>12.633</v>
      </c>
      <c r="AY45" s="13" t="n">
        <f aca="false">AY42+AY39-AY21+AY44</f>
        <v>12.63475</v>
      </c>
      <c r="AZ45" s="13" t="n">
        <f aca="false">AZ42+AZ39-AZ21+AZ44</f>
        <v>12.6365</v>
      </c>
      <c r="BA45" s="13" t="n">
        <f aca="false">BA42+BA39-BA21+BA44</f>
        <v>12.63825</v>
      </c>
      <c r="BB45" s="13" t="n">
        <f aca="false">BB42+BB39-BB21+BB44</f>
        <v>12.64</v>
      </c>
      <c r="BC45" s="13" t="n">
        <f aca="false">BC42+BC39-BC21+BC44</f>
        <v>12.64175</v>
      </c>
      <c r="BD45" s="13" t="n">
        <f aca="false">BD42+BD39-BD21+BD44</f>
        <v>12.6435</v>
      </c>
      <c r="BE45" s="13" t="n">
        <f aca="false">BE42+BE39-BE21+BE44</f>
        <v>12.64525</v>
      </c>
      <c r="BF45" s="13" t="n">
        <f aca="false">BF42+BF39-BF21+BF44</f>
        <v>12.647</v>
      </c>
      <c r="BG45" s="13" t="n">
        <f aca="false">BG42+BG39-BG21+BG44</f>
        <v>12.64875</v>
      </c>
      <c r="BH45" s="13" t="n">
        <f aca="false">BH42+BH39-BH21+BH44</f>
        <v>12.6505</v>
      </c>
      <c r="BI45" s="13" t="n">
        <f aca="false">BI42+BI39-BI21+BI44</f>
        <v>12.65225</v>
      </c>
      <c r="BJ45" s="13" t="n">
        <f aca="false">BJ42+BJ39-BJ21+BJ44</f>
        <v>12.654</v>
      </c>
      <c r="BK45" s="13" t="n">
        <f aca="false">BK42+BK39-BK21+BK44</f>
        <v>12.6378333333333</v>
      </c>
      <c r="BL45" s="13" t="n">
        <f aca="false">BL42+BL39-BL21+BL44</f>
        <v>12.6216666666667</v>
      </c>
      <c r="BM45" s="13" t="n">
        <f aca="false">BM42+BM39-BM21+BM44</f>
        <v>12.6055</v>
      </c>
      <c r="BN45" s="13" t="n">
        <f aca="false">BN42+BN39-BN21+BN44</f>
        <v>12.5893333333333</v>
      </c>
      <c r="BO45" s="13" t="n">
        <f aca="false">BO42+BO39-BO21+BO44</f>
        <v>12.5731666666667</v>
      </c>
      <c r="BP45" s="13" t="n">
        <f aca="false">BP42+BP39-BP21+BP44</f>
        <v>12.557</v>
      </c>
      <c r="BQ45" s="13" t="n">
        <f aca="false">BQ42+BQ39-BQ21+BQ44</f>
        <v>12.5408333333333</v>
      </c>
      <c r="BR45" s="13" t="n">
        <f aca="false">BR42+BR39-BR21+BR44</f>
        <v>12.5246666666667</v>
      </c>
      <c r="BS45" s="13" t="n">
        <f aca="false">BS42+BS39-BS21+BS44</f>
        <v>12.5085</v>
      </c>
      <c r="BT45" s="13" t="n">
        <f aca="false">BT42+BT39-BT21+BT44</f>
        <v>12.4923333333333</v>
      </c>
      <c r="BU45" s="13" t="n">
        <f aca="false">BU42+BU39-BU21+BU44</f>
        <v>12.4761666666667</v>
      </c>
      <c r="BV45" s="13" t="n">
        <f aca="false">BV42+BV39-BV21+BV44</f>
        <v>12.46</v>
      </c>
      <c r="BW45" s="13" t="n">
        <f aca="false">BW42+BW39-BW21+BW44</f>
        <v>12.46</v>
      </c>
      <c r="BX45" s="13" t="n">
        <f aca="false">BX42+BX39-BX21+BX44</f>
        <v>12.46</v>
      </c>
      <c r="BY45" s="13" t="n">
        <f aca="false">BY42+BY39-BY21+BY44</f>
        <v>12.46</v>
      </c>
      <c r="BZ45" s="13" t="n">
        <f aca="false">BZ42+BZ39-BZ21+BZ44</f>
        <v>12.46</v>
      </c>
      <c r="CA45" s="13" t="n">
        <f aca="false">CA42+CA39-CA21+CA44</f>
        <v>12.46</v>
      </c>
      <c r="CB45" s="13" t="n">
        <f aca="false">CB42+CB39-CB21+CB44</f>
        <v>12.46</v>
      </c>
      <c r="CC45" s="13" t="n">
        <f aca="false">CC42+CC39-CC21+CC44</f>
        <v>12.46</v>
      </c>
      <c r="CD45" s="13" t="n">
        <f aca="false">CD42+CD39-CD21+CD44</f>
        <v>12.46</v>
      </c>
      <c r="CE45" s="13" t="n">
        <f aca="false">CE42+CE39-CE21+CE44</f>
        <v>12.46</v>
      </c>
      <c r="CF45" s="13" t="n">
        <f aca="false">CF42+CF39-CF21+CF44</f>
        <v>12.46</v>
      </c>
      <c r="CG45" s="13" t="n">
        <f aca="false">CG42+CG39-CG21+CG44</f>
        <v>12.46</v>
      </c>
      <c r="CH45" s="13" t="n">
        <f aca="false">CH42+CH39-CH21+CH44</f>
        <v>12.46</v>
      </c>
      <c r="CI45" s="13" t="n">
        <f aca="false">CI42+CI39-CI21+CI44</f>
        <v>12.46</v>
      </c>
      <c r="CJ45" s="13" t="n">
        <f aca="false">CJ42+CJ39-CJ21+CJ44</f>
        <v>12.46</v>
      </c>
      <c r="CK45" s="13" t="n">
        <f aca="false">CK42+CK39-CK21+CK44</f>
        <v>12.46</v>
      </c>
      <c r="CL45" s="13" t="n">
        <f aca="false">CL42+CL39-CL21+CL44</f>
        <v>12.46</v>
      </c>
      <c r="CM45" s="13" t="n">
        <f aca="false">CM42+CM39-CM21+CM44</f>
        <v>12.46</v>
      </c>
      <c r="CN45" s="13" t="n">
        <f aca="false">CN42+CN39-CN21+CN44</f>
        <v>12.46</v>
      </c>
      <c r="CO45" s="13" t="n">
        <f aca="false">CO42+CO39-CO21+CO44</f>
        <v>12.46</v>
      </c>
      <c r="CP45" s="13" t="n">
        <f aca="false">CP42+CP39-CP21+CP44</f>
        <v>12.46</v>
      </c>
      <c r="CQ45" s="13" t="n">
        <f aca="false">CQ42+CQ39-CQ21+CQ44</f>
        <v>12.46</v>
      </c>
      <c r="CR45" s="13" t="n">
        <f aca="false">CR42+CR39-CR21+CR44</f>
        <v>12.46</v>
      </c>
      <c r="CS45" s="13" t="n">
        <f aca="false">CS42+CS39-CS21+CS44</f>
        <v>12.46</v>
      </c>
      <c r="CT45" s="13" t="n">
        <f aca="false">CT42+CT39-CT21+CT44</f>
        <v>12.46</v>
      </c>
      <c r="CU45" s="13" t="n">
        <f aca="false">CU42+CU39-CU21+CU44</f>
        <v>12.46</v>
      </c>
      <c r="CV45" s="13" t="n">
        <f aca="false">CV42+CV39-CV21+CV44</f>
        <v>12.46</v>
      </c>
      <c r="CW45" s="13" t="n">
        <f aca="false">CW42+CW39-CW21+CW44</f>
        <v>12.46</v>
      </c>
      <c r="CX45" s="13" t="n">
        <f aca="false">CX42+CX39-CX21+CX44</f>
        <v>12.46</v>
      </c>
      <c r="CY45" s="13" t="n">
        <f aca="false">CY42+CY39-CY21+CY44</f>
        <v>12.46</v>
      </c>
      <c r="CZ45" s="13" t="n">
        <f aca="false">CZ42+CZ39-CZ21+CZ44</f>
        <v>12.46</v>
      </c>
      <c r="DA45" s="13" t="n">
        <f aca="false">DA42+DA39-DA21+DA44</f>
        <v>12.46</v>
      </c>
      <c r="DB45" s="13" t="n">
        <f aca="false">DB42+DB39-DB21+DB44</f>
        <v>12.46</v>
      </c>
      <c r="DC45" s="13" t="n">
        <f aca="false">DC42+DC39-DC21+DC44</f>
        <v>12.46</v>
      </c>
      <c r="DD45" s="13" t="n">
        <f aca="false">DD42+DD39-DD21+DD44</f>
        <v>12.46</v>
      </c>
      <c r="DE45" s="13" t="n">
        <f aca="false">DE42+DE39-DE21+DE44</f>
        <v>12.46</v>
      </c>
      <c r="DF45" s="13" t="n">
        <f aca="false">DF42+DF39-DF21+DF44</f>
        <v>12.46</v>
      </c>
      <c r="DG45" s="13" t="n">
        <f aca="false">DG42+DG39-DG21+DG44</f>
        <v>12.46</v>
      </c>
      <c r="DH45" s="13" t="n">
        <f aca="false">DH42+DH39-DH21+DH44</f>
        <v>12.46</v>
      </c>
      <c r="DI45" s="13" t="n">
        <f aca="false">DI42+DI39-DI21+DI44</f>
        <v>12.46</v>
      </c>
      <c r="DJ45" s="13" t="n">
        <f aca="false">DJ42+DJ39-DJ21+DJ44</f>
        <v>12.46</v>
      </c>
      <c r="DK45" s="13" t="n">
        <f aca="false">DK42+DK39-DK21+DK44</f>
        <v>12.46</v>
      </c>
      <c r="DL45" s="13" t="n">
        <f aca="false">DL42+DL39-DL21+DL44</f>
        <v>12.46</v>
      </c>
      <c r="DM45" s="13" t="n">
        <f aca="false">DM42+DM39-DM21+DM44</f>
        <v>12.46</v>
      </c>
      <c r="DN45" s="13" t="n">
        <f aca="false">DN42+DN39-DN21+DN44</f>
        <v>12.46</v>
      </c>
      <c r="DO45" s="13" t="n">
        <f aca="false">DO42+DO39-DO21+DO44</f>
        <v>12.46</v>
      </c>
      <c r="DP45" s="13" t="n">
        <f aca="false">DP42+DP39-DP21+DP44</f>
        <v>12.46</v>
      </c>
      <c r="DQ45" s="13" t="n">
        <f aca="false">DQ42+DQ39-DQ21+DQ44</f>
        <v>12.46</v>
      </c>
      <c r="DR45" s="13" t="n">
        <f aca="false">DR42+DR39-DR21+DR44</f>
        <v>12.46</v>
      </c>
    </row>
    <row r="46" customFormat="false" ht="15" hidden="false" customHeight="false" outlineLevel="0" collapsed="false">
      <c r="A46" s="9" t="s">
        <v>214</v>
      </c>
      <c r="B46" s="11" t="n">
        <f aca="false">-B38</f>
        <v>-0</v>
      </c>
      <c r="C46" s="11" t="n">
        <f aca="false">-C38</f>
        <v>-3.58333333333333</v>
      </c>
      <c r="D46" s="11" t="n">
        <f aca="false">-D38</f>
        <v>-3.58333333333333</v>
      </c>
      <c r="E46" s="11" t="n">
        <f aca="false">-E38</f>
        <v>-3.58333333333333</v>
      </c>
      <c r="F46" s="11" t="n">
        <f aca="false">-F38</f>
        <v>-3.58333333333333</v>
      </c>
      <c r="G46" s="11" t="n">
        <f aca="false">-G38</f>
        <v>-3.58333333333333</v>
      </c>
      <c r="H46" s="11" t="n">
        <f aca="false">-H38</f>
        <v>-3.58333333333333</v>
      </c>
      <c r="I46" s="11" t="n">
        <f aca="false">-I38</f>
        <v>-3.58333333333333</v>
      </c>
      <c r="J46" s="11" t="n">
        <f aca="false">-J38</f>
        <v>-3.58333333333333</v>
      </c>
      <c r="K46" s="11" t="n">
        <f aca="false">-K38</f>
        <v>-3.58333333333333</v>
      </c>
      <c r="L46" s="11" t="n">
        <f aca="false">-L38</f>
        <v>-3.58333333333333</v>
      </c>
      <c r="M46" s="11" t="n">
        <f aca="false">-M38</f>
        <v>-3.58333333333333</v>
      </c>
      <c r="N46" s="11" t="n">
        <f aca="false">-N38</f>
        <v>-3.58333333333333</v>
      </c>
      <c r="O46" s="11" t="n">
        <f aca="false">-O38</f>
        <v>-0.35</v>
      </c>
      <c r="P46" s="11" t="n">
        <f aca="false">-P38</f>
        <v>-0.35</v>
      </c>
      <c r="Q46" s="11" t="n">
        <f aca="false">-Q38</f>
        <v>-0.35</v>
      </c>
      <c r="R46" s="11" t="n">
        <f aca="false">-R38</f>
        <v>-0.35</v>
      </c>
      <c r="S46" s="11" t="n">
        <f aca="false">-S38</f>
        <v>-0.35</v>
      </c>
      <c r="T46" s="11" t="n">
        <f aca="false">-T38</f>
        <v>-0.35</v>
      </c>
      <c r="U46" s="11" t="n">
        <f aca="false">-U38</f>
        <v>-0.35</v>
      </c>
      <c r="V46" s="11" t="n">
        <f aca="false">-V38</f>
        <v>-0.35</v>
      </c>
      <c r="W46" s="11" t="n">
        <f aca="false">-W38</f>
        <v>-0.35</v>
      </c>
      <c r="X46" s="11" t="n">
        <f aca="false">-X38</f>
        <v>-0.35</v>
      </c>
      <c r="Y46" s="11" t="n">
        <f aca="false">-Y38</f>
        <v>-0.35</v>
      </c>
      <c r="Z46" s="11" t="n">
        <f aca="false">-Z38</f>
        <v>-0.35</v>
      </c>
      <c r="AA46" s="11" t="n">
        <f aca="false">-AA38</f>
        <v>-0.35</v>
      </c>
      <c r="AB46" s="11" t="n">
        <f aca="false">-AB38</f>
        <v>-0.35</v>
      </c>
      <c r="AC46" s="11" t="n">
        <f aca="false">-AC38</f>
        <v>-0.35</v>
      </c>
      <c r="AD46" s="11" t="n">
        <f aca="false">-AD38</f>
        <v>-0.35</v>
      </c>
      <c r="AE46" s="11" t="n">
        <f aca="false">-AE38</f>
        <v>-0.35</v>
      </c>
      <c r="AF46" s="11" t="n">
        <f aca="false">-AF38</f>
        <v>-0.35</v>
      </c>
      <c r="AG46" s="11" t="n">
        <f aca="false">-AG38</f>
        <v>-0.35</v>
      </c>
      <c r="AH46" s="11" t="n">
        <f aca="false">-AH38</f>
        <v>-0.35</v>
      </c>
      <c r="AI46" s="11" t="n">
        <f aca="false">-AI38</f>
        <v>-0.35</v>
      </c>
      <c r="AJ46" s="11" t="n">
        <f aca="false">-AJ38</f>
        <v>-0.35</v>
      </c>
      <c r="AK46" s="11" t="n">
        <f aca="false">-AK38</f>
        <v>-0.35</v>
      </c>
      <c r="AL46" s="11" t="n">
        <f aca="false">-AL38</f>
        <v>-0.35</v>
      </c>
      <c r="AM46" s="11" t="n">
        <f aca="false">-AM38</f>
        <v>-0.35</v>
      </c>
      <c r="AN46" s="11" t="n">
        <f aca="false">-AN38</f>
        <v>-0.35</v>
      </c>
      <c r="AO46" s="11" t="n">
        <f aca="false">-AO38</f>
        <v>-0.35</v>
      </c>
      <c r="AP46" s="11" t="n">
        <f aca="false">-AP38</f>
        <v>-0.35</v>
      </c>
      <c r="AQ46" s="11" t="n">
        <f aca="false">-AQ38</f>
        <v>-0.35</v>
      </c>
      <c r="AR46" s="11" t="n">
        <f aca="false">-AR38</f>
        <v>-0.35</v>
      </c>
      <c r="AS46" s="11" t="n">
        <f aca="false">-AS38</f>
        <v>-0.35</v>
      </c>
      <c r="AT46" s="11" t="n">
        <f aca="false">-AT38</f>
        <v>-0.35</v>
      </c>
      <c r="AU46" s="11" t="n">
        <f aca="false">-AU38</f>
        <v>-0.35</v>
      </c>
      <c r="AV46" s="11" t="n">
        <f aca="false">-AV38</f>
        <v>-0.35</v>
      </c>
      <c r="AW46" s="11" t="n">
        <f aca="false">-AW38</f>
        <v>-0.35</v>
      </c>
      <c r="AX46" s="11" t="n">
        <f aca="false">-AX38</f>
        <v>-0.35</v>
      </c>
      <c r="AY46" s="11" t="n">
        <f aca="false">-AY38</f>
        <v>-0.35</v>
      </c>
      <c r="AZ46" s="11" t="n">
        <f aca="false">-AZ38</f>
        <v>-0.35</v>
      </c>
      <c r="BA46" s="11" t="n">
        <f aca="false">-BA38</f>
        <v>-0.35</v>
      </c>
      <c r="BB46" s="11" t="n">
        <f aca="false">-BB38</f>
        <v>-0.35</v>
      </c>
      <c r="BC46" s="11" t="n">
        <f aca="false">-BC38</f>
        <v>-0.35</v>
      </c>
      <c r="BD46" s="11" t="n">
        <f aca="false">-BD38</f>
        <v>-0.35</v>
      </c>
      <c r="BE46" s="11" t="n">
        <f aca="false">-BE38</f>
        <v>-0.35</v>
      </c>
      <c r="BF46" s="11" t="n">
        <f aca="false">-BF38</f>
        <v>-0.35</v>
      </c>
      <c r="BG46" s="11" t="n">
        <f aca="false">-BG38</f>
        <v>-0.35</v>
      </c>
      <c r="BH46" s="11" t="n">
        <f aca="false">-BH38</f>
        <v>-0.35</v>
      </c>
      <c r="BI46" s="11" t="n">
        <f aca="false">-BI38</f>
        <v>-0.35</v>
      </c>
      <c r="BJ46" s="11" t="n">
        <f aca="false">-BJ38</f>
        <v>-0.35</v>
      </c>
      <c r="BK46" s="11" t="n">
        <f aca="false">-BK38</f>
        <v>-0.35</v>
      </c>
      <c r="BL46" s="11" t="n">
        <f aca="false">-BL38</f>
        <v>-0.35</v>
      </c>
      <c r="BM46" s="11" t="n">
        <f aca="false">-BM38</f>
        <v>-0.35</v>
      </c>
      <c r="BN46" s="11" t="n">
        <f aca="false">-BN38</f>
        <v>-0.35</v>
      </c>
      <c r="BO46" s="11" t="n">
        <f aca="false">-BO38</f>
        <v>-0.35</v>
      </c>
      <c r="BP46" s="11" t="n">
        <f aca="false">-BP38</f>
        <v>-0.35</v>
      </c>
      <c r="BQ46" s="11" t="n">
        <f aca="false">-BQ38</f>
        <v>-0.35</v>
      </c>
      <c r="BR46" s="11" t="n">
        <f aca="false">-BR38</f>
        <v>-0.35</v>
      </c>
      <c r="BS46" s="11" t="n">
        <f aca="false">-BS38</f>
        <v>-0.35</v>
      </c>
      <c r="BT46" s="11" t="n">
        <f aca="false">-BT38</f>
        <v>-0.35</v>
      </c>
      <c r="BU46" s="11" t="n">
        <f aca="false">-BU38</f>
        <v>-0.35</v>
      </c>
      <c r="BV46" s="11" t="n">
        <f aca="false">-BV38</f>
        <v>-0.35</v>
      </c>
      <c r="BW46" s="11" t="n">
        <f aca="false">-BW38</f>
        <v>-0.35</v>
      </c>
      <c r="BX46" s="11" t="n">
        <f aca="false">-BX38</f>
        <v>-0.35</v>
      </c>
      <c r="BY46" s="11" t="n">
        <f aca="false">-BY38</f>
        <v>-0.35</v>
      </c>
      <c r="BZ46" s="11" t="n">
        <f aca="false">-BZ38</f>
        <v>-0.35</v>
      </c>
      <c r="CA46" s="11" t="n">
        <f aca="false">-CA38</f>
        <v>-0.35</v>
      </c>
      <c r="CB46" s="11" t="n">
        <f aca="false">-CB38</f>
        <v>-0.35</v>
      </c>
      <c r="CC46" s="11" t="n">
        <f aca="false">-CC38</f>
        <v>-0.35</v>
      </c>
      <c r="CD46" s="11" t="n">
        <f aca="false">-CD38</f>
        <v>-0.35</v>
      </c>
      <c r="CE46" s="11" t="n">
        <f aca="false">-CE38</f>
        <v>-0.35</v>
      </c>
      <c r="CF46" s="11" t="n">
        <f aca="false">-CF38</f>
        <v>-0.35</v>
      </c>
      <c r="CG46" s="11" t="n">
        <f aca="false">-CG38</f>
        <v>-0.35</v>
      </c>
      <c r="CH46" s="11" t="n">
        <f aca="false">-CH38</f>
        <v>-0.35</v>
      </c>
      <c r="CI46" s="11" t="n">
        <f aca="false">-CI38</f>
        <v>-0.35</v>
      </c>
      <c r="CJ46" s="11" t="n">
        <f aca="false">-CJ38</f>
        <v>-0.35</v>
      </c>
      <c r="CK46" s="11" t="n">
        <f aca="false">-CK38</f>
        <v>-0.35</v>
      </c>
      <c r="CL46" s="11" t="n">
        <f aca="false">-CL38</f>
        <v>-0.35</v>
      </c>
      <c r="CM46" s="11" t="n">
        <f aca="false">-CM38</f>
        <v>-0.35</v>
      </c>
      <c r="CN46" s="11" t="n">
        <f aca="false">-CN38</f>
        <v>-0.35</v>
      </c>
      <c r="CO46" s="11" t="n">
        <f aca="false">-CO38</f>
        <v>-0.35</v>
      </c>
      <c r="CP46" s="11" t="n">
        <f aca="false">-CP38</f>
        <v>-0.35</v>
      </c>
      <c r="CQ46" s="11" t="n">
        <f aca="false">-CQ38</f>
        <v>-0.35</v>
      </c>
      <c r="CR46" s="11" t="n">
        <f aca="false">-CR38</f>
        <v>-0.35</v>
      </c>
      <c r="CS46" s="11" t="n">
        <f aca="false">-CS38</f>
        <v>-0.35</v>
      </c>
      <c r="CT46" s="11" t="n">
        <f aca="false">-CT38</f>
        <v>-0.35</v>
      </c>
      <c r="CU46" s="11" t="n">
        <f aca="false">-CU38</f>
        <v>-0.35</v>
      </c>
      <c r="CV46" s="11" t="n">
        <f aca="false">-CV38</f>
        <v>-0.35</v>
      </c>
      <c r="CW46" s="11" t="n">
        <f aca="false">-CW38</f>
        <v>-0.35</v>
      </c>
      <c r="CX46" s="11" t="n">
        <f aca="false">-CX38</f>
        <v>-0.35</v>
      </c>
      <c r="CY46" s="11" t="n">
        <f aca="false">-CY38</f>
        <v>-0.35</v>
      </c>
      <c r="CZ46" s="11" t="n">
        <f aca="false">-CZ38</f>
        <v>-0.35</v>
      </c>
      <c r="DA46" s="11" t="n">
        <f aca="false">-DA38</f>
        <v>-0.35</v>
      </c>
      <c r="DB46" s="11" t="n">
        <f aca="false">-DB38</f>
        <v>-0.35</v>
      </c>
      <c r="DC46" s="11" t="n">
        <f aca="false">-DC38</f>
        <v>-0.35</v>
      </c>
      <c r="DD46" s="11" t="n">
        <f aca="false">-DD38</f>
        <v>-0.35</v>
      </c>
      <c r="DE46" s="11" t="n">
        <f aca="false">-DE38</f>
        <v>-0.35</v>
      </c>
      <c r="DF46" s="11" t="n">
        <f aca="false">-DF38</f>
        <v>-0.35</v>
      </c>
      <c r="DG46" s="11" t="n">
        <f aca="false">-DG38</f>
        <v>-0.35</v>
      </c>
      <c r="DH46" s="11" t="n">
        <f aca="false">-DH38</f>
        <v>-0.35</v>
      </c>
      <c r="DI46" s="11" t="n">
        <f aca="false">-DI38</f>
        <v>-0.35</v>
      </c>
      <c r="DJ46" s="11" t="n">
        <f aca="false">-DJ38</f>
        <v>-0.35</v>
      </c>
      <c r="DK46" s="11" t="n">
        <f aca="false">-DK38</f>
        <v>-0.35</v>
      </c>
      <c r="DL46" s="11" t="n">
        <f aca="false">-DL38</f>
        <v>-0.35</v>
      </c>
      <c r="DM46" s="11" t="n">
        <f aca="false">-DM38</f>
        <v>-0.35</v>
      </c>
      <c r="DN46" s="11" t="n">
        <f aca="false">-DN38</f>
        <v>-0.35</v>
      </c>
      <c r="DO46" s="11" t="n">
        <f aca="false">-DO38</f>
        <v>-0.35</v>
      </c>
      <c r="DP46" s="11" t="n">
        <f aca="false">-DP38</f>
        <v>-0.35</v>
      </c>
      <c r="DQ46" s="11" t="n">
        <f aca="false">-DQ38</f>
        <v>-0.35</v>
      </c>
      <c r="DR46" s="11" t="n">
        <f aca="false">-DR38</f>
        <v>-0.35</v>
      </c>
    </row>
    <row r="47" customFormat="false" ht="15" hidden="false" customHeight="false" outlineLevel="0" collapsed="false">
      <c r="A47" s="9" t="s">
        <v>215</v>
      </c>
      <c r="B47" s="10" t="n">
        <f aca="false">IF(B$1=Inputs!$B$34,Inputs!$B$22+Inputs!$B$23,Inputs!$B$34)</f>
        <v>50</v>
      </c>
      <c r="C47" s="10" t="n">
        <f aca="false">IF(C$1=Inputs!$B$34,Inputs!$B$22+Inputs!$B$23,Inputs!$B$34)</f>
        <v>0</v>
      </c>
      <c r="D47" s="10" t="n">
        <f aca="false">IF(D$1=Inputs!$B$34,Inputs!$B$22+Inputs!$B$23,Inputs!$B$34)</f>
        <v>0</v>
      </c>
      <c r="E47" s="10" t="n">
        <f aca="false">IF(E$1=Inputs!$B$34,Inputs!$B$22+Inputs!$B$23,Inputs!$B$34)</f>
        <v>0</v>
      </c>
      <c r="F47" s="10" t="n">
        <f aca="false">IF(F$1=Inputs!$B$34,Inputs!$B$22+Inputs!$B$23,Inputs!$B$34)</f>
        <v>0</v>
      </c>
      <c r="G47" s="10" t="n">
        <f aca="false">IF(G$1=Inputs!$B$34,Inputs!$B$22+Inputs!$B$23,Inputs!$B$34)</f>
        <v>0</v>
      </c>
      <c r="H47" s="10" t="n">
        <f aca="false">IF(H$1=Inputs!$B$34,Inputs!$B$22+Inputs!$B$23,Inputs!$B$34)</f>
        <v>0</v>
      </c>
      <c r="I47" s="10" t="n">
        <f aca="false">IF(I$1=Inputs!$B$34,Inputs!$B$22+Inputs!$B$23,Inputs!$B$34)</f>
        <v>0</v>
      </c>
      <c r="J47" s="10" t="n">
        <f aca="false">IF(J$1=Inputs!$B$34,Inputs!$B$22+Inputs!$B$23,Inputs!$B$34)</f>
        <v>0</v>
      </c>
      <c r="K47" s="10" t="n">
        <f aca="false">IF(K$1=Inputs!$B$34,Inputs!$B$22+Inputs!$B$23,Inputs!$B$34)</f>
        <v>0</v>
      </c>
      <c r="L47" s="10" t="n">
        <f aca="false">IF(L$1=Inputs!$B$34,Inputs!$B$22+Inputs!$B$23,Inputs!$B$34)</f>
        <v>0</v>
      </c>
      <c r="M47" s="10" t="n">
        <f aca="false">IF(M$1=Inputs!$B$34,Inputs!$B$22+Inputs!$B$23,Inputs!$B$34)</f>
        <v>0</v>
      </c>
      <c r="N47" s="10" t="n">
        <f aca="false">IF(N$1=Inputs!$B$34,Inputs!$B$22+Inputs!$B$23,Inputs!$B$34)</f>
        <v>0</v>
      </c>
      <c r="O47" s="10" t="n">
        <f aca="false">IF(O$1=Inputs!$B$34,Inputs!$B$22+Inputs!$B$23,Inputs!$B$34)</f>
        <v>0</v>
      </c>
      <c r="P47" s="10" t="n">
        <f aca="false">IF(P$1=Inputs!$B$34,Inputs!$B$22+Inputs!$B$23,Inputs!$B$34)</f>
        <v>0</v>
      </c>
      <c r="Q47" s="10" t="n">
        <f aca="false">IF(Q$1=Inputs!$B$34,Inputs!$B$22+Inputs!$B$23,Inputs!$B$34)</f>
        <v>0</v>
      </c>
      <c r="R47" s="10" t="n">
        <f aca="false">IF(R$1=Inputs!$B$34,Inputs!$B$22+Inputs!$B$23,Inputs!$B$34)</f>
        <v>0</v>
      </c>
      <c r="S47" s="10" t="n">
        <f aca="false">IF(S$1=Inputs!$B$34,Inputs!$B$22+Inputs!$B$23,Inputs!$B$34)</f>
        <v>0</v>
      </c>
      <c r="T47" s="10" t="n">
        <f aca="false">IF(T$1=Inputs!$B$34,Inputs!$B$22+Inputs!$B$23,Inputs!$B$34)</f>
        <v>0</v>
      </c>
      <c r="U47" s="10" t="n">
        <f aca="false">IF(U$1=Inputs!$B$34,Inputs!$B$22+Inputs!$B$23,Inputs!$B$34)</f>
        <v>0</v>
      </c>
      <c r="V47" s="10" t="n">
        <f aca="false">IF(V$1=Inputs!$B$34,Inputs!$B$22+Inputs!$B$23,Inputs!$B$34)</f>
        <v>0</v>
      </c>
      <c r="W47" s="10" t="n">
        <f aca="false">IF(W$1=Inputs!$B$34,Inputs!$B$22+Inputs!$B$23,Inputs!$B$34)</f>
        <v>0</v>
      </c>
      <c r="X47" s="10" t="n">
        <f aca="false">IF(X$1=Inputs!$B$34,Inputs!$B$22+Inputs!$B$23,Inputs!$B$34)</f>
        <v>0</v>
      </c>
      <c r="Y47" s="10" t="n">
        <f aca="false">IF(Y$1=Inputs!$B$34,Inputs!$B$22+Inputs!$B$23,Inputs!$B$34)</f>
        <v>0</v>
      </c>
      <c r="Z47" s="10" t="n">
        <f aca="false">IF(Z$1=Inputs!$B$34,Inputs!$B$22+Inputs!$B$23,Inputs!$B$34)</f>
        <v>0</v>
      </c>
      <c r="AA47" s="10" t="n">
        <f aca="false">IF(AA$1=Inputs!$B$34,Inputs!$B$22+Inputs!$B$23,Inputs!$B$34)</f>
        <v>0</v>
      </c>
      <c r="AB47" s="10" t="n">
        <f aca="false">IF(AB$1=Inputs!$B$34,Inputs!$B$22+Inputs!$B$23,Inputs!$B$34)</f>
        <v>0</v>
      </c>
      <c r="AC47" s="10" t="n">
        <f aca="false">IF(AC$1=Inputs!$B$34,Inputs!$B$22+Inputs!$B$23,Inputs!$B$34)</f>
        <v>0</v>
      </c>
      <c r="AD47" s="10" t="n">
        <f aca="false">IF(AD$1=Inputs!$B$34,Inputs!$B$22+Inputs!$B$23,Inputs!$B$34)</f>
        <v>0</v>
      </c>
      <c r="AE47" s="10" t="n">
        <f aca="false">IF(AE$1=Inputs!$B$34,Inputs!$B$22+Inputs!$B$23,Inputs!$B$34)</f>
        <v>0</v>
      </c>
      <c r="AF47" s="10" t="n">
        <f aca="false">IF(AF$1=Inputs!$B$34,Inputs!$B$22+Inputs!$B$23,Inputs!$B$34)</f>
        <v>0</v>
      </c>
      <c r="AG47" s="10" t="n">
        <f aca="false">IF(AG$1=Inputs!$B$34,Inputs!$B$22+Inputs!$B$23,Inputs!$B$34)</f>
        <v>0</v>
      </c>
      <c r="AH47" s="10" t="n">
        <f aca="false">IF(AH$1=Inputs!$B$34,Inputs!$B$22+Inputs!$B$23,Inputs!$B$34)</f>
        <v>0</v>
      </c>
      <c r="AI47" s="10" t="n">
        <f aca="false">IF(AI$1=Inputs!$B$34,Inputs!$B$22+Inputs!$B$23,Inputs!$B$34)</f>
        <v>0</v>
      </c>
      <c r="AJ47" s="10" t="n">
        <f aca="false">IF(AJ$1=Inputs!$B$34,Inputs!$B$22+Inputs!$B$23,Inputs!$B$34)</f>
        <v>0</v>
      </c>
      <c r="AK47" s="10" t="n">
        <f aca="false">IF(AK$1=Inputs!$B$34,Inputs!$B$22+Inputs!$B$23,Inputs!$B$34)</f>
        <v>0</v>
      </c>
      <c r="AL47" s="10" t="n">
        <f aca="false">IF(AL$1=Inputs!$B$34,Inputs!$B$22+Inputs!$B$23,Inputs!$B$34)</f>
        <v>0</v>
      </c>
      <c r="AM47" s="10" t="n">
        <f aca="false">IF(AM$1=Inputs!$B$34,Inputs!$B$22+Inputs!$B$23,Inputs!$B$34)</f>
        <v>0</v>
      </c>
      <c r="AN47" s="10" t="n">
        <f aca="false">IF(AN$1=Inputs!$B$34,Inputs!$B$22+Inputs!$B$23,Inputs!$B$34)</f>
        <v>0</v>
      </c>
      <c r="AO47" s="10" t="n">
        <f aca="false">IF(AO$1=Inputs!$B$34,Inputs!$B$22+Inputs!$B$23,Inputs!$B$34)</f>
        <v>0</v>
      </c>
      <c r="AP47" s="10" t="n">
        <f aca="false">IF(AP$1=Inputs!$B$34,Inputs!$B$22+Inputs!$B$23,Inputs!$B$34)</f>
        <v>0</v>
      </c>
      <c r="AQ47" s="10" t="n">
        <f aca="false">IF(AQ$1=Inputs!$B$34,Inputs!$B$22+Inputs!$B$23,Inputs!$B$34)</f>
        <v>0</v>
      </c>
      <c r="AR47" s="10" t="n">
        <f aca="false">IF(AR$1=Inputs!$B$34,Inputs!$B$22+Inputs!$B$23,Inputs!$B$34)</f>
        <v>0</v>
      </c>
      <c r="AS47" s="10" t="n">
        <f aca="false">IF(AS$1=Inputs!$B$34,Inputs!$B$22+Inputs!$B$23,Inputs!$B$34)</f>
        <v>0</v>
      </c>
      <c r="AT47" s="10" t="n">
        <f aca="false">IF(AT$1=Inputs!$B$34,Inputs!$B$22+Inputs!$B$23,Inputs!$B$34)</f>
        <v>0</v>
      </c>
      <c r="AU47" s="10" t="n">
        <f aca="false">IF(AU$1=Inputs!$B$34,Inputs!$B$22+Inputs!$B$23,Inputs!$B$34)</f>
        <v>0</v>
      </c>
      <c r="AV47" s="10" t="n">
        <f aca="false">IF(AV$1=Inputs!$B$34,Inputs!$B$22+Inputs!$B$23,Inputs!$B$34)</f>
        <v>0</v>
      </c>
      <c r="AW47" s="10" t="n">
        <f aca="false">IF(AW$1=Inputs!$B$34,Inputs!$B$22+Inputs!$B$23,Inputs!$B$34)</f>
        <v>0</v>
      </c>
      <c r="AX47" s="10" t="n">
        <f aca="false">IF(AX$1=Inputs!$B$34,Inputs!$B$22+Inputs!$B$23,Inputs!$B$34)</f>
        <v>0</v>
      </c>
      <c r="AY47" s="10" t="n">
        <f aca="false">IF(AY$1=Inputs!$B$34,Inputs!$B$22+Inputs!$B$23,Inputs!$B$34)</f>
        <v>0</v>
      </c>
      <c r="AZ47" s="10" t="n">
        <f aca="false">IF(AZ$1=Inputs!$B$34,Inputs!$B$22+Inputs!$B$23,Inputs!$B$34)</f>
        <v>0</v>
      </c>
      <c r="BA47" s="10" t="n">
        <f aca="false">IF(BA$1=Inputs!$B$34,Inputs!$B$22+Inputs!$B$23,Inputs!$B$34)</f>
        <v>0</v>
      </c>
      <c r="BB47" s="10" t="n">
        <f aca="false">IF(BB$1=Inputs!$B$34,Inputs!$B$22+Inputs!$B$23,Inputs!$B$34)</f>
        <v>0</v>
      </c>
      <c r="BC47" s="10" t="n">
        <f aca="false">IF(BC$1=Inputs!$B$34,Inputs!$B$22+Inputs!$B$23,Inputs!$B$34)</f>
        <v>0</v>
      </c>
      <c r="BD47" s="10" t="n">
        <f aca="false">IF(BD$1=Inputs!$B$34,Inputs!$B$22+Inputs!$B$23,Inputs!$B$34)</f>
        <v>0</v>
      </c>
      <c r="BE47" s="10" t="n">
        <f aca="false">IF(BE$1=Inputs!$B$34,Inputs!$B$22+Inputs!$B$23,Inputs!$B$34)</f>
        <v>0</v>
      </c>
      <c r="BF47" s="10" t="n">
        <f aca="false">IF(BF$1=Inputs!$B$34,Inputs!$B$22+Inputs!$B$23,Inputs!$B$34)</f>
        <v>0</v>
      </c>
      <c r="BG47" s="10" t="n">
        <f aca="false">IF(BG$1=Inputs!$B$34,Inputs!$B$22+Inputs!$B$23,Inputs!$B$34)</f>
        <v>0</v>
      </c>
      <c r="BH47" s="10" t="n">
        <f aca="false">IF(BH$1=Inputs!$B$34,Inputs!$B$22+Inputs!$B$23,Inputs!$B$34)</f>
        <v>0</v>
      </c>
      <c r="BI47" s="10" t="n">
        <f aca="false">IF(BI$1=Inputs!$B$34,Inputs!$B$22+Inputs!$B$23,Inputs!$B$34)</f>
        <v>0</v>
      </c>
      <c r="BJ47" s="10" t="n">
        <f aca="false">IF(BJ$1=Inputs!$B$34,Inputs!$B$22+Inputs!$B$23,Inputs!$B$34)</f>
        <v>0</v>
      </c>
      <c r="BK47" s="10" t="n">
        <f aca="false">IF(BK$1=Inputs!$B$34,Inputs!$B$22+Inputs!$B$23,Inputs!$B$34)</f>
        <v>0</v>
      </c>
      <c r="BL47" s="10" t="n">
        <f aca="false">IF(BL$1=Inputs!$B$34,Inputs!$B$22+Inputs!$B$23,Inputs!$B$34)</f>
        <v>0</v>
      </c>
      <c r="BM47" s="10" t="n">
        <f aca="false">IF(BM$1=Inputs!$B$34,Inputs!$B$22+Inputs!$B$23,Inputs!$B$34)</f>
        <v>0</v>
      </c>
      <c r="BN47" s="10" t="n">
        <f aca="false">IF(BN$1=Inputs!$B$34,Inputs!$B$22+Inputs!$B$23,Inputs!$B$34)</f>
        <v>0</v>
      </c>
      <c r="BO47" s="10" t="n">
        <f aca="false">IF(BO$1=Inputs!$B$34,Inputs!$B$22+Inputs!$B$23,Inputs!$B$34)</f>
        <v>0</v>
      </c>
      <c r="BP47" s="10" t="n">
        <f aca="false">IF(BP$1=Inputs!$B$34,Inputs!$B$22+Inputs!$B$23,Inputs!$B$34)</f>
        <v>0</v>
      </c>
      <c r="BQ47" s="10" t="n">
        <f aca="false">IF(BQ$1=Inputs!$B$34,Inputs!$B$22+Inputs!$B$23,Inputs!$B$34)</f>
        <v>0</v>
      </c>
      <c r="BR47" s="10" t="n">
        <f aca="false">IF(BR$1=Inputs!$B$34,Inputs!$B$22+Inputs!$B$23,Inputs!$B$34)</f>
        <v>0</v>
      </c>
      <c r="BS47" s="10" t="n">
        <f aca="false">IF(BS$1=Inputs!$B$34,Inputs!$B$22+Inputs!$B$23,Inputs!$B$34)</f>
        <v>0</v>
      </c>
      <c r="BT47" s="10" t="n">
        <f aca="false">IF(BT$1=Inputs!$B$34,Inputs!$B$22+Inputs!$B$23,Inputs!$B$34)</f>
        <v>0</v>
      </c>
      <c r="BU47" s="10" t="n">
        <f aca="false">IF(BU$1=Inputs!$B$34,Inputs!$B$22+Inputs!$B$23,Inputs!$B$34)</f>
        <v>0</v>
      </c>
      <c r="BV47" s="10" t="n">
        <f aca="false">IF(BV$1=Inputs!$B$34,Inputs!$B$22+Inputs!$B$23,Inputs!$B$34)</f>
        <v>0</v>
      </c>
      <c r="BW47" s="10" t="n">
        <f aca="false">IF(BW$1=Inputs!$B$34,Inputs!$B$22+Inputs!$B$23,Inputs!$B$34)</f>
        <v>0</v>
      </c>
      <c r="BX47" s="10" t="n">
        <f aca="false">IF(BX$1=Inputs!$B$34,Inputs!$B$22+Inputs!$B$23,Inputs!$B$34)</f>
        <v>0</v>
      </c>
      <c r="BY47" s="10" t="n">
        <f aca="false">IF(BY$1=Inputs!$B$34,Inputs!$B$22+Inputs!$B$23,Inputs!$B$34)</f>
        <v>0</v>
      </c>
      <c r="BZ47" s="10" t="n">
        <f aca="false">IF(BZ$1=Inputs!$B$34,Inputs!$B$22+Inputs!$B$23,Inputs!$B$34)</f>
        <v>0</v>
      </c>
      <c r="CA47" s="10" t="n">
        <f aca="false">IF(CA$1=Inputs!$B$34,Inputs!$B$22+Inputs!$B$23,Inputs!$B$34)</f>
        <v>0</v>
      </c>
      <c r="CB47" s="10" t="n">
        <f aca="false">IF(CB$1=Inputs!$B$34,Inputs!$B$22+Inputs!$B$23,Inputs!$B$34)</f>
        <v>0</v>
      </c>
      <c r="CC47" s="10" t="n">
        <f aca="false">IF(CC$1=Inputs!$B$34,Inputs!$B$22+Inputs!$B$23,Inputs!$B$34)</f>
        <v>0</v>
      </c>
      <c r="CD47" s="10" t="n">
        <f aca="false">IF(CD$1=Inputs!$B$34,Inputs!$B$22+Inputs!$B$23,Inputs!$B$34)</f>
        <v>0</v>
      </c>
      <c r="CE47" s="10" t="n">
        <f aca="false">IF(CE$1=Inputs!$B$34,Inputs!$B$22+Inputs!$B$23,Inputs!$B$34)</f>
        <v>0</v>
      </c>
      <c r="CF47" s="10" t="n">
        <f aca="false">IF(CF$1=Inputs!$B$34,Inputs!$B$22+Inputs!$B$23,Inputs!$B$34)</f>
        <v>0</v>
      </c>
      <c r="CG47" s="10" t="n">
        <f aca="false">IF(CG$1=Inputs!$B$34,Inputs!$B$22+Inputs!$B$23,Inputs!$B$34)</f>
        <v>0</v>
      </c>
      <c r="CH47" s="10" t="n">
        <f aca="false">IF(CH$1=Inputs!$B$34,Inputs!$B$22+Inputs!$B$23,Inputs!$B$34)</f>
        <v>0</v>
      </c>
      <c r="CI47" s="10" t="n">
        <f aca="false">IF(CI$1=Inputs!$B$34,Inputs!$B$22+Inputs!$B$23,Inputs!$B$34)</f>
        <v>0</v>
      </c>
      <c r="CJ47" s="10" t="n">
        <f aca="false">IF(CJ$1=Inputs!$B$34,Inputs!$B$22+Inputs!$B$23,Inputs!$B$34)</f>
        <v>0</v>
      </c>
      <c r="CK47" s="10" t="n">
        <f aca="false">IF(CK$1=Inputs!$B$34,Inputs!$B$22+Inputs!$B$23,Inputs!$B$34)</f>
        <v>0</v>
      </c>
      <c r="CL47" s="10" t="n">
        <f aca="false">IF(CL$1=Inputs!$B$34,Inputs!$B$22+Inputs!$B$23,Inputs!$B$34)</f>
        <v>0</v>
      </c>
      <c r="CM47" s="10" t="n">
        <f aca="false">IF(CM$1=Inputs!$B$34,Inputs!$B$22+Inputs!$B$23,Inputs!$B$34)</f>
        <v>0</v>
      </c>
      <c r="CN47" s="10" t="n">
        <f aca="false">IF(CN$1=Inputs!$B$34,Inputs!$B$22+Inputs!$B$23,Inputs!$B$34)</f>
        <v>0</v>
      </c>
      <c r="CO47" s="10" t="n">
        <f aca="false">IF(CO$1=Inputs!$B$34,Inputs!$B$22+Inputs!$B$23,Inputs!$B$34)</f>
        <v>0</v>
      </c>
      <c r="CP47" s="10" t="n">
        <f aca="false">IF(CP$1=Inputs!$B$34,Inputs!$B$22+Inputs!$B$23,Inputs!$B$34)</f>
        <v>0</v>
      </c>
      <c r="CQ47" s="10" t="n">
        <f aca="false">IF(CQ$1=Inputs!$B$34,Inputs!$B$22+Inputs!$B$23,Inputs!$B$34)</f>
        <v>0</v>
      </c>
      <c r="CR47" s="10" t="n">
        <f aca="false">IF(CR$1=Inputs!$B$34,Inputs!$B$22+Inputs!$B$23,Inputs!$B$34)</f>
        <v>0</v>
      </c>
      <c r="CS47" s="10" t="n">
        <f aca="false">IF(CS$1=Inputs!$B$34,Inputs!$B$22+Inputs!$B$23,Inputs!$B$34)</f>
        <v>0</v>
      </c>
      <c r="CT47" s="10" t="n">
        <f aca="false">IF(CT$1=Inputs!$B$34,Inputs!$B$22+Inputs!$B$23,Inputs!$B$34)</f>
        <v>0</v>
      </c>
      <c r="CU47" s="10" t="n">
        <f aca="false">IF(CU$1=Inputs!$B$34,Inputs!$B$22+Inputs!$B$23,Inputs!$B$34)</f>
        <v>0</v>
      </c>
      <c r="CV47" s="10" t="n">
        <f aca="false">IF(CV$1=Inputs!$B$34,Inputs!$B$22+Inputs!$B$23,Inputs!$B$34)</f>
        <v>0</v>
      </c>
      <c r="CW47" s="10" t="n">
        <f aca="false">IF(CW$1=Inputs!$B$34,Inputs!$B$22+Inputs!$B$23,Inputs!$B$34)</f>
        <v>0</v>
      </c>
      <c r="CX47" s="10" t="n">
        <f aca="false">IF(CX$1=Inputs!$B$34,Inputs!$B$22+Inputs!$B$23,Inputs!$B$34)</f>
        <v>0</v>
      </c>
      <c r="CY47" s="10" t="n">
        <f aca="false">IF(CY$1=Inputs!$B$34,Inputs!$B$22+Inputs!$B$23,Inputs!$B$34)</f>
        <v>0</v>
      </c>
      <c r="CZ47" s="10" t="n">
        <f aca="false">IF(CZ$1=Inputs!$B$34,Inputs!$B$22+Inputs!$B$23,Inputs!$B$34)</f>
        <v>0</v>
      </c>
      <c r="DA47" s="10" t="n">
        <f aca="false">IF(DA$1=Inputs!$B$34,Inputs!$B$22+Inputs!$B$23,Inputs!$B$34)</f>
        <v>0</v>
      </c>
      <c r="DB47" s="10" t="n">
        <f aca="false">IF(DB$1=Inputs!$B$34,Inputs!$B$22+Inputs!$B$23,Inputs!$B$34)</f>
        <v>0</v>
      </c>
      <c r="DC47" s="10" t="n">
        <f aca="false">IF(DC$1=Inputs!$B$34,Inputs!$B$22+Inputs!$B$23,Inputs!$B$34)</f>
        <v>0</v>
      </c>
      <c r="DD47" s="10" t="n">
        <f aca="false">IF(DD$1=Inputs!$B$34,Inputs!$B$22+Inputs!$B$23,Inputs!$B$34)</f>
        <v>0</v>
      </c>
      <c r="DE47" s="10" t="n">
        <f aca="false">IF(DE$1=Inputs!$B$34,Inputs!$B$22+Inputs!$B$23,Inputs!$B$34)</f>
        <v>0</v>
      </c>
      <c r="DF47" s="10" t="n">
        <f aca="false">IF(DF$1=Inputs!$B$34,Inputs!$B$22+Inputs!$B$23,Inputs!$B$34)</f>
        <v>0</v>
      </c>
      <c r="DG47" s="10" t="n">
        <f aca="false">IF(DG$1=Inputs!$B$34,Inputs!$B$22+Inputs!$B$23,Inputs!$B$34)</f>
        <v>0</v>
      </c>
      <c r="DH47" s="10" t="n">
        <f aca="false">IF(DH$1=Inputs!$B$34,Inputs!$B$22+Inputs!$B$23,Inputs!$B$34)</f>
        <v>0</v>
      </c>
      <c r="DI47" s="10" t="n">
        <f aca="false">IF(DI$1=Inputs!$B$34,Inputs!$B$22+Inputs!$B$23,Inputs!$B$34)</f>
        <v>0</v>
      </c>
      <c r="DJ47" s="10" t="n">
        <f aca="false">IF(DJ$1=Inputs!$B$34,Inputs!$B$22+Inputs!$B$23,Inputs!$B$34)</f>
        <v>0</v>
      </c>
      <c r="DK47" s="10" t="n">
        <f aca="false">IF(DK$1=Inputs!$B$34,Inputs!$B$22+Inputs!$B$23,Inputs!$B$34)</f>
        <v>0</v>
      </c>
      <c r="DL47" s="10" t="n">
        <f aca="false">IF(DL$1=Inputs!$B$34,Inputs!$B$22+Inputs!$B$23,Inputs!$B$34)</f>
        <v>0</v>
      </c>
      <c r="DM47" s="10" t="n">
        <f aca="false">IF(DM$1=Inputs!$B$34,Inputs!$B$22+Inputs!$B$23,Inputs!$B$34)</f>
        <v>0</v>
      </c>
      <c r="DN47" s="10" t="n">
        <f aca="false">IF(DN$1=Inputs!$B$34,Inputs!$B$22+Inputs!$B$23,Inputs!$B$34)</f>
        <v>0</v>
      </c>
      <c r="DO47" s="10" t="n">
        <f aca="false">IF(DO$1=Inputs!$B$34,Inputs!$B$22+Inputs!$B$23,Inputs!$B$34)</f>
        <v>0</v>
      </c>
      <c r="DP47" s="10" t="n">
        <f aca="false">IF(DP$1=Inputs!$B$34,Inputs!$B$22+Inputs!$B$23,Inputs!$B$34)</f>
        <v>0</v>
      </c>
      <c r="DQ47" s="10" t="n">
        <f aca="false">IF(DQ$1=Inputs!$B$34,Inputs!$B$22+Inputs!$B$23,Inputs!$B$34)</f>
        <v>0</v>
      </c>
      <c r="DR47" s="10" t="n">
        <f aca="false">IF(DR$1=Inputs!$B$34,Inputs!$B$22+Inputs!$B$23,Inputs!$B$34)</f>
        <v>0</v>
      </c>
    </row>
    <row r="48" customFormat="false" ht="15" hidden="false" customHeight="false" outlineLevel="0" collapsed="false">
      <c r="A48" s="9" t="s">
        <v>216</v>
      </c>
      <c r="B48" s="11" t="n">
        <f aca="false">B24+B27</f>
        <v>0</v>
      </c>
      <c r="C48" s="11" t="n">
        <f aca="false">C24+C27</f>
        <v>14</v>
      </c>
      <c r="D48" s="11" t="n">
        <f aca="false">D24+D27</f>
        <v>14</v>
      </c>
      <c r="E48" s="11" t="n">
        <f aca="false">E24+E27</f>
        <v>14</v>
      </c>
      <c r="F48" s="11" t="n">
        <f aca="false">F24+F27</f>
        <v>14</v>
      </c>
      <c r="G48" s="11" t="n">
        <f aca="false">G24+G27</f>
        <v>14</v>
      </c>
      <c r="H48" s="11" t="n">
        <f aca="false">H24+H27</f>
        <v>14</v>
      </c>
      <c r="I48" s="11" t="n">
        <f aca="false">I24+I27</f>
        <v>14</v>
      </c>
      <c r="J48" s="11" t="n">
        <f aca="false">J24+J27</f>
        <v>14</v>
      </c>
      <c r="K48" s="11" t="n">
        <f aca="false">K24+K27</f>
        <v>14</v>
      </c>
      <c r="L48" s="11" t="n">
        <f aca="false">L24+L27</f>
        <v>14</v>
      </c>
      <c r="M48" s="11" t="n">
        <f aca="false">M24+M27</f>
        <v>14</v>
      </c>
      <c r="N48" s="11" t="n">
        <f aca="false">N24+N27</f>
        <v>14</v>
      </c>
      <c r="O48" s="11" t="n">
        <f aca="false">O24+O27</f>
        <v>14</v>
      </c>
      <c r="P48" s="11" t="n">
        <f aca="false">P24+P27</f>
        <v>14</v>
      </c>
      <c r="Q48" s="11" t="n">
        <f aca="false">Q24+Q27</f>
        <v>14</v>
      </c>
      <c r="R48" s="11" t="n">
        <f aca="false">R24+R27</f>
        <v>14</v>
      </c>
      <c r="S48" s="11" t="n">
        <f aca="false">S24+S27</f>
        <v>14</v>
      </c>
      <c r="T48" s="11" t="n">
        <f aca="false">T24+T27</f>
        <v>14</v>
      </c>
      <c r="U48" s="11" t="n">
        <f aca="false">U24+U27</f>
        <v>14</v>
      </c>
      <c r="V48" s="11" t="n">
        <f aca="false">V24+V27</f>
        <v>14</v>
      </c>
      <c r="W48" s="11" t="n">
        <f aca="false">W24+W27</f>
        <v>14</v>
      </c>
      <c r="X48" s="11" t="n">
        <f aca="false">X24+X27</f>
        <v>14</v>
      </c>
      <c r="Y48" s="11" t="n">
        <f aca="false">Y24+Y27</f>
        <v>14</v>
      </c>
      <c r="Z48" s="11" t="n">
        <f aca="false">Z24+Z27</f>
        <v>14</v>
      </c>
      <c r="AA48" s="11" t="n">
        <f aca="false">AA24+AA27</f>
        <v>14</v>
      </c>
      <c r="AB48" s="11" t="n">
        <f aca="false">AB24+AB27</f>
        <v>14</v>
      </c>
      <c r="AC48" s="11" t="n">
        <f aca="false">AC24+AC27</f>
        <v>14</v>
      </c>
      <c r="AD48" s="11" t="n">
        <f aca="false">AD24+AD27</f>
        <v>14</v>
      </c>
      <c r="AE48" s="11" t="n">
        <f aca="false">AE24+AE27</f>
        <v>14</v>
      </c>
      <c r="AF48" s="11" t="n">
        <f aca="false">AF24+AF27</f>
        <v>14</v>
      </c>
      <c r="AG48" s="11" t="n">
        <f aca="false">AG24+AG27</f>
        <v>14</v>
      </c>
      <c r="AH48" s="11" t="n">
        <f aca="false">AH24+AH27</f>
        <v>14</v>
      </c>
      <c r="AI48" s="11" t="n">
        <f aca="false">AI24+AI27</f>
        <v>14</v>
      </c>
      <c r="AJ48" s="11" t="n">
        <f aca="false">AJ24+AJ27</f>
        <v>14</v>
      </c>
      <c r="AK48" s="11" t="n">
        <f aca="false">AK24+AK27</f>
        <v>14</v>
      </c>
      <c r="AL48" s="11" t="n">
        <f aca="false">AL24+AL27</f>
        <v>14</v>
      </c>
      <c r="AM48" s="11" t="n">
        <f aca="false">AM24+AM27</f>
        <v>14</v>
      </c>
      <c r="AN48" s="11" t="n">
        <f aca="false">AN24+AN27</f>
        <v>14</v>
      </c>
      <c r="AO48" s="11" t="n">
        <f aca="false">AO24+AO27</f>
        <v>14</v>
      </c>
      <c r="AP48" s="11" t="n">
        <f aca="false">AP24+AP27</f>
        <v>14</v>
      </c>
      <c r="AQ48" s="11" t="n">
        <f aca="false">AQ24+AQ27</f>
        <v>14</v>
      </c>
      <c r="AR48" s="11" t="n">
        <f aca="false">AR24+AR27</f>
        <v>14</v>
      </c>
      <c r="AS48" s="11" t="n">
        <f aca="false">AS24+AS27</f>
        <v>14</v>
      </c>
      <c r="AT48" s="11" t="n">
        <f aca="false">AT24+AT27</f>
        <v>14</v>
      </c>
      <c r="AU48" s="11" t="n">
        <f aca="false">AU24+AU27</f>
        <v>14</v>
      </c>
      <c r="AV48" s="11" t="n">
        <f aca="false">AV24+AV27</f>
        <v>14</v>
      </c>
      <c r="AW48" s="11" t="n">
        <f aca="false">AW24+AW27</f>
        <v>14</v>
      </c>
      <c r="AX48" s="11" t="n">
        <f aca="false">AX24+AX27</f>
        <v>14</v>
      </c>
      <c r="AY48" s="11" t="n">
        <f aca="false">AY24+AY27</f>
        <v>14</v>
      </c>
      <c r="AZ48" s="11" t="n">
        <f aca="false">AZ24+AZ27</f>
        <v>14</v>
      </c>
      <c r="BA48" s="11" t="n">
        <f aca="false">BA24+BA27</f>
        <v>14</v>
      </c>
      <c r="BB48" s="11" t="n">
        <f aca="false">BB24+BB27</f>
        <v>14</v>
      </c>
      <c r="BC48" s="11" t="n">
        <f aca="false">BC24+BC27</f>
        <v>14</v>
      </c>
      <c r="BD48" s="11" t="n">
        <f aca="false">BD24+BD27</f>
        <v>14</v>
      </c>
      <c r="BE48" s="11" t="n">
        <f aca="false">BE24+BE27</f>
        <v>14</v>
      </c>
      <c r="BF48" s="11" t="n">
        <f aca="false">BF24+BF27</f>
        <v>14</v>
      </c>
      <c r="BG48" s="11" t="n">
        <f aca="false">BG24+BG27</f>
        <v>14</v>
      </c>
      <c r="BH48" s="11" t="n">
        <f aca="false">BH24+BH27</f>
        <v>14</v>
      </c>
      <c r="BI48" s="11" t="n">
        <f aca="false">BI24+BI27</f>
        <v>14</v>
      </c>
      <c r="BJ48" s="11" t="n">
        <f aca="false">BJ24+BJ27</f>
        <v>14</v>
      </c>
      <c r="BK48" s="11" t="n">
        <f aca="false">BK24+BK27</f>
        <v>14</v>
      </c>
      <c r="BL48" s="11" t="n">
        <f aca="false">BL24+BL27</f>
        <v>14</v>
      </c>
      <c r="BM48" s="11" t="n">
        <f aca="false">BM24+BM27</f>
        <v>14</v>
      </c>
      <c r="BN48" s="11" t="n">
        <f aca="false">BN24+BN27</f>
        <v>14</v>
      </c>
      <c r="BO48" s="11" t="n">
        <f aca="false">BO24+BO27</f>
        <v>14</v>
      </c>
      <c r="BP48" s="11" t="n">
        <f aca="false">BP24+BP27</f>
        <v>14</v>
      </c>
      <c r="BQ48" s="11" t="n">
        <f aca="false">BQ24+BQ27</f>
        <v>14</v>
      </c>
      <c r="BR48" s="11" t="n">
        <f aca="false">BR24+BR27</f>
        <v>14</v>
      </c>
      <c r="BS48" s="11" t="n">
        <f aca="false">BS24+BS27</f>
        <v>14</v>
      </c>
      <c r="BT48" s="11" t="n">
        <f aca="false">BT24+BT27</f>
        <v>14</v>
      </c>
      <c r="BU48" s="11" t="n">
        <f aca="false">BU24+BU27</f>
        <v>14</v>
      </c>
      <c r="BV48" s="11" t="n">
        <f aca="false">BV24+BV27</f>
        <v>14</v>
      </c>
      <c r="BW48" s="11" t="n">
        <f aca="false">BW24+BW27</f>
        <v>14</v>
      </c>
      <c r="BX48" s="11" t="n">
        <f aca="false">BX24+BX27</f>
        <v>14</v>
      </c>
      <c r="BY48" s="11" t="n">
        <f aca="false">BY24+BY27</f>
        <v>14</v>
      </c>
      <c r="BZ48" s="11" t="n">
        <f aca="false">BZ24+BZ27</f>
        <v>14</v>
      </c>
      <c r="CA48" s="11" t="n">
        <f aca="false">CA24+CA27</f>
        <v>14</v>
      </c>
      <c r="CB48" s="11" t="n">
        <f aca="false">CB24+CB27</f>
        <v>14</v>
      </c>
      <c r="CC48" s="11" t="n">
        <f aca="false">CC24+CC27</f>
        <v>14</v>
      </c>
      <c r="CD48" s="11" t="n">
        <f aca="false">CD24+CD27</f>
        <v>14</v>
      </c>
      <c r="CE48" s="11" t="n">
        <f aca="false">CE24+CE27</f>
        <v>14</v>
      </c>
      <c r="CF48" s="11" t="n">
        <f aca="false">CF24+CF27</f>
        <v>14</v>
      </c>
      <c r="CG48" s="11" t="n">
        <f aca="false">CG24+CG27</f>
        <v>14</v>
      </c>
      <c r="CH48" s="11" t="n">
        <f aca="false">CH24+CH27</f>
        <v>14</v>
      </c>
      <c r="CI48" s="11" t="n">
        <f aca="false">CI24+CI27</f>
        <v>14</v>
      </c>
      <c r="CJ48" s="11" t="n">
        <f aca="false">CJ24+CJ27</f>
        <v>14</v>
      </c>
      <c r="CK48" s="11" t="n">
        <f aca="false">CK24+CK27</f>
        <v>14</v>
      </c>
      <c r="CL48" s="11" t="n">
        <f aca="false">CL24+CL27</f>
        <v>14</v>
      </c>
      <c r="CM48" s="11" t="n">
        <f aca="false">CM24+CM27</f>
        <v>14</v>
      </c>
      <c r="CN48" s="11" t="n">
        <f aca="false">CN24+CN27</f>
        <v>14</v>
      </c>
      <c r="CO48" s="11" t="n">
        <f aca="false">CO24+CO27</f>
        <v>14</v>
      </c>
      <c r="CP48" s="11" t="n">
        <f aca="false">CP24+CP27</f>
        <v>14</v>
      </c>
      <c r="CQ48" s="11" t="n">
        <f aca="false">CQ24+CQ27</f>
        <v>14</v>
      </c>
      <c r="CR48" s="11" t="n">
        <f aca="false">CR24+CR27</f>
        <v>14</v>
      </c>
      <c r="CS48" s="11" t="n">
        <f aca="false">CS24+CS27</f>
        <v>14</v>
      </c>
      <c r="CT48" s="11" t="n">
        <f aca="false">CT24+CT27</f>
        <v>14</v>
      </c>
      <c r="CU48" s="11" t="n">
        <f aca="false">CU24+CU27</f>
        <v>14</v>
      </c>
      <c r="CV48" s="11" t="n">
        <f aca="false">CV24+CV27</f>
        <v>14</v>
      </c>
      <c r="CW48" s="11" t="n">
        <f aca="false">CW24+CW27</f>
        <v>14</v>
      </c>
      <c r="CX48" s="11" t="n">
        <f aca="false">CX24+CX27</f>
        <v>14</v>
      </c>
      <c r="CY48" s="11" t="n">
        <f aca="false">CY24+CY27</f>
        <v>14</v>
      </c>
      <c r="CZ48" s="11" t="n">
        <f aca="false">CZ24+CZ27</f>
        <v>14</v>
      </c>
      <c r="DA48" s="11" t="n">
        <f aca="false">DA24+DA27</f>
        <v>14</v>
      </c>
      <c r="DB48" s="11" t="n">
        <f aca="false">DB24+DB27</f>
        <v>14</v>
      </c>
      <c r="DC48" s="11" t="n">
        <f aca="false">DC24+DC27</f>
        <v>14</v>
      </c>
      <c r="DD48" s="11" t="n">
        <f aca="false">DD24+DD27</f>
        <v>14</v>
      </c>
      <c r="DE48" s="11" t="n">
        <f aca="false">DE24+DE27</f>
        <v>14</v>
      </c>
      <c r="DF48" s="11" t="n">
        <f aca="false">DF24+DF27</f>
        <v>14</v>
      </c>
      <c r="DG48" s="11" t="n">
        <f aca="false">DG24+DG27</f>
        <v>14</v>
      </c>
      <c r="DH48" s="11" t="n">
        <f aca="false">DH24+DH27</f>
        <v>14</v>
      </c>
      <c r="DI48" s="11" t="n">
        <f aca="false">DI24+DI27</f>
        <v>14</v>
      </c>
      <c r="DJ48" s="11" t="n">
        <f aca="false">DJ24+DJ27</f>
        <v>14</v>
      </c>
      <c r="DK48" s="11" t="n">
        <f aca="false">DK24+DK27</f>
        <v>14</v>
      </c>
      <c r="DL48" s="11" t="n">
        <f aca="false">DL24+DL27</f>
        <v>14</v>
      </c>
      <c r="DM48" s="11" t="n">
        <f aca="false">DM24+DM27</f>
        <v>14</v>
      </c>
      <c r="DN48" s="11" t="n">
        <f aca="false">DN24+DN27</f>
        <v>14</v>
      </c>
      <c r="DO48" s="11" t="n">
        <f aca="false">DO24+DO27</f>
        <v>14</v>
      </c>
      <c r="DP48" s="11" t="n">
        <f aca="false">DP24+DP27</f>
        <v>14</v>
      </c>
      <c r="DQ48" s="11" t="n">
        <f aca="false">DQ24+DQ27</f>
        <v>14</v>
      </c>
      <c r="DR48" s="11" t="n">
        <f aca="false">DR24+DR27</f>
        <v>14</v>
      </c>
    </row>
    <row r="49" customFormat="false" ht="15" hidden="false" customHeight="false" outlineLevel="0" collapsed="false">
      <c r="A49" s="9" t="s">
        <v>217</v>
      </c>
      <c r="B49" s="11" t="n">
        <f aca="false">B47-B48</f>
        <v>50</v>
      </c>
      <c r="C49" s="11" t="n">
        <f aca="false">C47-C48</f>
        <v>-14</v>
      </c>
      <c r="D49" s="11" t="n">
        <f aca="false">D47-D48</f>
        <v>-14</v>
      </c>
      <c r="E49" s="11" t="n">
        <f aca="false">E47-E48</f>
        <v>-14</v>
      </c>
      <c r="F49" s="11" t="n">
        <f aca="false">F47-F48</f>
        <v>-14</v>
      </c>
      <c r="G49" s="11" t="n">
        <f aca="false">G47-G48</f>
        <v>-14</v>
      </c>
      <c r="H49" s="11" t="n">
        <f aca="false">H47-H48</f>
        <v>-14</v>
      </c>
      <c r="I49" s="11" t="n">
        <f aca="false">I47-I48</f>
        <v>-14</v>
      </c>
      <c r="J49" s="11" t="n">
        <f aca="false">J47-J48</f>
        <v>-14</v>
      </c>
      <c r="K49" s="11" t="n">
        <f aca="false">K47-K48</f>
        <v>-14</v>
      </c>
      <c r="L49" s="11" t="n">
        <f aca="false">L47-L48</f>
        <v>-14</v>
      </c>
      <c r="M49" s="11" t="n">
        <f aca="false">M47-M48</f>
        <v>-14</v>
      </c>
      <c r="N49" s="11" t="n">
        <f aca="false">N47-N48</f>
        <v>-14</v>
      </c>
      <c r="O49" s="11" t="n">
        <f aca="false">O47-O48</f>
        <v>-14</v>
      </c>
      <c r="P49" s="11" t="n">
        <f aca="false">P47-P48</f>
        <v>-14</v>
      </c>
      <c r="Q49" s="11" t="n">
        <f aca="false">Q47-Q48</f>
        <v>-14</v>
      </c>
      <c r="R49" s="11" t="n">
        <f aca="false">R47-R48</f>
        <v>-14</v>
      </c>
      <c r="S49" s="11" t="n">
        <f aca="false">S47-S48</f>
        <v>-14</v>
      </c>
      <c r="T49" s="11" t="n">
        <f aca="false">T47-T48</f>
        <v>-14</v>
      </c>
      <c r="U49" s="11" t="n">
        <f aca="false">U47-U48</f>
        <v>-14</v>
      </c>
      <c r="V49" s="11" t="n">
        <f aca="false">V47-V48</f>
        <v>-14</v>
      </c>
      <c r="W49" s="11" t="n">
        <f aca="false">W47-W48</f>
        <v>-14</v>
      </c>
      <c r="X49" s="11" t="n">
        <f aca="false">X47-X48</f>
        <v>-14</v>
      </c>
      <c r="Y49" s="11" t="n">
        <f aca="false">Y47-Y48</f>
        <v>-14</v>
      </c>
      <c r="Z49" s="11" t="n">
        <f aca="false">Z47-Z48</f>
        <v>-14</v>
      </c>
      <c r="AA49" s="11" t="n">
        <f aca="false">AA47-AA48</f>
        <v>-14</v>
      </c>
      <c r="AB49" s="11" t="n">
        <f aca="false">AB47-AB48</f>
        <v>-14</v>
      </c>
      <c r="AC49" s="11" t="n">
        <f aca="false">AC47-AC48</f>
        <v>-14</v>
      </c>
      <c r="AD49" s="11" t="n">
        <f aca="false">AD47-AD48</f>
        <v>-14</v>
      </c>
      <c r="AE49" s="11" t="n">
        <f aca="false">AE47-AE48</f>
        <v>-14</v>
      </c>
      <c r="AF49" s="11" t="n">
        <f aca="false">AF47-AF48</f>
        <v>-14</v>
      </c>
      <c r="AG49" s="11" t="n">
        <f aca="false">AG47-AG48</f>
        <v>-14</v>
      </c>
      <c r="AH49" s="11" t="n">
        <f aca="false">AH47-AH48</f>
        <v>-14</v>
      </c>
      <c r="AI49" s="11" t="n">
        <f aca="false">AI47-AI48</f>
        <v>-14</v>
      </c>
      <c r="AJ49" s="11" t="n">
        <f aca="false">AJ47-AJ48</f>
        <v>-14</v>
      </c>
      <c r="AK49" s="11" t="n">
        <f aca="false">AK47-AK48</f>
        <v>-14</v>
      </c>
      <c r="AL49" s="11" t="n">
        <f aca="false">AL47-AL48</f>
        <v>-14</v>
      </c>
      <c r="AM49" s="11" t="n">
        <f aca="false">AM47-AM48</f>
        <v>-14</v>
      </c>
      <c r="AN49" s="11" t="n">
        <f aca="false">AN47-AN48</f>
        <v>-14</v>
      </c>
      <c r="AO49" s="11" t="n">
        <f aca="false">AO47-AO48</f>
        <v>-14</v>
      </c>
      <c r="AP49" s="11" t="n">
        <f aca="false">AP47-AP48</f>
        <v>-14</v>
      </c>
      <c r="AQ49" s="11" t="n">
        <f aca="false">AQ47-AQ48</f>
        <v>-14</v>
      </c>
      <c r="AR49" s="11" t="n">
        <f aca="false">AR47-AR48</f>
        <v>-14</v>
      </c>
      <c r="AS49" s="11" t="n">
        <f aca="false">AS47-AS48</f>
        <v>-14</v>
      </c>
      <c r="AT49" s="11" t="n">
        <f aca="false">AT47-AT48</f>
        <v>-14</v>
      </c>
      <c r="AU49" s="11" t="n">
        <f aca="false">AU47-AU48</f>
        <v>-14</v>
      </c>
      <c r="AV49" s="11" t="n">
        <f aca="false">AV47-AV48</f>
        <v>-14</v>
      </c>
      <c r="AW49" s="11" t="n">
        <f aca="false">AW47-AW48</f>
        <v>-14</v>
      </c>
      <c r="AX49" s="11" t="n">
        <f aca="false">AX47-AX48</f>
        <v>-14</v>
      </c>
      <c r="AY49" s="11" t="n">
        <f aca="false">AY47-AY48</f>
        <v>-14</v>
      </c>
      <c r="AZ49" s="11" t="n">
        <f aca="false">AZ47-AZ48</f>
        <v>-14</v>
      </c>
      <c r="BA49" s="11" t="n">
        <f aca="false">BA47-BA48</f>
        <v>-14</v>
      </c>
      <c r="BB49" s="11" t="n">
        <f aca="false">BB47-BB48</f>
        <v>-14</v>
      </c>
      <c r="BC49" s="11" t="n">
        <f aca="false">BC47-BC48</f>
        <v>-14</v>
      </c>
      <c r="BD49" s="11" t="n">
        <f aca="false">BD47-BD48</f>
        <v>-14</v>
      </c>
      <c r="BE49" s="11" t="n">
        <f aca="false">BE47-BE48</f>
        <v>-14</v>
      </c>
      <c r="BF49" s="11" t="n">
        <f aca="false">BF47-BF48</f>
        <v>-14</v>
      </c>
      <c r="BG49" s="11" t="n">
        <f aca="false">BG47-BG48</f>
        <v>-14</v>
      </c>
      <c r="BH49" s="11" t="n">
        <f aca="false">BH47-BH48</f>
        <v>-14</v>
      </c>
      <c r="BI49" s="11" t="n">
        <f aca="false">BI47-BI48</f>
        <v>-14</v>
      </c>
      <c r="BJ49" s="11" t="n">
        <f aca="false">BJ47-BJ48</f>
        <v>-14</v>
      </c>
      <c r="BK49" s="11" t="n">
        <f aca="false">BK47-BK48</f>
        <v>-14</v>
      </c>
      <c r="BL49" s="11" t="n">
        <f aca="false">BL47-BL48</f>
        <v>-14</v>
      </c>
      <c r="BM49" s="11" t="n">
        <f aca="false">BM47-BM48</f>
        <v>-14</v>
      </c>
      <c r="BN49" s="11" t="n">
        <f aca="false">BN47-BN48</f>
        <v>-14</v>
      </c>
      <c r="BO49" s="11" t="n">
        <f aca="false">BO47-BO48</f>
        <v>-14</v>
      </c>
      <c r="BP49" s="11" t="n">
        <f aca="false">BP47-BP48</f>
        <v>-14</v>
      </c>
      <c r="BQ49" s="11" t="n">
        <f aca="false">BQ47-BQ48</f>
        <v>-14</v>
      </c>
      <c r="BR49" s="11" t="n">
        <f aca="false">BR47-BR48</f>
        <v>-14</v>
      </c>
      <c r="BS49" s="11" t="n">
        <f aca="false">BS47-BS48</f>
        <v>-14</v>
      </c>
      <c r="BT49" s="11" t="n">
        <f aca="false">BT47-BT48</f>
        <v>-14</v>
      </c>
      <c r="BU49" s="11" t="n">
        <f aca="false">BU47-BU48</f>
        <v>-14</v>
      </c>
      <c r="BV49" s="11" t="n">
        <f aca="false">BV47-BV48</f>
        <v>-14</v>
      </c>
      <c r="BW49" s="11" t="n">
        <f aca="false">BW47-BW48</f>
        <v>-14</v>
      </c>
      <c r="BX49" s="11" t="n">
        <f aca="false">BX47-BX48</f>
        <v>-14</v>
      </c>
      <c r="BY49" s="11" t="n">
        <f aca="false">BY47-BY48</f>
        <v>-14</v>
      </c>
      <c r="BZ49" s="11" t="n">
        <f aca="false">BZ47-BZ48</f>
        <v>-14</v>
      </c>
      <c r="CA49" s="11" t="n">
        <f aca="false">CA47-CA48</f>
        <v>-14</v>
      </c>
      <c r="CB49" s="11" t="n">
        <f aca="false">CB47-CB48</f>
        <v>-14</v>
      </c>
      <c r="CC49" s="11" t="n">
        <f aca="false">CC47-CC48</f>
        <v>-14</v>
      </c>
      <c r="CD49" s="11" t="n">
        <f aca="false">CD47-CD48</f>
        <v>-14</v>
      </c>
      <c r="CE49" s="11" t="n">
        <f aca="false">CE47-CE48</f>
        <v>-14</v>
      </c>
      <c r="CF49" s="11" t="n">
        <f aca="false">CF47-CF48</f>
        <v>-14</v>
      </c>
      <c r="CG49" s="11" t="n">
        <f aca="false">CG47-CG48</f>
        <v>-14</v>
      </c>
      <c r="CH49" s="11" t="n">
        <f aca="false">CH47-CH48</f>
        <v>-14</v>
      </c>
      <c r="CI49" s="11" t="n">
        <f aca="false">CI47-CI48</f>
        <v>-14</v>
      </c>
      <c r="CJ49" s="11" t="n">
        <f aca="false">CJ47-CJ48</f>
        <v>-14</v>
      </c>
      <c r="CK49" s="11" t="n">
        <f aca="false">CK47-CK48</f>
        <v>-14</v>
      </c>
      <c r="CL49" s="11" t="n">
        <f aca="false">CL47-CL48</f>
        <v>-14</v>
      </c>
      <c r="CM49" s="11" t="n">
        <f aca="false">CM47-CM48</f>
        <v>-14</v>
      </c>
      <c r="CN49" s="11" t="n">
        <f aca="false">CN47-CN48</f>
        <v>-14</v>
      </c>
      <c r="CO49" s="11" t="n">
        <f aca="false">CO47-CO48</f>
        <v>-14</v>
      </c>
      <c r="CP49" s="11" t="n">
        <f aca="false">CP47-CP48</f>
        <v>-14</v>
      </c>
      <c r="CQ49" s="11" t="n">
        <f aca="false">CQ47-CQ48</f>
        <v>-14</v>
      </c>
      <c r="CR49" s="11" t="n">
        <f aca="false">CR47-CR48</f>
        <v>-14</v>
      </c>
      <c r="CS49" s="11" t="n">
        <f aca="false">CS47-CS48</f>
        <v>-14</v>
      </c>
      <c r="CT49" s="11" t="n">
        <f aca="false">CT47-CT48</f>
        <v>-14</v>
      </c>
      <c r="CU49" s="11" t="n">
        <f aca="false">CU47-CU48</f>
        <v>-14</v>
      </c>
      <c r="CV49" s="11" t="n">
        <f aca="false">CV47-CV48</f>
        <v>-14</v>
      </c>
      <c r="CW49" s="11" t="n">
        <f aca="false">CW47-CW48</f>
        <v>-14</v>
      </c>
      <c r="CX49" s="11" t="n">
        <f aca="false">CX47-CX48</f>
        <v>-14</v>
      </c>
      <c r="CY49" s="11" t="n">
        <f aca="false">CY47-CY48</f>
        <v>-14</v>
      </c>
      <c r="CZ49" s="11" t="n">
        <f aca="false">CZ47-CZ48</f>
        <v>-14</v>
      </c>
      <c r="DA49" s="11" t="n">
        <f aca="false">DA47-DA48</f>
        <v>-14</v>
      </c>
      <c r="DB49" s="11" t="n">
        <f aca="false">DB47-DB48</f>
        <v>-14</v>
      </c>
      <c r="DC49" s="11" t="n">
        <f aca="false">DC47-DC48</f>
        <v>-14</v>
      </c>
      <c r="DD49" s="11" t="n">
        <f aca="false">DD47-DD48</f>
        <v>-14</v>
      </c>
      <c r="DE49" s="11" t="n">
        <f aca="false">DE47-DE48</f>
        <v>-14</v>
      </c>
      <c r="DF49" s="11" t="n">
        <f aca="false">DF47-DF48</f>
        <v>-14</v>
      </c>
      <c r="DG49" s="11" t="n">
        <f aca="false">DG47-DG48</f>
        <v>-14</v>
      </c>
      <c r="DH49" s="11" t="n">
        <f aca="false">DH47-DH48</f>
        <v>-14</v>
      </c>
      <c r="DI49" s="11" t="n">
        <f aca="false">DI47-DI48</f>
        <v>-14</v>
      </c>
      <c r="DJ49" s="11" t="n">
        <f aca="false">DJ47-DJ48</f>
        <v>-14</v>
      </c>
      <c r="DK49" s="11" t="n">
        <f aca="false">DK47-DK48</f>
        <v>-14</v>
      </c>
      <c r="DL49" s="11" t="n">
        <f aca="false">DL47-DL48</f>
        <v>-14</v>
      </c>
      <c r="DM49" s="11" t="n">
        <f aca="false">DM47-DM48</f>
        <v>-14</v>
      </c>
      <c r="DN49" s="11" t="n">
        <f aca="false">DN47-DN48</f>
        <v>-14</v>
      </c>
      <c r="DO49" s="11" t="n">
        <f aca="false">DO47-DO48</f>
        <v>-14</v>
      </c>
      <c r="DP49" s="11" t="n">
        <f aca="false">DP47-DP48</f>
        <v>-14</v>
      </c>
      <c r="DQ49" s="11" t="n">
        <f aca="false">DQ47-DQ48</f>
        <v>-14</v>
      </c>
      <c r="DR49" s="11" t="n">
        <f aca="false">DR47-DR48</f>
        <v>-14</v>
      </c>
    </row>
    <row r="50" customFormat="false" ht="15" hidden="false" customHeight="false" outlineLevel="0" collapsed="false">
      <c r="A50" s="9" t="s">
        <v>218</v>
      </c>
      <c r="B50" s="11" t="n">
        <f aca="false">SUM(B45:B46)+B49</f>
        <v>50</v>
      </c>
      <c r="C50" s="11" t="n">
        <f aca="false">SUM(C45:C46)+C49</f>
        <v>-5.61875</v>
      </c>
      <c r="D50" s="11" t="n">
        <f aca="false">SUM(D45:D46)+D49</f>
        <v>-5.60083333333333</v>
      </c>
      <c r="E50" s="11" t="n">
        <f aca="false">SUM(E45:E46)+E49</f>
        <v>-5.58291666666667</v>
      </c>
      <c r="F50" s="11" t="n">
        <f aca="false">SUM(F45:F46)+F49</f>
        <v>-5.565</v>
      </c>
      <c r="G50" s="11" t="n">
        <f aca="false">SUM(G45:G46)+G49</f>
        <v>-5.54708333333334</v>
      </c>
      <c r="H50" s="11" t="n">
        <f aca="false">SUM(H45:H46)+H49</f>
        <v>-5.52916666666667</v>
      </c>
      <c r="I50" s="11" t="n">
        <f aca="false">SUM(I45:I46)+I49</f>
        <v>-5.51125</v>
      </c>
      <c r="J50" s="11" t="n">
        <f aca="false">SUM(J45:J46)+J49</f>
        <v>-5.49333333333333</v>
      </c>
      <c r="K50" s="11" t="n">
        <f aca="false">SUM(K45:K46)+K49</f>
        <v>-5.47541666666667</v>
      </c>
      <c r="L50" s="11" t="n">
        <f aca="false">SUM(L45:L46)+L49</f>
        <v>-5.4575</v>
      </c>
      <c r="M50" s="11" t="n">
        <f aca="false">SUM(M45:M46)+M49</f>
        <v>-5.43958333333333</v>
      </c>
      <c r="N50" s="11" t="n">
        <f aca="false">SUM(N45:N46)+N49</f>
        <v>-5.42166666666667</v>
      </c>
      <c r="O50" s="11" t="n">
        <f aca="false">SUM(O45:O46)+O49</f>
        <v>-1.77825</v>
      </c>
      <c r="P50" s="11" t="n">
        <f aca="false">SUM(P45:P46)+P49</f>
        <v>-1.7765</v>
      </c>
      <c r="Q50" s="11" t="n">
        <f aca="false">SUM(Q45:Q46)+Q49</f>
        <v>-1.77475</v>
      </c>
      <c r="R50" s="11" t="n">
        <f aca="false">SUM(R45:R46)+R49</f>
        <v>-1.773</v>
      </c>
      <c r="S50" s="11" t="n">
        <f aca="false">SUM(S45:S46)+S49</f>
        <v>-1.77125</v>
      </c>
      <c r="T50" s="11" t="n">
        <f aca="false">SUM(T45:T46)+T49</f>
        <v>-1.7695</v>
      </c>
      <c r="U50" s="11" t="n">
        <f aca="false">SUM(U45:U46)+U49</f>
        <v>-1.76775</v>
      </c>
      <c r="V50" s="11" t="n">
        <f aca="false">SUM(V45:V46)+V49</f>
        <v>-1.766</v>
      </c>
      <c r="W50" s="11" t="n">
        <f aca="false">SUM(W45:W46)+W49</f>
        <v>-1.76425</v>
      </c>
      <c r="X50" s="11" t="n">
        <f aca="false">SUM(X45:X46)+X49</f>
        <v>-1.7625</v>
      </c>
      <c r="Y50" s="11" t="n">
        <f aca="false">SUM(Y45:Y46)+Y49</f>
        <v>-1.76075</v>
      </c>
      <c r="Z50" s="11" t="n">
        <f aca="false">SUM(Z45:Z46)+Z49</f>
        <v>-1.759</v>
      </c>
      <c r="AA50" s="11" t="n">
        <f aca="false">SUM(AA45:AA46)+AA49</f>
        <v>-1.75725</v>
      </c>
      <c r="AB50" s="11" t="n">
        <f aca="false">SUM(AB45:AB46)+AB49</f>
        <v>-1.7555</v>
      </c>
      <c r="AC50" s="11" t="n">
        <f aca="false">SUM(AC45:AC46)+AC49</f>
        <v>-1.75375</v>
      </c>
      <c r="AD50" s="11" t="n">
        <f aca="false">SUM(AD45:AD46)+AD49</f>
        <v>-1.752</v>
      </c>
      <c r="AE50" s="11" t="n">
        <f aca="false">SUM(AE45:AE46)+AE49</f>
        <v>-1.75025</v>
      </c>
      <c r="AF50" s="11" t="n">
        <f aca="false">SUM(AF45:AF46)+AF49</f>
        <v>-1.7485</v>
      </c>
      <c r="AG50" s="11" t="n">
        <f aca="false">SUM(AG45:AG46)+AG49</f>
        <v>-1.74675</v>
      </c>
      <c r="AH50" s="11" t="n">
        <f aca="false">SUM(AH45:AH46)+AH49</f>
        <v>-1.745</v>
      </c>
      <c r="AI50" s="11" t="n">
        <f aca="false">SUM(AI45:AI46)+AI49</f>
        <v>-1.74325</v>
      </c>
      <c r="AJ50" s="11" t="n">
        <f aca="false">SUM(AJ45:AJ46)+AJ49</f>
        <v>-1.7415</v>
      </c>
      <c r="AK50" s="11" t="n">
        <f aca="false">SUM(AK45:AK46)+AK49</f>
        <v>-1.73975</v>
      </c>
      <c r="AL50" s="11" t="n">
        <f aca="false">SUM(AL45:AL46)+AL49</f>
        <v>-1.738</v>
      </c>
      <c r="AM50" s="11" t="n">
        <f aca="false">SUM(AM45:AM46)+AM49</f>
        <v>-1.73625</v>
      </c>
      <c r="AN50" s="11" t="n">
        <f aca="false">SUM(AN45:AN46)+AN49</f>
        <v>-1.7345</v>
      </c>
      <c r="AO50" s="11" t="n">
        <f aca="false">SUM(AO45:AO46)+AO49</f>
        <v>-1.73275</v>
      </c>
      <c r="AP50" s="11" t="n">
        <f aca="false">SUM(AP45:AP46)+AP49</f>
        <v>-1.731</v>
      </c>
      <c r="AQ50" s="11" t="n">
        <f aca="false">SUM(AQ45:AQ46)+AQ49</f>
        <v>-1.72925</v>
      </c>
      <c r="AR50" s="11" t="n">
        <f aca="false">SUM(AR45:AR46)+AR49</f>
        <v>-1.7275</v>
      </c>
      <c r="AS50" s="11" t="n">
        <f aca="false">SUM(AS45:AS46)+AS49</f>
        <v>-1.72575</v>
      </c>
      <c r="AT50" s="11" t="n">
        <f aca="false">SUM(AT45:AT46)+AT49</f>
        <v>-1.724</v>
      </c>
      <c r="AU50" s="11" t="n">
        <f aca="false">SUM(AU45:AU46)+AU49</f>
        <v>-1.72225</v>
      </c>
      <c r="AV50" s="11" t="n">
        <f aca="false">SUM(AV45:AV46)+AV49</f>
        <v>-1.7205</v>
      </c>
      <c r="AW50" s="11" t="n">
        <f aca="false">SUM(AW45:AW46)+AW49</f>
        <v>-1.71875</v>
      </c>
      <c r="AX50" s="11" t="n">
        <f aca="false">SUM(AX45:AX46)+AX49</f>
        <v>-1.717</v>
      </c>
      <c r="AY50" s="11" t="n">
        <f aca="false">SUM(AY45:AY46)+AY49</f>
        <v>-1.71525</v>
      </c>
      <c r="AZ50" s="11" t="n">
        <f aca="false">SUM(AZ45:AZ46)+AZ49</f>
        <v>-1.7135</v>
      </c>
      <c r="BA50" s="11" t="n">
        <f aca="false">SUM(BA45:BA46)+BA49</f>
        <v>-1.71175</v>
      </c>
      <c r="BB50" s="11" t="n">
        <f aca="false">SUM(BB45:BB46)+BB49</f>
        <v>-1.71</v>
      </c>
      <c r="BC50" s="11" t="n">
        <f aca="false">SUM(BC45:BC46)+BC49</f>
        <v>-1.70825</v>
      </c>
      <c r="BD50" s="11" t="n">
        <f aca="false">SUM(BD45:BD46)+BD49</f>
        <v>-1.7065</v>
      </c>
      <c r="BE50" s="11" t="n">
        <f aca="false">SUM(BE45:BE46)+BE49</f>
        <v>-1.70475</v>
      </c>
      <c r="BF50" s="11" t="n">
        <f aca="false">SUM(BF45:BF46)+BF49</f>
        <v>-1.703</v>
      </c>
      <c r="BG50" s="11" t="n">
        <f aca="false">SUM(BG45:BG46)+BG49</f>
        <v>-1.70125</v>
      </c>
      <c r="BH50" s="11" t="n">
        <f aca="false">SUM(BH45:BH46)+BH49</f>
        <v>-1.6995</v>
      </c>
      <c r="BI50" s="11" t="n">
        <f aca="false">SUM(BI45:BI46)+BI49</f>
        <v>-1.69775</v>
      </c>
      <c r="BJ50" s="11" t="n">
        <f aca="false">SUM(BJ45:BJ46)+BJ49</f>
        <v>-1.696</v>
      </c>
      <c r="BK50" s="11" t="n">
        <f aca="false">SUM(BK45:BK46)+BK49</f>
        <v>-1.71216666666667</v>
      </c>
      <c r="BL50" s="11" t="n">
        <f aca="false">SUM(BL45:BL46)+BL49</f>
        <v>-1.72833333333333</v>
      </c>
      <c r="BM50" s="11" t="n">
        <f aca="false">SUM(BM45:BM46)+BM49</f>
        <v>-1.7445</v>
      </c>
      <c r="BN50" s="11" t="n">
        <f aca="false">SUM(BN45:BN46)+BN49</f>
        <v>-1.76066666666667</v>
      </c>
      <c r="BO50" s="11" t="n">
        <f aca="false">SUM(BO45:BO46)+BO49</f>
        <v>-1.77683333333334</v>
      </c>
      <c r="BP50" s="11" t="n">
        <f aca="false">SUM(BP45:BP46)+BP49</f>
        <v>-1.793</v>
      </c>
      <c r="BQ50" s="11" t="n">
        <f aca="false">SUM(BQ45:BQ46)+BQ49</f>
        <v>-1.80916666666667</v>
      </c>
      <c r="BR50" s="11" t="n">
        <f aca="false">SUM(BR45:BR46)+BR49</f>
        <v>-1.82533333333333</v>
      </c>
      <c r="BS50" s="11" t="n">
        <f aca="false">SUM(BS45:BS46)+BS49</f>
        <v>-1.8415</v>
      </c>
      <c r="BT50" s="11" t="n">
        <f aca="false">SUM(BT45:BT46)+BT49</f>
        <v>-1.85766666666667</v>
      </c>
      <c r="BU50" s="11" t="n">
        <f aca="false">SUM(BU45:BU46)+BU49</f>
        <v>-1.87383333333334</v>
      </c>
      <c r="BV50" s="11" t="n">
        <f aca="false">SUM(BV45:BV46)+BV49</f>
        <v>-1.89</v>
      </c>
      <c r="BW50" s="11" t="n">
        <f aca="false">SUM(BW45:BW46)+BW49</f>
        <v>-1.89</v>
      </c>
      <c r="BX50" s="11" t="n">
        <f aca="false">SUM(BX45:BX46)+BX49</f>
        <v>-1.89</v>
      </c>
      <c r="BY50" s="11" t="n">
        <f aca="false">SUM(BY45:BY46)+BY49</f>
        <v>-1.89</v>
      </c>
      <c r="BZ50" s="11" t="n">
        <f aca="false">SUM(BZ45:BZ46)+BZ49</f>
        <v>-1.89</v>
      </c>
      <c r="CA50" s="11" t="n">
        <f aca="false">SUM(CA45:CA46)+CA49</f>
        <v>-1.89</v>
      </c>
      <c r="CB50" s="11" t="n">
        <f aca="false">SUM(CB45:CB46)+CB49</f>
        <v>-1.89</v>
      </c>
      <c r="CC50" s="11" t="n">
        <f aca="false">SUM(CC45:CC46)+CC49</f>
        <v>-1.89</v>
      </c>
      <c r="CD50" s="11" t="n">
        <f aca="false">SUM(CD45:CD46)+CD49</f>
        <v>-1.89</v>
      </c>
      <c r="CE50" s="11" t="n">
        <f aca="false">SUM(CE45:CE46)+CE49</f>
        <v>-1.89</v>
      </c>
      <c r="CF50" s="11" t="n">
        <f aca="false">SUM(CF45:CF46)+CF49</f>
        <v>-1.89</v>
      </c>
      <c r="CG50" s="11" t="n">
        <f aca="false">SUM(CG45:CG46)+CG49</f>
        <v>-1.89</v>
      </c>
      <c r="CH50" s="11" t="n">
        <f aca="false">SUM(CH45:CH46)+CH49</f>
        <v>-1.89</v>
      </c>
      <c r="CI50" s="11" t="n">
        <f aca="false">SUM(CI45:CI46)+CI49</f>
        <v>-1.89</v>
      </c>
      <c r="CJ50" s="11" t="n">
        <f aca="false">SUM(CJ45:CJ46)+CJ49</f>
        <v>-1.89</v>
      </c>
      <c r="CK50" s="11" t="n">
        <f aca="false">SUM(CK45:CK46)+CK49</f>
        <v>-1.89</v>
      </c>
      <c r="CL50" s="11" t="n">
        <f aca="false">SUM(CL45:CL46)+CL49</f>
        <v>-1.89</v>
      </c>
      <c r="CM50" s="11" t="n">
        <f aca="false">SUM(CM45:CM46)+CM49</f>
        <v>-1.89</v>
      </c>
      <c r="CN50" s="11" t="n">
        <f aca="false">SUM(CN45:CN46)+CN49</f>
        <v>-1.89</v>
      </c>
      <c r="CO50" s="11" t="n">
        <f aca="false">SUM(CO45:CO46)+CO49</f>
        <v>-1.89</v>
      </c>
      <c r="CP50" s="11" t="n">
        <f aca="false">SUM(CP45:CP46)+CP49</f>
        <v>-1.89</v>
      </c>
      <c r="CQ50" s="11" t="n">
        <f aca="false">SUM(CQ45:CQ46)+CQ49</f>
        <v>-1.89</v>
      </c>
      <c r="CR50" s="11" t="n">
        <f aca="false">SUM(CR45:CR46)+CR49</f>
        <v>-1.89</v>
      </c>
      <c r="CS50" s="11" t="n">
        <f aca="false">SUM(CS45:CS46)+CS49</f>
        <v>-1.89</v>
      </c>
      <c r="CT50" s="11" t="n">
        <f aca="false">SUM(CT45:CT46)+CT49</f>
        <v>-1.89</v>
      </c>
      <c r="CU50" s="11" t="n">
        <f aca="false">SUM(CU45:CU46)+CU49</f>
        <v>-1.89</v>
      </c>
      <c r="CV50" s="11" t="n">
        <f aca="false">SUM(CV45:CV46)+CV49</f>
        <v>-1.89</v>
      </c>
      <c r="CW50" s="11" t="n">
        <f aca="false">SUM(CW45:CW46)+CW49</f>
        <v>-1.89</v>
      </c>
      <c r="CX50" s="11" t="n">
        <f aca="false">SUM(CX45:CX46)+CX49</f>
        <v>-1.89</v>
      </c>
      <c r="CY50" s="11" t="n">
        <f aca="false">SUM(CY45:CY46)+CY49</f>
        <v>-1.89</v>
      </c>
      <c r="CZ50" s="11" t="n">
        <f aca="false">SUM(CZ45:CZ46)+CZ49</f>
        <v>-1.89</v>
      </c>
      <c r="DA50" s="11" t="n">
        <f aca="false">SUM(DA45:DA46)+DA49</f>
        <v>-1.89</v>
      </c>
      <c r="DB50" s="11" t="n">
        <f aca="false">SUM(DB45:DB46)+DB49</f>
        <v>-1.89</v>
      </c>
      <c r="DC50" s="11" t="n">
        <f aca="false">SUM(DC45:DC46)+DC49</f>
        <v>-1.89</v>
      </c>
      <c r="DD50" s="11" t="n">
        <f aca="false">SUM(DD45:DD46)+DD49</f>
        <v>-1.89</v>
      </c>
      <c r="DE50" s="11" t="n">
        <f aca="false">SUM(DE45:DE46)+DE49</f>
        <v>-1.89</v>
      </c>
      <c r="DF50" s="11" t="n">
        <f aca="false">SUM(DF45:DF46)+DF49</f>
        <v>-1.89</v>
      </c>
      <c r="DG50" s="11" t="n">
        <f aca="false">SUM(DG45:DG46)+DG49</f>
        <v>-1.89</v>
      </c>
      <c r="DH50" s="11" t="n">
        <f aca="false">SUM(DH45:DH46)+DH49</f>
        <v>-1.89</v>
      </c>
      <c r="DI50" s="11" t="n">
        <f aca="false">SUM(DI45:DI46)+DI49</f>
        <v>-1.89</v>
      </c>
      <c r="DJ50" s="11" t="n">
        <f aca="false">SUM(DJ45:DJ46)+DJ49</f>
        <v>-1.89</v>
      </c>
      <c r="DK50" s="11" t="n">
        <f aca="false">SUM(DK45:DK46)+DK49</f>
        <v>-1.89</v>
      </c>
      <c r="DL50" s="11" t="n">
        <f aca="false">SUM(DL45:DL46)+DL49</f>
        <v>-1.89</v>
      </c>
      <c r="DM50" s="11" t="n">
        <f aca="false">SUM(DM45:DM46)+DM49</f>
        <v>-1.89</v>
      </c>
      <c r="DN50" s="11" t="n">
        <f aca="false">SUM(DN45:DN46)+DN49</f>
        <v>-1.89</v>
      </c>
      <c r="DO50" s="11" t="n">
        <f aca="false">SUM(DO45:DO46)+DO49</f>
        <v>-1.89</v>
      </c>
      <c r="DP50" s="11" t="n">
        <f aca="false">SUM(DP45:DP46)+DP49</f>
        <v>-1.89</v>
      </c>
      <c r="DQ50" s="11" t="n">
        <f aca="false">SUM(DQ45:DQ46)+DQ49</f>
        <v>-1.89</v>
      </c>
      <c r="DR50" s="11" t="n">
        <f aca="false">SUM(DR45:DR46)+DR49</f>
        <v>-1.89</v>
      </c>
    </row>
    <row r="51" customFormat="false" ht="15" hidden="false" customHeight="false" outlineLevel="0" collapsed="false">
      <c r="A51" s="9" t="s">
        <v>219</v>
      </c>
      <c r="B51" s="10" t="n">
        <f aca="false">Inputs!$B$34</f>
        <v>0</v>
      </c>
      <c r="C51" s="11" t="n">
        <f aca="false">B52</f>
        <v>50</v>
      </c>
      <c r="D51" s="11" t="n">
        <f aca="false">C52</f>
        <v>44.38125</v>
      </c>
      <c r="E51" s="11" t="n">
        <f aca="false">D52</f>
        <v>38.7804166666667</v>
      </c>
      <c r="F51" s="11" t="n">
        <f aca="false">E52</f>
        <v>33.1975</v>
      </c>
      <c r="G51" s="11" t="n">
        <f aca="false">F52</f>
        <v>27.6325</v>
      </c>
      <c r="H51" s="11" t="n">
        <f aca="false">G52</f>
        <v>22.0854166666667</v>
      </c>
      <c r="I51" s="11" t="n">
        <f aca="false">H52</f>
        <v>16.55625</v>
      </c>
      <c r="J51" s="11" t="n">
        <f aca="false">I52</f>
        <v>11.045</v>
      </c>
      <c r="K51" s="11" t="n">
        <f aca="false">J52</f>
        <v>5.55166666666666</v>
      </c>
      <c r="L51" s="11" t="n">
        <f aca="false">K52</f>
        <v>0.0762499999999893</v>
      </c>
      <c r="M51" s="11" t="n">
        <f aca="false">L52</f>
        <v>-5.38125000000001</v>
      </c>
      <c r="N51" s="11" t="n">
        <f aca="false">M52</f>
        <v>-10.8208333333333</v>
      </c>
      <c r="O51" s="11" t="n">
        <f aca="false">N52</f>
        <v>-16.2425</v>
      </c>
      <c r="P51" s="11" t="n">
        <f aca="false">O52</f>
        <v>-18.02075</v>
      </c>
      <c r="Q51" s="11" t="n">
        <f aca="false">P52</f>
        <v>-19.79725</v>
      </c>
      <c r="R51" s="11" t="n">
        <f aca="false">Q52</f>
        <v>-21.572</v>
      </c>
      <c r="S51" s="11" t="n">
        <f aca="false">R52</f>
        <v>-23.345</v>
      </c>
      <c r="T51" s="11" t="n">
        <f aca="false">S52</f>
        <v>-25.11625</v>
      </c>
      <c r="U51" s="11" t="n">
        <f aca="false">T52</f>
        <v>-26.88575</v>
      </c>
      <c r="V51" s="11" t="n">
        <f aca="false">U52</f>
        <v>-28.6535</v>
      </c>
      <c r="W51" s="11" t="n">
        <f aca="false">V52</f>
        <v>-30.4195</v>
      </c>
      <c r="X51" s="11" t="n">
        <f aca="false">W52</f>
        <v>-32.18375</v>
      </c>
      <c r="Y51" s="11" t="n">
        <f aca="false">X52</f>
        <v>-33.94625</v>
      </c>
      <c r="Z51" s="11" t="n">
        <f aca="false">Y52</f>
        <v>-35.707</v>
      </c>
      <c r="AA51" s="11" t="n">
        <f aca="false">Z52</f>
        <v>-37.466</v>
      </c>
      <c r="AB51" s="11" t="n">
        <f aca="false">AA52</f>
        <v>-39.22325</v>
      </c>
      <c r="AC51" s="11" t="n">
        <f aca="false">AB52</f>
        <v>-40.97875</v>
      </c>
      <c r="AD51" s="11" t="n">
        <f aca="false">AC52</f>
        <v>-42.7325</v>
      </c>
      <c r="AE51" s="11" t="n">
        <f aca="false">AD52</f>
        <v>-44.4845</v>
      </c>
      <c r="AF51" s="11" t="n">
        <f aca="false">AE52</f>
        <v>-46.23475</v>
      </c>
      <c r="AG51" s="11" t="n">
        <f aca="false">AF52</f>
        <v>-47.98325</v>
      </c>
      <c r="AH51" s="11" t="n">
        <f aca="false">AG52</f>
        <v>-49.73</v>
      </c>
      <c r="AI51" s="11" t="n">
        <f aca="false">AH52</f>
        <v>-51.475</v>
      </c>
      <c r="AJ51" s="11" t="n">
        <f aca="false">AI52</f>
        <v>-53.21825</v>
      </c>
      <c r="AK51" s="11" t="n">
        <f aca="false">AJ52</f>
        <v>-54.95975</v>
      </c>
      <c r="AL51" s="11" t="n">
        <f aca="false">AK52</f>
        <v>-56.6995</v>
      </c>
      <c r="AM51" s="11" t="n">
        <f aca="false">AL52</f>
        <v>-58.4375</v>
      </c>
      <c r="AN51" s="11" t="n">
        <f aca="false">AM52</f>
        <v>-60.17375</v>
      </c>
      <c r="AO51" s="11" t="n">
        <f aca="false">AN52</f>
        <v>-61.90825</v>
      </c>
      <c r="AP51" s="11" t="n">
        <f aca="false">AO52</f>
        <v>-63.641</v>
      </c>
      <c r="AQ51" s="11" t="n">
        <f aca="false">AP52</f>
        <v>-65.372</v>
      </c>
      <c r="AR51" s="11" t="n">
        <f aca="false">AQ52</f>
        <v>-67.10125</v>
      </c>
      <c r="AS51" s="11" t="n">
        <f aca="false">AR52</f>
        <v>-68.82875</v>
      </c>
      <c r="AT51" s="11" t="n">
        <f aca="false">AS52</f>
        <v>-70.5545</v>
      </c>
      <c r="AU51" s="11" t="n">
        <f aca="false">AT52</f>
        <v>-72.2785</v>
      </c>
      <c r="AV51" s="11" t="n">
        <f aca="false">AU52</f>
        <v>-74.00075</v>
      </c>
      <c r="AW51" s="11" t="n">
        <f aca="false">AV52</f>
        <v>-75.72125</v>
      </c>
      <c r="AX51" s="11" t="n">
        <f aca="false">AW52</f>
        <v>-77.44</v>
      </c>
      <c r="AY51" s="11" t="n">
        <f aca="false">AX52</f>
        <v>-79.157</v>
      </c>
      <c r="AZ51" s="11" t="n">
        <f aca="false">AY52</f>
        <v>-80.87225</v>
      </c>
      <c r="BA51" s="11" t="n">
        <f aca="false">AZ52</f>
        <v>-82.58575</v>
      </c>
      <c r="BB51" s="11" t="n">
        <f aca="false">BA52</f>
        <v>-84.2975</v>
      </c>
      <c r="BC51" s="11" t="n">
        <f aca="false">BB52</f>
        <v>-86.0075</v>
      </c>
      <c r="BD51" s="11" t="n">
        <f aca="false">BC52</f>
        <v>-87.71575</v>
      </c>
      <c r="BE51" s="11" t="n">
        <f aca="false">BD52</f>
        <v>-89.42225</v>
      </c>
      <c r="BF51" s="11" t="n">
        <f aca="false">BE52</f>
        <v>-91.127</v>
      </c>
      <c r="BG51" s="11" t="n">
        <f aca="false">BF52</f>
        <v>-92.83</v>
      </c>
      <c r="BH51" s="11" t="n">
        <f aca="false">BG52</f>
        <v>-94.53125</v>
      </c>
      <c r="BI51" s="11" t="n">
        <f aca="false">BH52</f>
        <v>-96.23075</v>
      </c>
      <c r="BJ51" s="11" t="n">
        <f aca="false">BI52</f>
        <v>-97.9285</v>
      </c>
      <c r="BK51" s="11" t="n">
        <f aca="false">BJ52</f>
        <v>-99.6245</v>
      </c>
      <c r="BL51" s="11" t="n">
        <f aca="false">BK52</f>
        <v>-101.336666666667</v>
      </c>
      <c r="BM51" s="11" t="n">
        <f aca="false">BL52</f>
        <v>-103.065</v>
      </c>
      <c r="BN51" s="11" t="n">
        <f aca="false">BM52</f>
        <v>-104.8095</v>
      </c>
      <c r="BO51" s="11" t="n">
        <f aca="false">BN52</f>
        <v>-106.570166666667</v>
      </c>
      <c r="BP51" s="11" t="n">
        <f aca="false">BO52</f>
        <v>-108.347</v>
      </c>
      <c r="BQ51" s="11" t="n">
        <f aca="false">BP52</f>
        <v>-110.14</v>
      </c>
      <c r="BR51" s="11" t="n">
        <f aca="false">BQ52</f>
        <v>-111.949166666667</v>
      </c>
      <c r="BS51" s="11" t="n">
        <f aca="false">BR52</f>
        <v>-113.7745</v>
      </c>
      <c r="BT51" s="11" t="n">
        <f aca="false">BS52</f>
        <v>-115.616</v>
      </c>
      <c r="BU51" s="11" t="n">
        <f aca="false">BT52</f>
        <v>-117.473666666667</v>
      </c>
      <c r="BV51" s="11" t="n">
        <f aca="false">BU52</f>
        <v>-119.3475</v>
      </c>
      <c r="BW51" s="11" t="n">
        <f aca="false">BV52</f>
        <v>-121.2375</v>
      </c>
      <c r="BX51" s="11" t="n">
        <f aca="false">BW52</f>
        <v>-123.1275</v>
      </c>
      <c r="BY51" s="11" t="n">
        <f aca="false">BX52</f>
        <v>-125.0175</v>
      </c>
      <c r="BZ51" s="11" t="n">
        <f aca="false">BY52</f>
        <v>-126.9075</v>
      </c>
      <c r="CA51" s="11" t="n">
        <f aca="false">BZ52</f>
        <v>-128.7975</v>
      </c>
      <c r="CB51" s="11" t="n">
        <f aca="false">CA52</f>
        <v>-130.6875</v>
      </c>
      <c r="CC51" s="11" t="n">
        <f aca="false">CB52</f>
        <v>-132.5775</v>
      </c>
      <c r="CD51" s="11" t="n">
        <f aca="false">CC52</f>
        <v>-134.4675</v>
      </c>
      <c r="CE51" s="11" t="n">
        <f aca="false">CD52</f>
        <v>-136.3575</v>
      </c>
      <c r="CF51" s="11" t="n">
        <f aca="false">CE52</f>
        <v>-138.2475</v>
      </c>
      <c r="CG51" s="11" t="n">
        <f aca="false">CF52</f>
        <v>-140.1375</v>
      </c>
      <c r="CH51" s="11" t="n">
        <f aca="false">CG52</f>
        <v>-142.0275</v>
      </c>
      <c r="CI51" s="11" t="n">
        <f aca="false">CH52</f>
        <v>-143.9175</v>
      </c>
      <c r="CJ51" s="11" t="n">
        <f aca="false">CI52</f>
        <v>-145.8075</v>
      </c>
      <c r="CK51" s="11" t="n">
        <f aca="false">CJ52</f>
        <v>-147.6975</v>
      </c>
      <c r="CL51" s="11" t="n">
        <f aca="false">CK52</f>
        <v>-149.5875</v>
      </c>
      <c r="CM51" s="11" t="n">
        <f aca="false">CL52</f>
        <v>-151.4775</v>
      </c>
      <c r="CN51" s="11" t="n">
        <f aca="false">CM52</f>
        <v>-153.3675</v>
      </c>
      <c r="CO51" s="11" t="n">
        <f aca="false">CN52</f>
        <v>-155.2575</v>
      </c>
      <c r="CP51" s="11" t="n">
        <f aca="false">CO52</f>
        <v>-157.1475</v>
      </c>
      <c r="CQ51" s="11" t="n">
        <f aca="false">CP52</f>
        <v>-159.0375</v>
      </c>
      <c r="CR51" s="11" t="n">
        <f aca="false">CQ52</f>
        <v>-160.9275</v>
      </c>
      <c r="CS51" s="11" t="n">
        <f aca="false">CR52</f>
        <v>-162.8175</v>
      </c>
      <c r="CT51" s="11" t="n">
        <f aca="false">CS52</f>
        <v>-164.7075</v>
      </c>
      <c r="CU51" s="11" t="n">
        <f aca="false">CT52</f>
        <v>-166.5975</v>
      </c>
      <c r="CV51" s="11" t="n">
        <f aca="false">CU52</f>
        <v>-168.4875</v>
      </c>
      <c r="CW51" s="11" t="n">
        <f aca="false">CV52</f>
        <v>-170.3775</v>
      </c>
      <c r="CX51" s="11" t="n">
        <f aca="false">CW52</f>
        <v>-172.2675</v>
      </c>
      <c r="CY51" s="11" t="n">
        <f aca="false">CX52</f>
        <v>-174.1575</v>
      </c>
      <c r="CZ51" s="11" t="n">
        <f aca="false">CY52</f>
        <v>-176.0475</v>
      </c>
      <c r="DA51" s="11" t="n">
        <f aca="false">CZ52</f>
        <v>-177.9375</v>
      </c>
      <c r="DB51" s="11" t="n">
        <f aca="false">DA52</f>
        <v>-179.8275</v>
      </c>
      <c r="DC51" s="11" t="n">
        <f aca="false">DB52</f>
        <v>-181.7175</v>
      </c>
      <c r="DD51" s="11" t="n">
        <f aca="false">DC52</f>
        <v>-183.6075</v>
      </c>
      <c r="DE51" s="11" t="n">
        <f aca="false">DD52</f>
        <v>-185.4975</v>
      </c>
      <c r="DF51" s="11" t="n">
        <f aca="false">DE52</f>
        <v>-187.3875</v>
      </c>
      <c r="DG51" s="11" t="n">
        <f aca="false">DF52</f>
        <v>-189.2775</v>
      </c>
      <c r="DH51" s="11" t="n">
        <f aca="false">DG52</f>
        <v>-191.1675</v>
      </c>
      <c r="DI51" s="11" t="n">
        <f aca="false">DH52</f>
        <v>-193.0575</v>
      </c>
      <c r="DJ51" s="11" t="n">
        <f aca="false">DI52</f>
        <v>-194.9475</v>
      </c>
      <c r="DK51" s="11" t="n">
        <f aca="false">DJ52</f>
        <v>-196.8375</v>
      </c>
      <c r="DL51" s="11" t="n">
        <f aca="false">DK52</f>
        <v>-198.7275</v>
      </c>
      <c r="DM51" s="11" t="n">
        <f aca="false">DL52</f>
        <v>-200.6175</v>
      </c>
      <c r="DN51" s="11" t="n">
        <f aca="false">DM52</f>
        <v>-202.507499999999</v>
      </c>
      <c r="DO51" s="11" t="n">
        <f aca="false">DN52</f>
        <v>-204.397499999999</v>
      </c>
      <c r="DP51" s="11" t="n">
        <f aca="false">DO52</f>
        <v>-206.287499999999</v>
      </c>
      <c r="DQ51" s="11" t="n">
        <f aca="false">DP52</f>
        <v>-208.177499999999</v>
      </c>
      <c r="DR51" s="11" t="n">
        <f aca="false">DQ52</f>
        <v>-210.067499999999</v>
      </c>
    </row>
    <row r="52" customFormat="false" ht="15" hidden="false" customHeight="false" outlineLevel="0" collapsed="false">
      <c r="A52" s="12" t="s">
        <v>220</v>
      </c>
      <c r="B52" s="13" t="n">
        <f aca="false">B51+B50</f>
        <v>50</v>
      </c>
      <c r="C52" s="13" t="n">
        <f aca="false">C51+C50</f>
        <v>44.38125</v>
      </c>
      <c r="D52" s="13" t="n">
        <f aca="false">D51+D50</f>
        <v>38.7804166666667</v>
      </c>
      <c r="E52" s="13" t="n">
        <f aca="false">E51+E50</f>
        <v>33.1975</v>
      </c>
      <c r="F52" s="13" t="n">
        <f aca="false">F51+F50</f>
        <v>27.6325</v>
      </c>
      <c r="G52" s="13" t="n">
        <f aca="false">G51+G50</f>
        <v>22.0854166666667</v>
      </c>
      <c r="H52" s="13" t="n">
        <f aca="false">H51+H50</f>
        <v>16.55625</v>
      </c>
      <c r="I52" s="13" t="n">
        <f aca="false">I51+I50</f>
        <v>11.045</v>
      </c>
      <c r="J52" s="13" t="n">
        <f aca="false">J51+J50</f>
        <v>5.55166666666666</v>
      </c>
      <c r="K52" s="13" t="n">
        <f aca="false">K51+K50</f>
        <v>0.0762499999999893</v>
      </c>
      <c r="L52" s="13" t="n">
        <f aca="false">L51+L50</f>
        <v>-5.38125000000001</v>
      </c>
      <c r="M52" s="13" t="n">
        <f aca="false">M51+M50</f>
        <v>-10.8208333333333</v>
      </c>
      <c r="N52" s="13" t="n">
        <f aca="false">N51+N50</f>
        <v>-16.2425</v>
      </c>
      <c r="O52" s="13" t="n">
        <f aca="false">O51+O50</f>
        <v>-18.02075</v>
      </c>
      <c r="P52" s="13" t="n">
        <f aca="false">P51+P50</f>
        <v>-19.79725</v>
      </c>
      <c r="Q52" s="13" t="n">
        <f aca="false">Q51+Q50</f>
        <v>-21.572</v>
      </c>
      <c r="R52" s="13" t="n">
        <f aca="false">R51+R50</f>
        <v>-23.345</v>
      </c>
      <c r="S52" s="13" t="n">
        <f aca="false">S51+S50</f>
        <v>-25.11625</v>
      </c>
      <c r="T52" s="13" t="n">
        <f aca="false">T51+T50</f>
        <v>-26.88575</v>
      </c>
      <c r="U52" s="13" t="n">
        <f aca="false">U51+U50</f>
        <v>-28.6535</v>
      </c>
      <c r="V52" s="13" t="n">
        <f aca="false">V51+V50</f>
        <v>-30.4195</v>
      </c>
      <c r="W52" s="13" t="n">
        <f aca="false">W51+W50</f>
        <v>-32.18375</v>
      </c>
      <c r="X52" s="13" t="n">
        <f aca="false">X51+X50</f>
        <v>-33.94625</v>
      </c>
      <c r="Y52" s="13" t="n">
        <f aca="false">Y51+Y50</f>
        <v>-35.707</v>
      </c>
      <c r="Z52" s="13" t="n">
        <f aca="false">Z51+Z50</f>
        <v>-37.466</v>
      </c>
      <c r="AA52" s="13" t="n">
        <f aca="false">AA51+AA50</f>
        <v>-39.22325</v>
      </c>
      <c r="AB52" s="13" t="n">
        <f aca="false">AB51+AB50</f>
        <v>-40.97875</v>
      </c>
      <c r="AC52" s="13" t="n">
        <f aca="false">AC51+AC50</f>
        <v>-42.7325</v>
      </c>
      <c r="AD52" s="13" t="n">
        <f aca="false">AD51+AD50</f>
        <v>-44.4845</v>
      </c>
      <c r="AE52" s="13" t="n">
        <f aca="false">AE51+AE50</f>
        <v>-46.23475</v>
      </c>
      <c r="AF52" s="13" t="n">
        <f aca="false">AF51+AF50</f>
        <v>-47.98325</v>
      </c>
      <c r="AG52" s="13" t="n">
        <f aca="false">AG51+AG50</f>
        <v>-49.73</v>
      </c>
      <c r="AH52" s="13" t="n">
        <f aca="false">AH51+AH50</f>
        <v>-51.475</v>
      </c>
      <c r="AI52" s="13" t="n">
        <f aca="false">AI51+AI50</f>
        <v>-53.21825</v>
      </c>
      <c r="AJ52" s="13" t="n">
        <f aca="false">AJ51+AJ50</f>
        <v>-54.95975</v>
      </c>
      <c r="AK52" s="13" t="n">
        <f aca="false">AK51+AK50</f>
        <v>-56.6995</v>
      </c>
      <c r="AL52" s="13" t="n">
        <f aca="false">AL51+AL50</f>
        <v>-58.4375</v>
      </c>
      <c r="AM52" s="13" t="n">
        <f aca="false">AM51+AM50</f>
        <v>-60.17375</v>
      </c>
      <c r="AN52" s="13" t="n">
        <f aca="false">AN51+AN50</f>
        <v>-61.90825</v>
      </c>
      <c r="AO52" s="13" t="n">
        <f aca="false">AO51+AO50</f>
        <v>-63.641</v>
      </c>
      <c r="AP52" s="13" t="n">
        <f aca="false">AP51+AP50</f>
        <v>-65.372</v>
      </c>
      <c r="AQ52" s="13" t="n">
        <f aca="false">AQ51+AQ50</f>
        <v>-67.10125</v>
      </c>
      <c r="AR52" s="13" t="n">
        <f aca="false">AR51+AR50</f>
        <v>-68.82875</v>
      </c>
      <c r="AS52" s="13" t="n">
        <f aca="false">AS51+AS50</f>
        <v>-70.5545</v>
      </c>
      <c r="AT52" s="13" t="n">
        <f aca="false">AT51+AT50</f>
        <v>-72.2785</v>
      </c>
      <c r="AU52" s="13" t="n">
        <f aca="false">AU51+AU50</f>
        <v>-74.00075</v>
      </c>
      <c r="AV52" s="13" t="n">
        <f aca="false">AV51+AV50</f>
        <v>-75.72125</v>
      </c>
      <c r="AW52" s="13" t="n">
        <f aca="false">AW51+AW50</f>
        <v>-77.44</v>
      </c>
      <c r="AX52" s="13" t="n">
        <f aca="false">AX51+AX50</f>
        <v>-79.157</v>
      </c>
      <c r="AY52" s="13" t="n">
        <f aca="false">AY51+AY50</f>
        <v>-80.87225</v>
      </c>
      <c r="AZ52" s="13" t="n">
        <f aca="false">AZ51+AZ50</f>
        <v>-82.58575</v>
      </c>
      <c r="BA52" s="13" t="n">
        <f aca="false">BA51+BA50</f>
        <v>-84.2975</v>
      </c>
      <c r="BB52" s="13" t="n">
        <f aca="false">BB51+BB50</f>
        <v>-86.0075</v>
      </c>
      <c r="BC52" s="13" t="n">
        <f aca="false">BC51+BC50</f>
        <v>-87.71575</v>
      </c>
      <c r="BD52" s="13" t="n">
        <f aca="false">BD51+BD50</f>
        <v>-89.42225</v>
      </c>
      <c r="BE52" s="13" t="n">
        <f aca="false">BE51+BE50</f>
        <v>-91.127</v>
      </c>
      <c r="BF52" s="13" t="n">
        <f aca="false">BF51+BF50</f>
        <v>-92.83</v>
      </c>
      <c r="BG52" s="13" t="n">
        <f aca="false">BG51+BG50</f>
        <v>-94.53125</v>
      </c>
      <c r="BH52" s="13" t="n">
        <f aca="false">BH51+BH50</f>
        <v>-96.23075</v>
      </c>
      <c r="BI52" s="13" t="n">
        <f aca="false">BI51+BI50</f>
        <v>-97.9285</v>
      </c>
      <c r="BJ52" s="13" t="n">
        <f aca="false">BJ51+BJ50</f>
        <v>-99.6245</v>
      </c>
      <c r="BK52" s="13" t="n">
        <f aca="false">BK51+BK50</f>
        <v>-101.336666666667</v>
      </c>
      <c r="BL52" s="13" t="n">
        <f aca="false">BL51+BL50</f>
        <v>-103.065</v>
      </c>
      <c r="BM52" s="13" t="n">
        <f aca="false">BM51+BM50</f>
        <v>-104.8095</v>
      </c>
      <c r="BN52" s="13" t="n">
        <f aca="false">BN51+BN50</f>
        <v>-106.570166666667</v>
      </c>
      <c r="BO52" s="13" t="n">
        <f aca="false">BO51+BO50</f>
        <v>-108.347</v>
      </c>
      <c r="BP52" s="13" t="n">
        <f aca="false">BP51+BP50</f>
        <v>-110.14</v>
      </c>
      <c r="BQ52" s="13" t="n">
        <f aca="false">BQ51+BQ50</f>
        <v>-111.949166666667</v>
      </c>
      <c r="BR52" s="13" t="n">
        <f aca="false">BR51+BR50</f>
        <v>-113.7745</v>
      </c>
      <c r="BS52" s="13" t="n">
        <f aca="false">BS51+BS50</f>
        <v>-115.616</v>
      </c>
      <c r="BT52" s="13" t="n">
        <f aca="false">BT51+BT50</f>
        <v>-117.473666666667</v>
      </c>
      <c r="BU52" s="13" t="n">
        <f aca="false">BU51+BU50</f>
        <v>-119.3475</v>
      </c>
      <c r="BV52" s="13" t="n">
        <f aca="false">BV51+BV50</f>
        <v>-121.2375</v>
      </c>
      <c r="BW52" s="13" t="n">
        <f aca="false">BW51+BW50</f>
        <v>-123.1275</v>
      </c>
      <c r="BX52" s="13" t="n">
        <f aca="false">BX51+BX50</f>
        <v>-125.0175</v>
      </c>
      <c r="BY52" s="13" t="n">
        <f aca="false">BY51+BY50</f>
        <v>-126.9075</v>
      </c>
      <c r="BZ52" s="13" t="n">
        <f aca="false">BZ51+BZ50</f>
        <v>-128.7975</v>
      </c>
      <c r="CA52" s="13" t="n">
        <f aca="false">CA51+CA50</f>
        <v>-130.6875</v>
      </c>
      <c r="CB52" s="13" t="n">
        <f aca="false">CB51+CB50</f>
        <v>-132.5775</v>
      </c>
      <c r="CC52" s="13" t="n">
        <f aca="false">CC51+CC50</f>
        <v>-134.4675</v>
      </c>
      <c r="CD52" s="13" t="n">
        <f aca="false">CD51+CD50</f>
        <v>-136.3575</v>
      </c>
      <c r="CE52" s="13" t="n">
        <f aca="false">CE51+CE50</f>
        <v>-138.2475</v>
      </c>
      <c r="CF52" s="13" t="n">
        <f aca="false">CF51+CF50</f>
        <v>-140.1375</v>
      </c>
      <c r="CG52" s="13" t="n">
        <f aca="false">CG51+CG50</f>
        <v>-142.0275</v>
      </c>
      <c r="CH52" s="13" t="n">
        <f aca="false">CH51+CH50</f>
        <v>-143.9175</v>
      </c>
      <c r="CI52" s="13" t="n">
        <f aca="false">CI51+CI50</f>
        <v>-145.8075</v>
      </c>
      <c r="CJ52" s="13" t="n">
        <f aca="false">CJ51+CJ50</f>
        <v>-147.6975</v>
      </c>
      <c r="CK52" s="13" t="n">
        <f aca="false">CK51+CK50</f>
        <v>-149.5875</v>
      </c>
      <c r="CL52" s="13" t="n">
        <f aca="false">CL51+CL50</f>
        <v>-151.4775</v>
      </c>
      <c r="CM52" s="13" t="n">
        <f aca="false">CM51+CM50</f>
        <v>-153.3675</v>
      </c>
      <c r="CN52" s="13" t="n">
        <f aca="false">CN51+CN50</f>
        <v>-155.2575</v>
      </c>
      <c r="CO52" s="13" t="n">
        <f aca="false">CO51+CO50</f>
        <v>-157.1475</v>
      </c>
      <c r="CP52" s="13" t="n">
        <f aca="false">CP51+CP50</f>
        <v>-159.0375</v>
      </c>
      <c r="CQ52" s="13" t="n">
        <f aca="false">CQ51+CQ50</f>
        <v>-160.9275</v>
      </c>
      <c r="CR52" s="13" t="n">
        <f aca="false">CR51+CR50</f>
        <v>-162.8175</v>
      </c>
      <c r="CS52" s="13" t="n">
        <f aca="false">CS51+CS50</f>
        <v>-164.7075</v>
      </c>
      <c r="CT52" s="13" t="n">
        <f aca="false">CT51+CT50</f>
        <v>-166.5975</v>
      </c>
      <c r="CU52" s="13" t="n">
        <f aca="false">CU51+CU50</f>
        <v>-168.4875</v>
      </c>
      <c r="CV52" s="13" t="n">
        <f aca="false">CV51+CV50</f>
        <v>-170.3775</v>
      </c>
      <c r="CW52" s="13" t="n">
        <f aca="false">CW51+CW50</f>
        <v>-172.2675</v>
      </c>
      <c r="CX52" s="13" t="n">
        <f aca="false">CX51+CX50</f>
        <v>-174.1575</v>
      </c>
      <c r="CY52" s="13" t="n">
        <f aca="false">CY51+CY50</f>
        <v>-176.0475</v>
      </c>
      <c r="CZ52" s="13" t="n">
        <f aca="false">CZ51+CZ50</f>
        <v>-177.9375</v>
      </c>
      <c r="DA52" s="13" t="n">
        <f aca="false">DA51+DA50</f>
        <v>-179.8275</v>
      </c>
      <c r="DB52" s="13" t="n">
        <f aca="false">DB51+DB50</f>
        <v>-181.7175</v>
      </c>
      <c r="DC52" s="13" t="n">
        <f aca="false">DC51+DC50</f>
        <v>-183.6075</v>
      </c>
      <c r="DD52" s="13" t="n">
        <f aca="false">DD51+DD50</f>
        <v>-185.4975</v>
      </c>
      <c r="DE52" s="13" t="n">
        <f aca="false">DE51+DE50</f>
        <v>-187.3875</v>
      </c>
      <c r="DF52" s="13" t="n">
        <f aca="false">DF51+DF50</f>
        <v>-189.2775</v>
      </c>
      <c r="DG52" s="13" t="n">
        <f aca="false">DG51+DG50</f>
        <v>-191.1675</v>
      </c>
      <c r="DH52" s="13" t="n">
        <f aca="false">DH51+DH50</f>
        <v>-193.0575</v>
      </c>
      <c r="DI52" s="13" t="n">
        <f aca="false">DI51+DI50</f>
        <v>-194.9475</v>
      </c>
      <c r="DJ52" s="13" t="n">
        <f aca="false">DJ51+DJ50</f>
        <v>-196.8375</v>
      </c>
      <c r="DK52" s="13" t="n">
        <f aca="false">DK51+DK50</f>
        <v>-198.7275</v>
      </c>
      <c r="DL52" s="13" t="n">
        <f aca="false">DL51+DL50</f>
        <v>-200.6175</v>
      </c>
      <c r="DM52" s="13" t="n">
        <f aca="false">DM51+DM50</f>
        <v>-202.507499999999</v>
      </c>
      <c r="DN52" s="13" t="n">
        <f aca="false">DN51+DN50</f>
        <v>-204.397499999999</v>
      </c>
      <c r="DO52" s="13" t="n">
        <f aca="false">DO51+DO50</f>
        <v>-206.287499999999</v>
      </c>
      <c r="DP52" s="13" t="n">
        <f aca="false">DP51+DP50</f>
        <v>-208.177499999999</v>
      </c>
      <c r="DQ52" s="13" t="n">
        <f aca="false">DQ51+DQ50</f>
        <v>-210.067499999999</v>
      </c>
      <c r="DR52" s="13" t="n">
        <f aca="false">DR51+DR50</f>
        <v>-211.957499999999</v>
      </c>
    </row>
    <row r="53" customFormat="false" ht="15" hidden="false" customHeight="false" outlineLevel="0" collapsed="false">
      <c r="A53" s="12" t="s">
        <v>221</v>
      </c>
      <c r="B53" s="14" t="n">
        <f aca="false">MAX(Inputs!$B$34,-B52)</f>
        <v>0</v>
      </c>
      <c r="C53" s="14" t="n">
        <f aca="false">MAX(Inputs!$B$34,-C52)</f>
        <v>0</v>
      </c>
      <c r="D53" s="14" t="n">
        <f aca="false">MAX(Inputs!$B$34,-D52)</f>
        <v>0</v>
      </c>
      <c r="E53" s="14" t="n">
        <f aca="false">MAX(Inputs!$B$34,-E52)</f>
        <v>0</v>
      </c>
      <c r="F53" s="14" t="n">
        <f aca="false">MAX(Inputs!$B$34,-F52)</f>
        <v>0</v>
      </c>
      <c r="G53" s="14" t="n">
        <f aca="false">MAX(Inputs!$B$34,-G52)</f>
        <v>0</v>
      </c>
      <c r="H53" s="14" t="n">
        <f aca="false">MAX(Inputs!$B$34,-H52)</f>
        <v>0</v>
      </c>
      <c r="I53" s="14" t="n">
        <f aca="false">MAX(Inputs!$B$34,-I52)</f>
        <v>0</v>
      </c>
      <c r="J53" s="14" t="n">
        <f aca="false">MAX(Inputs!$B$34,-J52)</f>
        <v>0</v>
      </c>
      <c r="K53" s="14" t="n">
        <f aca="false">MAX(Inputs!$B$34,-K52)</f>
        <v>0</v>
      </c>
      <c r="L53" s="14" t="n">
        <f aca="false">MAX(Inputs!$B$34,-L52)</f>
        <v>5.38125000000001</v>
      </c>
      <c r="M53" s="14" t="n">
        <f aca="false">MAX(Inputs!$B$34,-M52)</f>
        <v>10.8208333333333</v>
      </c>
      <c r="N53" s="14" t="n">
        <f aca="false">MAX(Inputs!$B$34,-N52)</f>
        <v>16.2425</v>
      </c>
      <c r="O53" s="14" t="n">
        <f aca="false">MAX(Inputs!$B$34,-O52)</f>
        <v>18.02075</v>
      </c>
      <c r="P53" s="14" t="n">
        <f aca="false">MAX(Inputs!$B$34,-P52)</f>
        <v>19.79725</v>
      </c>
      <c r="Q53" s="14" t="n">
        <f aca="false">MAX(Inputs!$B$34,-Q52)</f>
        <v>21.572</v>
      </c>
      <c r="R53" s="14" t="n">
        <f aca="false">MAX(Inputs!$B$34,-R52)</f>
        <v>23.345</v>
      </c>
      <c r="S53" s="14" t="n">
        <f aca="false">MAX(Inputs!$B$34,-S52)</f>
        <v>25.11625</v>
      </c>
      <c r="T53" s="14" t="n">
        <f aca="false">MAX(Inputs!$B$34,-T52)</f>
        <v>26.88575</v>
      </c>
      <c r="U53" s="14" t="n">
        <f aca="false">MAX(Inputs!$B$34,-U52)</f>
        <v>28.6535</v>
      </c>
      <c r="V53" s="14" t="n">
        <f aca="false">MAX(Inputs!$B$34,-V52)</f>
        <v>30.4195</v>
      </c>
      <c r="W53" s="14" t="n">
        <f aca="false">MAX(Inputs!$B$34,-W52)</f>
        <v>32.18375</v>
      </c>
      <c r="X53" s="14" t="n">
        <f aca="false">MAX(Inputs!$B$34,-X52)</f>
        <v>33.94625</v>
      </c>
      <c r="Y53" s="14" t="n">
        <f aca="false">MAX(Inputs!$B$34,-Y52)</f>
        <v>35.707</v>
      </c>
      <c r="Z53" s="14" t="n">
        <f aca="false">MAX(Inputs!$B$34,-Z52)</f>
        <v>37.466</v>
      </c>
      <c r="AA53" s="14" t="n">
        <f aca="false">MAX(Inputs!$B$34,-AA52)</f>
        <v>39.22325</v>
      </c>
      <c r="AB53" s="14" t="n">
        <f aca="false">MAX(Inputs!$B$34,-AB52)</f>
        <v>40.97875</v>
      </c>
      <c r="AC53" s="14" t="n">
        <f aca="false">MAX(Inputs!$B$34,-AC52)</f>
        <v>42.7325</v>
      </c>
      <c r="AD53" s="14" t="n">
        <f aca="false">MAX(Inputs!$B$34,-AD52)</f>
        <v>44.4845</v>
      </c>
      <c r="AE53" s="14" t="n">
        <f aca="false">MAX(Inputs!$B$34,-AE52)</f>
        <v>46.23475</v>
      </c>
      <c r="AF53" s="14" t="n">
        <f aca="false">MAX(Inputs!$B$34,-AF52)</f>
        <v>47.98325</v>
      </c>
      <c r="AG53" s="14" t="n">
        <f aca="false">MAX(Inputs!$B$34,-AG52)</f>
        <v>49.73</v>
      </c>
      <c r="AH53" s="14" t="n">
        <f aca="false">MAX(Inputs!$B$34,-AH52)</f>
        <v>51.475</v>
      </c>
      <c r="AI53" s="14" t="n">
        <f aca="false">MAX(Inputs!$B$34,-AI52)</f>
        <v>53.21825</v>
      </c>
      <c r="AJ53" s="14" t="n">
        <f aca="false">MAX(Inputs!$B$34,-AJ52)</f>
        <v>54.95975</v>
      </c>
      <c r="AK53" s="14" t="n">
        <f aca="false">MAX(Inputs!$B$34,-AK52)</f>
        <v>56.6995</v>
      </c>
      <c r="AL53" s="14" t="n">
        <f aca="false">MAX(Inputs!$B$34,-AL52)</f>
        <v>58.4375</v>
      </c>
      <c r="AM53" s="14" t="n">
        <f aca="false">MAX(Inputs!$B$34,-AM52)</f>
        <v>60.17375</v>
      </c>
      <c r="AN53" s="14" t="n">
        <f aca="false">MAX(Inputs!$B$34,-AN52)</f>
        <v>61.90825</v>
      </c>
      <c r="AO53" s="14" t="n">
        <f aca="false">MAX(Inputs!$B$34,-AO52)</f>
        <v>63.641</v>
      </c>
      <c r="AP53" s="14" t="n">
        <f aca="false">MAX(Inputs!$B$34,-AP52)</f>
        <v>65.372</v>
      </c>
      <c r="AQ53" s="14" t="n">
        <f aca="false">MAX(Inputs!$B$34,-AQ52)</f>
        <v>67.10125</v>
      </c>
      <c r="AR53" s="14" t="n">
        <f aca="false">MAX(Inputs!$B$34,-AR52)</f>
        <v>68.82875</v>
      </c>
      <c r="AS53" s="14" t="n">
        <f aca="false">MAX(Inputs!$B$34,-AS52)</f>
        <v>70.5545</v>
      </c>
      <c r="AT53" s="14" t="n">
        <f aca="false">MAX(Inputs!$B$34,-AT52)</f>
        <v>72.2785</v>
      </c>
      <c r="AU53" s="14" t="n">
        <f aca="false">MAX(Inputs!$B$34,-AU52)</f>
        <v>74.00075</v>
      </c>
      <c r="AV53" s="14" t="n">
        <f aca="false">MAX(Inputs!$B$34,-AV52)</f>
        <v>75.72125</v>
      </c>
      <c r="AW53" s="14" t="n">
        <f aca="false">MAX(Inputs!$B$34,-AW52)</f>
        <v>77.44</v>
      </c>
      <c r="AX53" s="14" t="n">
        <f aca="false">MAX(Inputs!$B$34,-AX52)</f>
        <v>79.157</v>
      </c>
      <c r="AY53" s="14" t="n">
        <f aca="false">MAX(Inputs!$B$34,-AY52)</f>
        <v>80.87225</v>
      </c>
      <c r="AZ53" s="14" t="n">
        <f aca="false">MAX(Inputs!$B$34,-AZ52)</f>
        <v>82.58575</v>
      </c>
      <c r="BA53" s="14" t="n">
        <f aca="false">MAX(Inputs!$B$34,-BA52)</f>
        <v>84.2975</v>
      </c>
      <c r="BB53" s="14" t="n">
        <f aca="false">MAX(Inputs!$B$34,-BB52)</f>
        <v>86.0075</v>
      </c>
      <c r="BC53" s="14" t="n">
        <f aca="false">MAX(Inputs!$B$34,-BC52)</f>
        <v>87.71575</v>
      </c>
      <c r="BD53" s="14" t="n">
        <f aca="false">MAX(Inputs!$B$34,-BD52)</f>
        <v>89.42225</v>
      </c>
      <c r="BE53" s="14" t="n">
        <f aca="false">MAX(Inputs!$B$34,-BE52)</f>
        <v>91.127</v>
      </c>
      <c r="BF53" s="14" t="n">
        <f aca="false">MAX(Inputs!$B$34,-BF52)</f>
        <v>92.83</v>
      </c>
      <c r="BG53" s="14" t="n">
        <f aca="false">MAX(Inputs!$B$34,-BG52)</f>
        <v>94.53125</v>
      </c>
      <c r="BH53" s="14" t="n">
        <f aca="false">MAX(Inputs!$B$34,-BH52)</f>
        <v>96.23075</v>
      </c>
      <c r="BI53" s="14" t="n">
        <f aca="false">MAX(Inputs!$B$34,-BI52)</f>
        <v>97.9285</v>
      </c>
      <c r="BJ53" s="14" t="n">
        <f aca="false">MAX(Inputs!$B$34,-BJ52)</f>
        <v>99.6245</v>
      </c>
      <c r="BK53" s="14" t="n">
        <f aca="false">MAX(Inputs!$B$34,-BK52)</f>
        <v>101.336666666667</v>
      </c>
      <c r="BL53" s="14" t="n">
        <f aca="false">MAX(Inputs!$B$34,-BL52)</f>
        <v>103.065</v>
      </c>
      <c r="BM53" s="14" t="n">
        <f aca="false">MAX(Inputs!$B$34,-BM52)</f>
        <v>104.8095</v>
      </c>
      <c r="BN53" s="14" t="n">
        <f aca="false">MAX(Inputs!$B$34,-BN52)</f>
        <v>106.570166666667</v>
      </c>
      <c r="BO53" s="14" t="n">
        <f aca="false">MAX(Inputs!$B$34,-BO52)</f>
        <v>108.347</v>
      </c>
      <c r="BP53" s="14" t="n">
        <f aca="false">MAX(Inputs!$B$34,-BP52)</f>
        <v>110.14</v>
      </c>
      <c r="BQ53" s="14" t="n">
        <f aca="false">MAX(Inputs!$B$34,-BQ52)</f>
        <v>111.949166666667</v>
      </c>
      <c r="BR53" s="14" t="n">
        <f aca="false">MAX(Inputs!$B$34,-BR52)</f>
        <v>113.7745</v>
      </c>
      <c r="BS53" s="14" t="n">
        <f aca="false">MAX(Inputs!$B$34,-BS52)</f>
        <v>115.616</v>
      </c>
      <c r="BT53" s="14" t="n">
        <f aca="false">MAX(Inputs!$B$34,-BT52)</f>
        <v>117.473666666667</v>
      </c>
      <c r="BU53" s="14" t="n">
        <f aca="false">MAX(Inputs!$B$34,-BU52)</f>
        <v>119.3475</v>
      </c>
      <c r="BV53" s="14" t="n">
        <f aca="false">MAX(Inputs!$B$34,-BV52)</f>
        <v>121.2375</v>
      </c>
      <c r="BW53" s="14" t="n">
        <f aca="false">MAX(Inputs!$B$34,-BW52)</f>
        <v>123.1275</v>
      </c>
      <c r="BX53" s="14" t="n">
        <f aca="false">MAX(Inputs!$B$34,-BX52)</f>
        <v>125.0175</v>
      </c>
      <c r="BY53" s="14" t="n">
        <f aca="false">MAX(Inputs!$B$34,-BY52)</f>
        <v>126.9075</v>
      </c>
      <c r="BZ53" s="14" t="n">
        <f aca="false">MAX(Inputs!$B$34,-BZ52)</f>
        <v>128.7975</v>
      </c>
      <c r="CA53" s="14" t="n">
        <f aca="false">MAX(Inputs!$B$34,-CA52)</f>
        <v>130.6875</v>
      </c>
      <c r="CB53" s="14" t="n">
        <f aca="false">MAX(Inputs!$B$34,-CB52)</f>
        <v>132.5775</v>
      </c>
      <c r="CC53" s="14" t="n">
        <f aca="false">MAX(Inputs!$B$34,-CC52)</f>
        <v>134.4675</v>
      </c>
      <c r="CD53" s="14" t="n">
        <f aca="false">MAX(Inputs!$B$34,-CD52)</f>
        <v>136.3575</v>
      </c>
      <c r="CE53" s="14" t="n">
        <f aca="false">MAX(Inputs!$B$34,-CE52)</f>
        <v>138.2475</v>
      </c>
      <c r="CF53" s="14" t="n">
        <f aca="false">MAX(Inputs!$B$34,-CF52)</f>
        <v>140.1375</v>
      </c>
      <c r="CG53" s="14" t="n">
        <f aca="false">MAX(Inputs!$B$34,-CG52)</f>
        <v>142.0275</v>
      </c>
      <c r="CH53" s="14" t="n">
        <f aca="false">MAX(Inputs!$B$34,-CH52)</f>
        <v>143.9175</v>
      </c>
      <c r="CI53" s="14" t="n">
        <f aca="false">MAX(Inputs!$B$34,-CI52)</f>
        <v>145.8075</v>
      </c>
      <c r="CJ53" s="14" t="n">
        <f aca="false">MAX(Inputs!$B$34,-CJ52)</f>
        <v>147.6975</v>
      </c>
      <c r="CK53" s="14" t="n">
        <f aca="false">MAX(Inputs!$B$34,-CK52)</f>
        <v>149.5875</v>
      </c>
      <c r="CL53" s="14" t="n">
        <f aca="false">MAX(Inputs!$B$34,-CL52)</f>
        <v>151.4775</v>
      </c>
      <c r="CM53" s="14" t="n">
        <f aca="false">MAX(Inputs!$B$34,-CM52)</f>
        <v>153.3675</v>
      </c>
      <c r="CN53" s="14" t="n">
        <f aca="false">MAX(Inputs!$B$34,-CN52)</f>
        <v>155.2575</v>
      </c>
      <c r="CO53" s="14" t="n">
        <f aca="false">MAX(Inputs!$B$34,-CO52)</f>
        <v>157.1475</v>
      </c>
      <c r="CP53" s="14" t="n">
        <f aca="false">MAX(Inputs!$B$34,-CP52)</f>
        <v>159.0375</v>
      </c>
      <c r="CQ53" s="14" t="n">
        <f aca="false">MAX(Inputs!$B$34,-CQ52)</f>
        <v>160.9275</v>
      </c>
      <c r="CR53" s="14" t="n">
        <f aca="false">MAX(Inputs!$B$34,-CR52)</f>
        <v>162.8175</v>
      </c>
      <c r="CS53" s="14" t="n">
        <f aca="false">MAX(Inputs!$B$34,-CS52)</f>
        <v>164.7075</v>
      </c>
      <c r="CT53" s="14" t="n">
        <f aca="false">MAX(Inputs!$B$34,-CT52)</f>
        <v>166.5975</v>
      </c>
      <c r="CU53" s="14" t="n">
        <f aca="false">MAX(Inputs!$B$34,-CU52)</f>
        <v>168.4875</v>
      </c>
      <c r="CV53" s="14" t="n">
        <f aca="false">MAX(Inputs!$B$34,-CV52)</f>
        <v>170.3775</v>
      </c>
      <c r="CW53" s="14" t="n">
        <f aca="false">MAX(Inputs!$B$34,-CW52)</f>
        <v>172.2675</v>
      </c>
      <c r="CX53" s="14" t="n">
        <f aca="false">MAX(Inputs!$B$34,-CX52)</f>
        <v>174.1575</v>
      </c>
      <c r="CY53" s="14" t="n">
        <f aca="false">MAX(Inputs!$B$34,-CY52)</f>
        <v>176.0475</v>
      </c>
      <c r="CZ53" s="14" t="n">
        <f aca="false">MAX(Inputs!$B$34,-CZ52)</f>
        <v>177.9375</v>
      </c>
      <c r="DA53" s="14" t="n">
        <f aca="false">MAX(Inputs!$B$34,-DA52)</f>
        <v>179.8275</v>
      </c>
      <c r="DB53" s="14" t="n">
        <f aca="false">MAX(Inputs!$B$34,-DB52)</f>
        <v>181.7175</v>
      </c>
      <c r="DC53" s="14" t="n">
        <f aca="false">MAX(Inputs!$B$34,-DC52)</f>
        <v>183.6075</v>
      </c>
      <c r="DD53" s="14" t="n">
        <f aca="false">MAX(Inputs!$B$34,-DD52)</f>
        <v>185.4975</v>
      </c>
      <c r="DE53" s="14" t="n">
        <f aca="false">MAX(Inputs!$B$34,-DE52)</f>
        <v>187.3875</v>
      </c>
      <c r="DF53" s="14" t="n">
        <f aca="false">MAX(Inputs!$B$34,-DF52)</f>
        <v>189.2775</v>
      </c>
      <c r="DG53" s="14" t="n">
        <f aca="false">MAX(Inputs!$B$34,-DG52)</f>
        <v>191.1675</v>
      </c>
      <c r="DH53" s="14" t="n">
        <f aca="false">MAX(Inputs!$B$34,-DH52)</f>
        <v>193.0575</v>
      </c>
      <c r="DI53" s="14" t="n">
        <f aca="false">MAX(Inputs!$B$34,-DI52)</f>
        <v>194.9475</v>
      </c>
      <c r="DJ53" s="14" t="n">
        <f aca="false">MAX(Inputs!$B$34,-DJ52)</f>
        <v>196.8375</v>
      </c>
      <c r="DK53" s="14" t="n">
        <f aca="false">MAX(Inputs!$B$34,-DK52)</f>
        <v>198.7275</v>
      </c>
      <c r="DL53" s="14" t="n">
        <f aca="false">MAX(Inputs!$B$34,-DL52)</f>
        <v>200.6175</v>
      </c>
      <c r="DM53" s="14" t="n">
        <f aca="false">MAX(Inputs!$B$34,-DM52)</f>
        <v>202.507499999999</v>
      </c>
      <c r="DN53" s="14" t="n">
        <f aca="false">MAX(Inputs!$B$34,-DN52)</f>
        <v>204.397499999999</v>
      </c>
      <c r="DO53" s="14" t="n">
        <f aca="false">MAX(Inputs!$B$34,-DO52)</f>
        <v>206.287499999999</v>
      </c>
      <c r="DP53" s="14" t="n">
        <f aca="false">MAX(Inputs!$B$34,-DP52)</f>
        <v>208.177499999999</v>
      </c>
      <c r="DQ53" s="14" t="n">
        <f aca="false">MAX(Inputs!$B$34,-DQ52)</f>
        <v>210.067499999999</v>
      </c>
      <c r="DR53" s="14" t="n">
        <f aca="false">MAX(Inputs!$B$34,-DR52)</f>
        <v>211.957499999999</v>
      </c>
    </row>
    <row r="54" customFormat="false" ht="15" hidden="false" customHeight="false" outlineLevel="0" collapsed="false">
      <c r="A54" s="9" t="s">
        <v>222</v>
      </c>
      <c r="B54" s="11" t="n">
        <f aca="false">B38-B39</f>
        <v>0</v>
      </c>
      <c r="C54" s="11" t="n">
        <f aca="false">B54+C38-C39</f>
        <v>3.52361111111111</v>
      </c>
      <c r="D54" s="11" t="n">
        <f aca="false">C54+D38-D39</f>
        <v>6.9875</v>
      </c>
      <c r="E54" s="11" t="n">
        <f aca="false">D54+E38-E39</f>
        <v>10.3916666666667</v>
      </c>
      <c r="F54" s="11" t="n">
        <f aca="false">E54+F38-F39</f>
        <v>13.7361111111111</v>
      </c>
      <c r="G54" s="11" t="n">
        <f aca="false">F54+G38-G39</f>
        <v>17.0208333333333</v>
      </c>
      <c r="H54" s="11" t="n">
        <f aca="false">G54+H38-H39</f>
        <v>20.2458333333333</v>
      </c>
      <c r="I54" s="11" t="n">
        <f aca="false">H54+I38-I39</f>
        <v>23.4111111111111</v>
      </c>
      <c r="J54" s="11" t="n">
        <f aca="false">I54+J38-J39</f>
        <v>26.5166666666667</v>
      </c>
      <c r="K54" s="11" t="n">
        <f aca="false">J54+K38-K39</f>
        <v>29.5625</v>
      </c>
      <c r="L54" s="11" t="n">
        <f aca="false">K54+L38-L39</f>
        <v>32.5486111111111</v>
      </c>
      <c r="M54" s="11" t="n">
        <f aca="false">L54+M38-M39</f>
        <v>35.475</v>
      </c>
      <c r="N54" s="11" t="n">
        <f aca="false">M54+N38-N39</f>
        <v>38.3416666666667</v>
      </c>
      <c r="O54" s="11" t="n">
        <f aca="false">N54+O38-O39</f>
        <v>37.9691666666667</v>
      </c>
      <c r="P54" s="11" t="n">
        <f aca="false">O54+P38-P39</f>
        <v>37.5908333333333</v>
      </c>
      <c r="Q54" s="11" t="n">
        <f aca="false">P54+Q38-Q39</f>
        <v>37.2066666666667</v>
      </c>
      <c r="R54" s="11" t="n">
        <f aca="false">Q54+R38-R39</f>
        <v>36.8166666666667</v>
      </c>
      <c r="S54" s="11" t="n">
        <f aca="false">R54+S38-S39</f>
        <v>36.4208333333334</v>
      </c>
      <c r="T54" s="11" t="n">
        <f aca="false">S54+T38-T39</f>
        <v>36.0191666666667</v>
      </c>
      <c r="U54" s="11" t="n">
        <f aca="false">T54+U38-U39</f>
        <v>35.6116666666667</v>
      </c>
      <c r="V54" s="11" t="n">
        <f aca="false">U54+V38-V39</f>
        <v>35.1983333333334</v>
      </c>
      <c r="W54" s="11" t="n">
        <f aca="false">V54+W38-W39</f>
        <v>34.7791666666667</v>
      </c>
      <c r="X54" s="11" t="n">
        <f aca="false">W54+X38-X39</f>
        <v>34.3541666666667</v>
      </c>
      <c r="Y54" s="11" t="n">
        <f aca="false">X54+Y38-Y39</f>
        <v>33.9233333333334</v>
      </c>
      <c r="Z54" s="11" t="n">
        <f aca="false">Y54+Z38-Z39</f>
        <v>33.4866666666667</v>
      </c>
      <c r="AA54" s="11" t="n">
        <f aca="false">Z54+AA38-AA39</f>
        <v>33.0441666666667</v>
      </c>
      <c r="AB54" s="11" t="n">
        <f aca="false">AA54+AB38-AB39</f>
        <v>32.5958333333334</v>
      </c>
      <c r="AC54" s="11" t="n">
        <f aca="false">AB54+AC38-AC39</f>
        <v>32.1416666666667</v>
      </c>
      <c r="AD54" s="11" t="n">
        <f aca="false">AC54+AD38-AD39</f>
        <v>31.6816666666667</v>
      </c>
      <c r="AE54" s="11" t="n">
        <f aca="false">AD54+AE38-AE39</f>
        <v>31.2158333333334</v>
      </c>
      <c r="AF54" s="11" t="n">
        <f aca="false">AE54+AF38-AF39</f>
        <v>30.7441666666667</v>
      </c>
      <c r="AG54" s="11" t="n">
        <f aca="false">AF54+AG38-AG39</f>
        <v>30.2666666666667</v>
      </c>
      <c r="AH54" s="11" t="n">
        <f aca="false">AG54+AH38-AH39</f>
        <v>29.7833333333334</v>
      </c>
      <c r="AI54" s="11" t="n">
        <f aca="false">AH54+AI38-AI39</f>
        <v>29.2941666666667</v>
      </c>
      <c r="AJ54" s="11" t="n">
        <f aca="false">AI54+AJ38-AJ39</f>
        <v>28.7991666666667</v>
      </c>
      <c r="AK54" s="11" t="n">
        <f aca="false">AJ54+AK38-AK39</f>
        <v>28.2983333333334</v>
      </c>
      <c r="AL54" s="11" t="n">
        <f aca="false">AK54+AL38-AL39</f>
        <v>27.7916666666667</v>
      </c>
      <c r="AM54" s="11" t="n">
        <f aca="false">AL54+AM38-AM39</f>
        <v>27.2791666666667</v>
      </c>
      <c r="AN54" s="11" t="n">
        <f aca="false">AM54+AN38-AN39</f>
        <v>26.7608333333334</v>
      </c>
      <c r="AO54" s="11" t="n">
        <f aca="false">AN54+AO38-AO39</f>
        <v>26.2366666666667</v>
      </c>
      <c r="AP54" s="11" t="n">
        <f aca="false">AO54+AP38-AP39</f>
        <v>25.7066666666667</v>
      </c>
      <c r="AQ54" s="11" t="n">
        <f aca="false">AP54+AQ38-AQ39</f>
        <v>25.1708333333334</v>
      </c>
      <c r="AR54" s="11" t="n">
        <f aca="false">AQ54+AR38-AR39</f>
        <v>24.6291666666667</v>
      </c>
      <c r="AS54" s="11" t="n">
        <f aca="false">AR54+AS38-AS39</f>
        <v>24.0816666666667</v>
      </c>
      <c r="AT54" s="11" t="n">
        <f aca="false">AS54+AT38-AT39</f>
        <v>23.5283333333334</v>
      </c>
      <c r="AU54" s="11" t="n">
        <f aca="false">AT54+AU38-AU39</f>
        <v>22.9691666666667</v>
      </c>
      <c r="AV54" s="11" t="n">
        <f aca="false">AU54+AV38-AV39</f>
        <v>22.4041666666667</v>
      </c>
      <c r="AW54" s="11" t="n">
        <f aca="false">AV54+AW38-AW39</f>
        <v>21.8333333333334</v>
      </c>
      <c r="AX54" s="11" t="n">
        <f aca="false">AW54+AX38-AX39</f>
        <v>21.2566666666667</v>
      </c>
      <c r="AY54" s="11" t="n">
        <f aca="false">AX54+AY38-AY39</f>
        <v>20.6741666666667</v>
      </c>
      <c r="AZ54" s="11" t="n">
        <f aca="false">AY54+AZ38-AZ39</f>
        <v>20.0858333333334</v>
      </c>
      <c r="BA54" s="11" t="n">
        <f aca="false">AZ54+BA38-BA39</f>
        <v>19.4916666666667</v>
      </c>
      <c r="BB54" s="11" t="n">
        <f aca="false">BA54+BB38-BB39</f>
        <v>18.8916666666667</v>
      </c>
      <c r="BC54" s="11" t="n">
        <f aca="false">BB54+BC38-BC39</f>
        <v>18.2858333333334</v>
      </c>
      <c r="BD54" s="11" t="n">
        <f aca="false">BC54+BD38-BD39</f>
        <v>17.6741666666667</v>
      </c>
      <c r="BE54" s="11" t="n">
        <f aca="false">BD54+BE38-BE39</f>
        <v>17.0566666666667</v>
      </c>
      <c r="BF54" s="11" t="n">
        <f aca="false">BE54+BF38-BF39</f>
        <v>16.4333333333334</v>
      </c>
      <c r="BG54" s="11" t="n">
        <f aca="false">BF54+BG38-BG39</f>
        <v>15.8041666666667</v>
      </c>
      <c r="BH54" s="11" t="n">
        <f aca="false">BG54+BH38-BH39</f>
        <v>15.1691666666667</v>
      </c>
      <c r="BI54" s="11" t="n">
        <f aca="false">BH54+BI38-BI39</f>
        <v>14.5283333333334</v>
      </c>
      <c r="BJ54" s="11" t="n">
        <f aca="false">BI54+BJ38-BJ39</f>
        <v>13.8816666666667</v>
      </c>
      <c r="BK54" s="11" t="n">
        <f aca="false">BJ54+BK38-BK39</f>
        <v>13.288888888889</v>
      </c>
      <c r="BL54" s="11" t="n">
        <f aca="false">BK54+BL38-BL39</f>
        <v>12.7500000000001</v>
      </c>
      <c r="BM54" s="11" t="n">
        <f aca="false">BL54+BM38-BM39</f>
        <v>12.2650000000001</v>
      </c>
      <c r="BN54" s="11" t="n">
        <f aca="false">BM54+BN38-BN39</f>
        <v>11.833888888889</v>
      </c>
      <c r="BO54" s="11" t="n">
        <f aca="false">BN54+BO38-BO39</f>
        <v>11.4566666666667</v>
      </c>
      <c r="BP54" s="11" t="n">
        <f aca="false">BO54+BP38-BP39</f>
        <v>11.1333333333334</v>
      </c>
      <c r="BQ54" s="11" t="n">
        <f aca="false">BP54+BQ38-BQ39</f>
        <v>10.863888888889</v>
      </c>
      <c r="BR54" s="11" t="n">
        <f aca="false">BQ54+BR38-BR39</f>
        <v>10.6483333333334</v>
      </c>
      <c r="BS54" s="11" t="n">
        <f aca="false">BR54+BS38-BS39</f>
        <v>10.4866666666667</v>
      </c>
      <c r="BT54" s="11" t="n">
        <f aca="false">BS54+BT38-BT39</f>
        <v>10.378888888889</v>
      </c>
      <c r="BU54" s="11" t="n">
        <f aca="false">BT54+BU38-BU39</f>
        <v>10.3250000000001</v>
      </c>
      <c r="BV54" s="11" t="n">
        <f aca="false">BU54+BV38-BV39</f>
        <v>10.3250000000001</v>
      </c>
      <c r="BW54" s="11" t="n">
        <f aca="false">BV54+BW38-BW39</f>
        <v>10.3250000000001</v>
      </c>
      <c r="BX54" s="11" t="n">
        <f aca="false">BW54+BX38-BX39</f>
        <v>10.3250000000001</v>
      </c>
      <c r="BY54" s="11" t="n">
        <f aca="false">BX54+BY38-BY39</f>
        <v>10.3250000000001</v>
      </c>
      <c r="BZ54" s="11" t="n">
        <f aca="false">BY54+BZ38-BZ39</f>
        <v>10.3250000000001</v>
      </c>
      <c r="CA54" s="11" t="n">
        <f aca="false">BZ54+CA38-CA39</f>
        <v>10.3250000000001</v>
      </c>
      <c r="CB54" s="11" t="n">
        <f aca="false">CA54+CB38-CB39</f>
        <v>10.3250000000001</v>
      </c>
      <c r="CC54" s="11" t="n">
        <f aca="false">CB54+CC38-CC39</f>
        <v>10.3250000000001</v>
      </c>
      <c r="CD54" s="11" t="n">
        <f aca="false">CC54+CD38-CD39</f>
        <v>10.3250000000001</v>
      </c>
      <c r="CE54" s="11" t="n">
        <f aca="false">CD54+CE38-CE39</f>
        <v>10.3250000000001</v>
      </c>
      <c r="CF54" s="11" t="n">
        <f aca="false">CE54+CF38-CF39</f>
        <v>10.3250000000001</v>
      </c>
      <c r="CG54" s="11" t="n">
        <f aca="false">CF54+CG38-CG39</f>
        <v>10.3250000000001</v>
      </c>
      <c r="CH54" s="11" t="n">
        <f aca="false">CG54+CH38-CH39</f>
        <v>10.3250000000001</v>
      </c>
      <c r="CI54" s="11" t="n">
        <f aca="false">CH54+CI38-CI39</f>
        <v>10.3250000000001</v>
      </c>
      <c r="CJ54" s="11" t="n">
        <f aca="false">CI54+CJ38-CJ39</f>
        <v>10.3250000000001</v>
      </c>
      <c r="CK54" s="11" t="n">
        <f aca="false">CJ54+CK38-CK39</f>
        <v>10.3250000000001</v>
      </c>
      <c r="CL54" s="11" t="n">
        <f aca="false">CK54+CL38-CL39</f>
        <v>10.3250000000001</v>
      </c>
      <c r="CM54" s="11" t="n">
        <f aca="false">CL54+CM38-CM39</f>
        <v>10.3250000000001</v>
      </c>
      <c r="CN54" s="11" t="n">
        <f aca="false">CM54+CN38-CN39</f>
        <v>10.3250000000001</v>
      </c>
      <c r="CO54" s="11" t="n">
        <f aca="false">CN54+CO38-CO39</f>
        <v>10.3250000000001</v>
      </c>
      <c r="CP54" s="11" t="n">
        <f aca="false">CO54+CP38-CP39</f>
        <v>10.3250000000001</v>
      </c>
      <c r="CQ54" s="11" t="n">
        <f aca="false">CP54+CQ38-CQ39</f>
        <v>10.3250000000001</v>
      </c>
      <c r="CR54" s="11" t="n">
        <f aca="false">CQ54+CR38-CR39</f>
        <v>10.3250000000001</v>
      </c>
      <c r="CS54" s="11" t="n">
        <f aca="false">CR54+CS38-CS39</f>
        <v>10.3250000000001</v>
      </c>
      <c r="CT54" s="11" t="n">
        <f aca="false">CS54+CT38-CT39</f>
        <v>10.3250000000001</v>
      </c>
      <c r="CU54" s="11" t="n">
        <f aca="false">CT54+CU38-CU39</f>
        <v>10.3250000000001</v>
      </c>
      <c r="CV54" s="11" t="n">
        <f aca="false">CU54+CV38-CV39</f>
        <v>10.3250000000001</v>
      </c>
      <c r="CW54" s="11" t="n">
        <f aca="false">CV54+CW38-CW39</f>
        <v>10.3250000000001</v>
      </c>
      <c r="CX54" s="11" t="n">
        <f aca="false">CW54+CX38-CX39</f>
        <v>10.3250000000001</v>
      </c>
      <c r="CY54" s="11" t="n">
        <f aca="false">CX54+CY38-CY39</f>
        <v>10.3250000000001</v>
      </c>
      <c r="CZ54" s="11" t="n">
        <f aca="false">CY54+CZ38-CZ39</f>
        <v>10.3250000000001</v>
      </c>
      <c r="DA54" s="11" t="n">
        <f aca="false">CZ54+DA38-DA39</f>
        <v>10.3250000000001</v>
      </c>
      <c r="DB54" s="11" t="n">
        <f aca="false">DA54+DB38-DB39</f>
        <v>10.3250000000001</v>
      </c>
      <c r="DC54" s="11" t="n">
        <f aca="false">DB54+DC38-DC39</f>
        <v>10.3250000000001</v>
      </c>
      <c r="DD54" s="11" t="n">
        <f aca="false">DC54+DD38-DD39</f>
        <v>10.3250000000001</v>
      </c>
      <c r="DE54" s="11" t="n">
        <f aca="false">DD54+DE38-DE39</f>
        <v>10.3250000000001</v>
      </c>
      <c r="DF54" s="11" t="n">
        <f aca="false">DE54+DF38-DF39</f>
        <v>10.3250000000001</v>
      </c>
      <c r="DG54" s="11" t="n">
        <f aca="false">DF54+DG38-DG39</f>
        <v>10.3250000000001</v>
      </c>
      <c r="DH54" s="11" t="n">
        <f aca="false">DG54+DH38-DH39</f>
        <v>10.3250000000001</v>
      </c>
      <c r="DI54" s="11" t="n">
        <f aca="false">DH54+DI38-DI39</f>
        <v>10.3250000000001</v>
      </c>
      <c r="DJ54" s="11" t="n">
        <f aca="false">DI54+DJ38-DJ39</f>
        <v>10.3250000000001</v>
      </c>
      <c r="DK54" s="11" t="n">
        <f aca="false">DJ54+DK38-DK39</f>
        <v>10.3250000000001</v>
      </c>
      <c r="DL54" s="11" t="n">
        <f aca="false">DK54+DL38-DL39</f>
        <v>10.3250000000001</v>
      </c>
      <c r="DM54" s="11" t="n">
        <f aca="false">DL54+DM38-DM39</f>
        <v>10.3250000000001</v>
      </c>
      <c r="DN54" s="11" t="n">
        <f aca="false">DM54+DN38-DN39</f>
        <v>10.3250000000001</v>
      </c>
      <c r="DO54" s="11" t="n">
        <f aca="false">DN54+DO38-DO39</f>
        <v>10.3250000000001</v>
      </c>
      <c r="DP54" s="11" t="n">
        <f aca="false">DO54+DP38-DP39</f>
        <v>10.3250000000001</v>
      </c>
      <c r="DQ54" s="11" t="n">
        <f aca="false">DP54+DQ38-DQ39</f>
        <v>10.3250000000001</v>
      </c>
      <c r="DR54" s="11" t="n">
        <f aca="false">DQ54+DR38-DR39</f>
        <v>10.3250000000001</v>
      </c>
    </row>
    <row r="55" customFormat="false" ht="15" hidden="false" customHeight="false" outlineLevel="0" collapsed="false">
      <c r="A55" s="9" t="s">
        <v>223</v>
      </c>
      <c r="B55" s="11" t="n">
        <f aca="false">SUM($B47:B47)</f>
        <v>50</v>
      </c>
      <c r="C55" s="11" t="n">
        <f aca="false">SUM($B47:C47)</f>
        <v>50</v>
      </c>
      <c r="D55" s="11" t="n">
        <f aca="false">SUM($B47:D47)</f>
        <v>50</v>
      </c>
      <c r="E55" s="11" t="n">
        <f aca="false">SUM($B47:E47)</f>
        <v>50</v>
      </c>
      <c r="F55" s="11" t="n">
        <f aca="false">SUM($B47:F47)</f>
        <v>50</v>
      </c>
      <c r="G55" s="11" t="n">
        <f aca="false">SUM($B47:G47)</f>
        <v>50</v>
      </c>
      <c r="H55" s="11" t="n">
        <f aca="false">SUM($B47:H47)</f>
        <v>50</v>
      </c>
      <c r="I55" s="11" t="n">
        <f aca="false">SUM($B47:I47)</f>
        <v>50</v>
      </c>
      <c r="J55" s="11" t="n">
        <f aca="false">SUM($B47:J47)</f>
        <v>50</v>
      </c>
      <c r="K55" s="11" t="n">
        <f aca="false">SUM($B47:K47)</f>
        <v>50</v>
      </c>
      <c r="L55" s="11" t="n">
        <f aca="false">SUM($B47:L47)</f>
        <v>50</v>
      </c>
      <c r="M55" s="11" t="n">
        <f aca="false">SUM($B47:M47)</f>
        <v>50</v>
      </c>
      <c r="N55" s="11" t="n">
        <f aca="false">SUM($B47:N47)</f>
        <v>50</v>
      </c>
      <c r="O55" s="11" t="n">
        <f aca="false">SUM($B47:O47)</f>
        <v>50</v>
      </c>
      <c r="P55" s="11" t="n">
        <f aca="false">SUM($B47:P47)</f>
        <v>50</v>
      </c>
      <c r="Q55" s="11" t="n">
        <f aca="false">SUM($B47:Q47)</f>
        <v>50</v>
      </c>
      <c r="R55" s="11" t="n">
        <f aca="false">SUM($B47:R47)</f>
        <v>50</v>
      </c>
      <c r="S55" s="11" t="n">
        <f aca="false">SUM($B47:S47)</f>
        <v>50</v>
      </c>
      <c r="T55" s="11" t="n">
        <f aca="false">SUM($B47:T47)</f>
        <v>50</v>
      </c>
      <c r="U55" s="11" t="n">
        <f aca="false">SUM($B47:U47)</f>
        <v>50</v>
      </c>
      <c r="V55" s="11" t="n">
        <f aca="false">SUM($B47:V47)</f>
        <v>50</v>
      </c>
      <c r="W55" s="11" t="n">
        <f aca="false">SUM($B47:W47)</f>
        <v>50</v>
      </c>
      <c r="X55" s="11" t="n">
        <f aca="false">SUM($B47:X47)</f>
        <v>50</v>
      </c>
      <c r="Y55" s="11" t="n">
        <f aca="false">SUM($B47:Y47)</f>
        <v>50</v>
      </c>
      <c r="Z55" s="11" t="n">
        <f aca="false">SUM($B47:Z47)</f>
        <v>50</v>
      </c>
      <c r="AA55" s="11" t="n">
        <f aca="false">SUM($B47:AA47)</f>
        <v>50</v>
      </c>
      <c r="AB55" s="11" t="n">
        <f aca="false">SUM($B47:AB47)</f>
        <v>50</v>
      </c>
      <c r="AC55" s="11" t="n">
        <f aca="false">SUM($B47:AC47)</f>
        <v>50</v>
      </c>
      <c r="AD55" s="11" t="n">
        <f aca="false">SUM($B47:AD47)</f>
        <v>50</v>
      </c>
      <c r="AE55" s="11" t="n">
        <f aca="false">SUM($B47:AE47)</f>
        <v>50</v>
      </c>
      <c r="AF55" s="11" t="n">
        <f aca="false">SUM($B47:AF47)</f>
        <v>50</v>
      </c>
      <c r="AG55" s="11" t="n">
        <f aca="false">SUM($B47:AG47)</f>
        <v>50</v>
      </c>
      <c r="AH55" s="11" t="n">
        <f aca="false">SUM($B47:AH47)</f>
        <v>50</v>
      </c>
      <c r="AI55" s="11" t="n">
        <f aca="false">SUM($B47:AI47)</f>
        <v>50</v>
      </c>
      <c r="AJ55" s="11" t="n">
        <f aca="false">SUM($B47:AJ47)</f>
        <v>50</v>
      </c>
      <c r="AK55" s="11" t="n">
        <f aca="false">SUM($B47:AK47)</f>
        <v>50</v>
      </c>
      <c r="AL55" s="11" t="n">
        <f aca="false">SUM($B47:AL47)</f>
        <v>50</v>
      </c>
      <c r="AM55" s="11" t="n">
        <f aca="false">SUM($B47:AM47)</f>
        <v>50</v>
      </c>
      <c r="AN55" s="11" t="n">
        <f aca="false">SUM($B47:AN47)</f>
        <v>50</v>
      </c>
      <c r="AO55" s="11" t="n">
        <f aca="false">SUM($B47:AO47)</f>
        <v>50</v>
      </c>
      <c r="AP55" s="11" t="n">
        <f aca="false">SUM($B47:AP47)</f>
        <v>50</v>
      </c>
      <c r="AQ55" s="11" t="n">
        <f aca="false">SUM($B47:AQ47)</f>
        <v>50</v>
      </c>
      <c r="AR55" s="11" t="n">
        <f aca="false">SUM($B47:AR47)</f>
        <v>50</v>
      </c>
      <c r="AS55" s="11" t="n">
        <f aca="false">SUM($B47:AS47)</f>
        <v>50</v>
      </c>
      <c r="AT55" s="11" t="n">
        <f aca="false">SUM($B47:AT47)</f>
        <v>50</v>
      </c>
      <c r="AU55" s="11" t="n">
        <f aca="false">SUM($B47:AU47)</f>
        <v>50</v>
      </c>
      <c r="AV55" s="11" t="n">
        <f aca="false">SUM($B47:AV47)</f>
        <v>50</v>
      </c>
      <c r="AW55" s="11" t="n">
        <f aca="false">SUM($B47:AW47)</f>
        <v>50</v>
      </c>
      <c r="AX55" s="11" t="n">
        <f aca="false">SUM($B47:AX47)</f>
        <v>50</v>
      </c>
      <c r="AY55" s="11" t="n">
        <f aca="false">SUM($B47:AY47)</f>
        <v>50</v>
      </c>
      <c r="AZ55" s="11" t="n">
        <f aca="false">SUM($B47:AZ47)</f>
        <v>50</v>
      </c>
      <c r="BA55" s="11" t="n">
        <f aca="false">SUM($B47:BA47)</f>
        <v>50</v>
      </c>
      <c r="BB55" s="11" t="n">
        <f aca="false">SUM($B47:BB47)</f>
        <v>50</v>
      </c>
      <c r="BC55" s="11" t="n">
        <f aca="false">SUM($B47:BC47)</f>
        <v>50</v>
      </c>
      <c r="BD55" s="11" t="n">
        <f aca="false">SUM($B47:BD47)</f>
        <v>50</v>
      </c>
      <c r="BE55" s="11" t="n">
        <f aca="false">SUM($B47:BE47)</f>
        <v>50</v>
      </c>
      <c r="BF55" s="11" t="n">
        <f aca="false">SUM($B47:BF47)</f>
        <v>50</v>
      </c>
      <c r="BG55" s="11" t="n">
        <f aca="false">SUM($B47:BG47)</f>
        <v>50</v>
      </c>
      <c r="BH55" s="11" t="n">
        <f aca="false">SUM($B47:BH47)</f>
        <v>50</v>
      </c>
      <c r="BI55" s="11" t="n">
        <f aca="false">SUM($B47:BI47)</f>
        <v>50</v>
      </c>
      <c r="BJ55" s="11" t="n">
        <f aca="false">SUM($B47:BJ47)</f>
        <v>50</v>
      </c>
      <c r="BK55" s="11" t="n">
        <f aca="false">SUM($B47:BK47)</f>
        <v>50</v>
      </c>
      <c r="BL55" s="11" t="n">
        <f aca="false">SUM($B47:BL47)</f>
        <v>50</v>
      </c>
      <c r="BM55" s="11" t="n">
        <f aca="false">SUM($B47:BM47)</f>
        <v>50</v>
      </c>
      <c r="BN55" s="11" t="n">
        <f aca="false">SUM($B47:BN47)</f>
        <v>50</v>
      </c>
      <c r="BO55" s="11" t="n">
        <f aca="false">SUM($B47:BO47)</f>
        <v>50</v>
      </c>
      <c r="BP55" s="11" t="n">
        <f aca="false">SUM($B47:BP47)</f>
        <v>50</v>
      </c>
      <c r="BQ55" s="11" t="n">
        <f aca="false">SUM($B47:BQ47)</f>
        <v>50</v>
      </c>
      <c r="BR55" s="11" t="n">
        <f aca="false">SUM($B47:BR47)</f>
        <v>50</v>
      </c>
      <c r="BS55" s="11" t="n">
        <f aca="false">SUM($B47:BS47)</f>
        <v>50</v>
      </c>
      <c r="BT55" s="11" t="n">
        <f aca="false">SUM($B47:BT47)</f>
        <v>50</v>
      </c>
      <c r="BU55" s="11" t="n">
        <f aca="false">SUM($B47:BU47)</f>
        <v>50</v>
      </c>
      <c r="BV55" s="11" t="n">
        <f aca="false">SUM($B47:BV47)</f>
        <v>50</v>
      </c>
      <c r="BW55" s="11" t="n">
        <f aca="false">SUM($B47:BW47)</f>
        <v>50</v>
      </c>
      <c r="BX55" s="11" t="n">
        <f aca="false">SUM($B47:BX47)</f>
        <v>50</v>
      </c>
      <c r="BY55" s="11" t="n">
        <f aca="false">SUM($B47:BY47)</f>
        <v>50</v>
      </c>
      <c r="BZ55" s="11" t="n">
        <f aca="false">SUM($B47:BZ47)</f>
        <v>50</v>
      </c>
      <c r="CA55" s="11" t="n">
        <f aca="false">SUM($B47:CA47)</f>
        <v>50</v>
      </c>
      <c r="CB55" s="11" t="n">
        <f aca="false">SUM($B47:CB47)</f>
        <v>50</v>
      </c>
      <c r="CC55" s="11" t="n">
        <f aca="false">SUM($B47:CC47)</f>
        <v>50</v>
      </c>
      <c r="CD55" s="11" t="n">
        <f aca="false">SUM($B47:CD47)</f>
        <v>50</v>
      </c>
      <c r="CE55" s="11" t="n">
        <f aca="false">SUM($B47:CE47)</f>
        <v>50</v>
      </c>
      <c r="CF55" s="11" t="n">
        <f aca="false">SUM($B47:CF47)</f>
        <v>50</v>
      </c>
      <c r="CG55" s="11" t="n">
        <f aca="false">SUM($B47:CG47)</f>
        <v>50</v>
      </c>
      <c r="CH55" s="11" t="n">
        <f aca="false">SUM($B47:CH47)</f>
        <v>50</v>
      </c>
      <c r="CI55" s="11" t="n">
        <f aca="false">SUM($B47:CI47)</f>
        <v>50</v>
      </c>
      <c r="CJ55" s="11" t="n">
        <f aca="false">SUM($B47:CJ47)</f>
        <v>50</v>
      </c>
      <c r="CK55" s="11" t="n">
        <f aca="false">SUM($B47:CK47)</f>
        <v>50</v>
      </c>
      <c r="CL55" s="11" t="n">
        <f aca="false">SUM($B47:CL47)</f>
        <v>50</v>
      </c>
      <c r="CM55" s="11" t="n">
        <f aca="false">SUM($B47:CM47)</f>
        <v>50</v>
      </c>
      <c r="CN55" s="11" t="n">
        <f aca="false">SUM($B47:CN47)</f>
        <v>50</v>
      </c>
      <c r="CO55" s="11" t="n">
        <f aca="false">SUM($B47:CO47)</f>
        <v>50</v>
      </c>
      <c r="CP55" s="11" t="n">
        <f aca="false">SUM($B47:CP47)</f>
        <v>50</v>
      </c>
      <c r="CQ55" s="11" t="n">
        <f aca="false">SUM($B47:CQ47)</f>
        <v>50</v>
      </c>
      <c r="CR55" s="11" t="n">
        <f aca="false">SUM($B47:CR47)</f>
        <v>50</v>
      </c>
      <c r="CS55" s="11" t="n">
        <f aca="false">SUM($B47:CS47)</f>
        <v>50</v>
      </c>
      <c r="CT55" s="11" t="n">
        <f aca="false">SUM($B47:CT47)</f>
        <v>50</v>
      </c>
      <c r="CU55" s="11" t="n">
        <f aca="false">SUM($B47:CU47)</f>
        <v>50</v>
      </c>
      <c r="CV55" s="11" t="n">
        <f aca="false">SUM($B47:CV47)</f>
        <v>50</v>
      </c>
      <c r="CW55" s="11" t="n">
        <f aca="false">SUM($B47:CW47)</f>
        <v>50</v>
      </c>
      <c r="CX55" s="11" t="n">
        <f aca="false">SUM($B47:CX47)</f>
        <v>50</v>
      </c>
      <c r="CY55" s="11" t="n">
        <f aca="false">SUM($B47:CY47)</f>
        <v>50</v>
      </c>
      <c r="CZ55" s="11" t="n">
        <f aca="false">SUM($B47:CZ47)</f>
        <v>50</v>
      </c>
      <c r="DA55" s="11" t="n">
        <f aca="false">SUM($B47:DA47)</f>
        <v>50</v>
      </c>
      <c r="DB55" s="11" t="n">
        <f aca="false">SUM($B47:DB47)</f>
        <v>50</v>
      </c>
      <c r="DC55" s="11" t="n">
        <f aca="false">SUM($B47:DC47)</f>
        <v>50</v>
      </c>
      <c r="DD55" s="11" t="n">
        <f aca="false">SUM($B47:DD47)</f>
        <v>50</v>
      </c>
      <c r="DE55" s="11" t="n">
        <f aca="false">SUM($B47:DE47)</f>
        <v>50</v>
      </c>
      <c r="DF55" s="11" t="n">
        <f aca="false">SUM($B47:DF47)</f>
        <v>50</v>
      </c>
      <c r="DG55" s="11" t="n">
        <f aca="false">SUM($B47:DG47)</f>
        <v>50</v>
      </c>
      <c r="DH55" s="11" t="n">
        <f aca="false">SUM($B47:DH47)</f>
        <v>50</v>
      </c>
      <c r="DI55" s="11" t="n">
        <f aca="false">SUM($B47:DI47)</f>
        <v>50</v>
      </c>
      <c r="DJ55" s="11" t="n">
        <f aca="false">SUM($B47:DJ47)</f>
        <v>50</v>
      </c>
      <c r="DK55" s="11" t="n">
        <f aca="false">SUM($B47:DK47)</f>
        <v>50</v>
      </c>
      <c r="DL55" s="11" t="n">
        <f aca="false">SUM($B47:DL47)</f>
        <v>50</v>
      </c>
      <c r="DM55" s="11" t="n">
        <f aca="false">SUM($B47:DM47)</f>
        <v>50</v>
      </c>
      <c r="DN55" s="11" t="n">
        <f aca="false">SUM($B47:DN47)</f>
        <v>50</v>
      </c>
      <c r="DO55" s="11" t="n">
        <f aca="false">SUM($B47:DO47)</f>
        <v>50</v>
      </c>
      <c r="DP55" s="11" t="n">
        <f aca="false">SUM($B47:DP47)</f>
        <v>50</v>
      </c>
      <c r="DQ55" s="11" t="n">
        <f aca="false">SUM($B47:DQ47)</f>
        <v>50</v>
      </c>
      <c r="DR55" s="11" t="n">
        <f aca="false">SUM($B47:DR47)</f>
        <v>50</v>
      </c>
    </row>
    <row r="56" customFormat="false" ht="15" hidden="false" customHeight="false" outlineLevel="0" collapsed="false">
      <c r="A56" s="9" t="s">
        <v>224</v>
      </c>
      <c r="B56" s="11" t="n">
        <f aca="false">B42-B48</f>
        <v>0</v>
      </c>
      <c r="C56" s="11" t="n">
        <f aca="false">B56+C42-C48</f>
        <v>-2.09513888888889</v>
      </c>
      <c r="D56" s="11" t="n">
        <f aca="false">C56+D42-D48</f>
        <v>-4.23208333333333</v>
      </c>
      <c r="E56" s="11" t="n">
        <f aca="false">D56+E42-E48</f>
        <v>-6.41083333333333</v>
      </c>
      <c r="F56" s="11" t="n">
        <f aca="false">E56+F42-F48</f>
        <v>-8.63138888888889</v>
      </c>
      <c r="G56" s="11" t="n">
        <f aca="false">F56+G42-G48</f>
        <v>-10.89375</v>
      </c>
      <c r="H56" s="11" t="n">
        <f aca="false">G56+H42-H48</f>
        <v>-13.1979166666667</v>
      </c>
      <c r="I56" s="11" t="n">
        <f aca="false">H56+I42-I48</f>
        <v>-15.5438888888889</v>
      </c>
      <c r="J56" s="11" t="n">
        <f aca="false">I56+J42-J48</f>
        <v>-17.9316666666667</v>
      </c>
      <c r="K56" s="11" t="n">
        <f aca="false">J56+K42-K48</f>
        <v>-20.36125</v>
      </c>
      <c r="L56" s="11" t="n">
        <f aca="false">K56+L42-L48</f>
        <v>-22.8326388888889</v>
      </c>
      <c r="M56" s="11" t="n">
        <f aca="false">L56+M42-M48</f>
        <v>-25.3458333333333</v>
      </c>
      <c r="N56" s="11" t="n">
        <f aca="false">M56+N42-N48</f>
        <v>-27.9008333333333</v>
      </c>
      <c r="O56" s="11" t="n">
        <f aca="false">N56+O42-O48</f>
        <v>-30.0515833333333</v>
      </c>
      <c r="P56" s="11" t="n">
        <f aca="false">O56+P42-P48</f>
        <v>-32.2064166666667</v>
      </c>
      <c r="Q56" s="11" t="n">
        <f aca="false">P56+Q42-Q48</f>
        <v>-34.3653333333333</v>
      </c>
      <c r="R56" s="11" t="n">
        <f aca="false">Q56+R42-R48</f>
        <v>-36.5283333333333</v>
      </c>
      <c r="S56" s="11" t="n">
        <f aca="false">R56+S42-S48</f>
        <v>-38.6954166666667</v>
      </c>
      <c r="T56" s="11" t="n">
        <f aca="false">S56+T42-T48</f>
        <v>-40.8665833333333</v>
      </c>
      <c r="U56" s="11" t="n">
        <f aca="false">T56+U42-U48</f>
        <v>-43.0418333333333</v>
      </c>
      <c r="V56" s="11" t="n">
        <f aca="false">U56+V42-V48</f>
        <v>-45.2211666666667</v>
      </c>
      <c r="W56" s="11" t="n">
        <f aca="false">V56+W42-W48</f>
        <v>-47.4045833333333</v>
      </c>
      <c r="X56" s="11" t="n">
        <f aca="false">W56+X42-X48</f>
        <v>-49.5920833333333</v>
      </c>
      <c r="Y56" s="11" t="n">
        <f aca="false">X56+Y42-Y48</f>
        <v>-51.7836666666667</v>
      </c>
      <c r="Z56" s="11" t="n">
        <f aca="false">Y56+Z42-Z48</f>
        <v>-53.9793333333333</v>
      </c>
      <c r="AA56" s="11" t="n">
        <f aca="false">Z56+AA42-AA48</f>
        <v>-56.1790833333333</v>
      </c>
      <c r="AB56" s="11" t="n">
        <f aca="false">AA56+AB42-AB48</f>
        <v>-58.3829166666667</v>
      </c>
      <c r="AC56" s="11" t="n">
        <f aca="false">AB56+AC42-AC48</f>
        <v>-60.5908333333333</v>
      </c>
      <c r="AD56" s="11" t="n">
        <f aca="false">AC56+AD42-AD48</f>
        <v>-62.8028333333333</v>
      </c>
      <c r="AE56" s="11" t="n">
        <f aca="false">AD56+AE42-AE48</f>
        <v>-65.0189166666667</v>
      </c>
      <c r="AF56" s="11" t="n">
        <f aca="false">AE56+AF42-AF48</f>
        <v>-67.2390833333333</v>
      </c>
      <c r="AG56" s="11" t="n">
        <f aca="false">AF56+AG42-AG48</f>
        <v>-69.4633333333333</v>
      </c>
      <c r="AH56" s="11" t="n">
        <f aca="false">AG56+AH42-AH48</f>
        <v>-71.6916666666667</v>
      </c>
      <c r="AI56" s="11" t="n">
        <f aca="false">AH56+AI42-AI48</f>
        <v>-73.9240833333333</v>
      </c>
      <c r="AJ56" s="11" t="n">
        <f aca="false">AI56+AJ42-AJ48</f>
        <v>-76.1605833333333</v>
      </c>
      <c r="AK56" s="11" t="n">
        <f aca="false">AJ56+AK42-AK48</f>
        <v>-78.4011666666667</v>
      </c>
      <c r="AL56" s="11" t="n">
        <f aca="false">AK56+AL42-AL48</f>
        <v>-80.6458333333333</v>
      </c>
      <c r="AM56" s="11" t="n">
        <f aca="false">AL56+AM42-AM48</f>
        <v>-82.8945833333333</v>
      </c>
      <c r="AN56" s="11" t="n">
        <f aca="false">AM56+AN42-AN48</f>
        <v>-85.1474166666667</v>
      </c>
      <c r="AO56" s="11" t="n">
        <f aca="false">AN56+AO42-AO48</f>
        <v>-87.4043333333333</v>
      </c>
      <c r="AP56" s="11" t="n">
        <f aca="false">AO56+AP42-AP48</f>
        <v>-89.6653333333333</v>
      </c>
      <c r="AQ56" s="11" t="n">
        <f aca="false">AP56+AQ42-AQ48</f>
        <v>-91.9304166666667</v>
      </c>
      <c r="AR56" s="11" t="n">
        <f aca="false">AQ56+AR42-AR48</f>
        <v>-94.1995833333333</v>
      </c>
      <c r="AS56" s="11" t="n">
        <f aca="false">AR56+AS42-AS48</f>
        <v>-96.4728333333333</v>
      </c>
      <c r="AT56" s="11" t="n">
        <f aca="false">AS56+AT42-AT48</f>
        <v>-98.7501666666667</v>
      </c>
      <c r="AU56" s="11" t="n">
        <f aca="false">AT56+AU42-AU48</f>
        <v>-101.031583333333</v>
      </c>
      <c r="AV56" s="11" t="n">
        <f aca="false">AU56+AV42-AV48</f>
        <v>-103.317083333333</v>
      </c>
      <c r="AW56" s="11" t="n">
        <f aca="false">AV56+AW42-AW48</f>
        <v>-105.606666666667</v>
      </c>
      <c r="AX56" s="11" t="n">
        <f aca="false">AW56+AX42-AX48</f>
        <v>-107.900333333333</v>
      </c>
      <c r="AY56" s="11" t="n">
        <f aca="false">AX56+AY42-AY48</f>
        <v>-110.198083333333</v>
      </c>
      <c r="AZ56" s="11" t="n">
        <f aca="false">AY56+AZ42-AZ48</f>
        <v>-112.499916666667</v>
      </c>
      <c r="BA56" s="11" t="n">
        <f aca="false">AZ56+BA42-BA48</f>
        <v>-114.805833333333</v>
      </c>
      <c r="BB56" s="11" t="n">
        <f aca="false">BA56+BB42-BB48</f>
        <v>-117.115833333333</v>
      </c>
      <c r="BC56" s="11" t="n">
        <f aca="false">BB56+BC42-BC48</f>
        <v>-119.429916666667</v>
      </c>
      <c r="BD56" s="11" t="n">
        <f aca="false">BC56+BD42-BD48</f>
        <v>-121.748083333333</v>
      </c>
      <c r="BE56" s="11" t="n">
        <f aca="false">BD56+BE42-BE48</f>
        <v>-124.070333333333</v>
      </c>
      <c r="BF56" s="11" t="n">
        <f aca="false">BE56+BF42-BF48</f>
        <v>-126.396666666667</v>
      </c>
      <c r="BG56" s="11" t="n">
        <f aca="false">BF56+BG42-BG48</f>
        <v>-128.727083333333</v>
      </c>
      <c r="BH56" s="11" t="n">
        <f aca="false">BG56+BH42-BH48</f>
        <v>-131.061583333333</v>
      </c>
      <c r="BI56" s="11" t="n">
        <f aca="false">BH56+BI42-BI48</f>
        <v>-133.400166666667</v>
      </c>
      <c r="BJ56" s="11" t="n">
        <f aca="false">BI56+BJ42-BJ48</f>
        <v>-135.742833333333</v>
      </c>
      <c r="BK56" s="11" t="n">
        <f aca="false">BJ56+BK42-BK48</f>
        <v>-138.047777777778</v>
      </c>
      <c r="BL56" s="11" t="n">
        <f aca="false">BK56+BL42-BL48</f>
        <v>-140.315</v>
      </c>
      <c r="BM56" s="11" t="n">
        <f aca="false">BL56+BM42-BM48</f>
        <v>-142.5445</v>
      </c>
      <c r="BN56" s="11" t="n">
        <f aca="false">BM56+BN42-BN48</f>
        <v>-144.736277777778</v>
      </c>
      <c r="BO56" s="11" t="n">
        <f aca="false">BN56+BO42-BO48</f>
        <v>-146.890333333333</v>
      </c>
      <c r="BP56" s="11" t="n">
        <f aca="false">BO56+BP42-BP48</f>
        <v>-149.006666666667</v>
      </c>
      <c r="BQ56" s="11" t="n">
        <f aca="false">BP56+BQ42-BQ48</f>
        <v>-151.085277777778</v>
      </c>
      <c r="BR56" s="11" t="n">
        <f aca="false">BQ56+BR42-BR48</f>
        <v>-153.126166666667</v>
      </c>
      <c r="BS56" s="11" t="n">
        <f aca="false">BR56+BS42-BS48</f>
        <v>-155.129333333333</v>
      </c>
      <c r="BT56" s="11" t="n">
        <f aca="false">BS56+BT42-BT48</f>
        <v>-157.094777777778</v>
      </c>
      <c r="BU56" s="11" t="n">
        <f aca="false">BT56+BU42-BU48</f>
        <v>-159.0225</v>
      </c>
      <c r="BV56" s="11" t="n">
        <f aca="false">BU56+BV42-BV48</f>
        <v>-160.9125</v>
      </c>
      <c r="BW56" s="11" t="n">
        <f aca="false">BV56+BW42-BW48</f>
        <v>-162.8025</v>
      </c>
      <c r="BX56" s="11" t="n">
        <f aca="false">BW56+BX42-BX48</f>
        <v>-164.6925</v>
      </c>
      <c r="BY56" s="11" t="n">
        <f aca="false">BX56+BY42-BY48</f>
        <v>-166.5825</v>
      </c>
      <c r="BZ56" s="11" t="n">
        <f aca="false">BY56+BZ42-BZ48</f>
        <v>-168.4725</v>
      </c>
      <c r="CA56" s="11" t="n">
        <f aca="false">BZ56+CA42-CA48</f>
        <v>-170.3625</v>
      </c>
      <c r="CB56" s="11" t="n">
        <f aca="false">CA56+CB42-CB48</f>
        <v>-172.2525</v>
      </c>
      <c r="CC56" s="11" t="n">
        <f aca="false">CB56+CC42-CC48</f>
        <v>-174.1425</v>
      </c>
      <c r="CD56" s="11" t="n">
        <f aca="false">CC56+CD42-CD48</f>
        <v>-176.0325</v>
      </c>
      <c r="CE56" s="11" t="n">
        <f aca="false">CD56+CE42-CE48</f>
        <v>-177.9225</v>
      </c>
      <c r="CF56" s="11" t="n">
        <f aca="false">CE56+CF42-CF48</f>
        <v>-179.8125</v>
      </c>
      <c r="CG56" s="11" t="n">
        <f aca="false">CF56+CG42-CG48</f>
        <v>-181.7025</v>
      </c>
      <c r="CH56" s="11" t="n">
        <f aca="false">CG56+CH42-CH48</f>
        <v>-183.5925</v>
      </c>
      <c r="CI56" s="11" t="n">
        <f aca="false">CH56+CI42-CI48</f>
        <v>-185.4825</v>
      </c>
      <c r="CJ56" s="11" t="n">
        <f aca="false">CI56+CJ42-CJ48</f>
        <v>-187.3725</v>
      </c>
      <c r="CK56" s="11" t="n">
        <f aca="false">CJ56+CK42-CK48</f>
        <v>-189.2625</v>
      </c>
      <c r="CL56" s="11" t="n">
        <f aca="false">CK56+CL42-CL48</f>
        <v>-191.1525</v>
      </c>
      <c r="CM56" s="11" t="n">
        <f aca="false">CL56+CM42-CM48</f>
        <v>-193.0425</v>
      </c>
      <c r="CN56" s="11" t="n">
        <f aca="false">CM56+CN42-CN48</f>
        <v>-194.9325</v>
      </c>
      <c r="CO56" s="11" t="n">
        <f aca="false">CN56+CO42-CO48</f>
        <v>-196.8225</v>
      </c>
      <c r="CP56" s="11" t="n">
        <f aca="false">CO56+CP42-CP48</f>
        <v>-198.7125</v>
      </c>
      <c r="CQ56" s="11" t="n">
        <f aca="false">CP56+CQ42-CQ48</f>
        <v>-200.6025</v>
      </c>
      <c r="CR56" s="11" t="n">
        <f aca="false">CQ56+CR42-CR48</f>
        <v>-202.4925</v>
      </c>
      <c r="CS56" s="11" t="n">
        <f aca="false">CR56+CS42-CS48</f>
        <v>-204.3825</v>
      </c>
      <c r="CT56" s="11" t="n">
        <f aca="false">CS56+CT42-CT48</f>
        <v>-206.2725</v>
      </c>
      <c r="CU56" s="11" t="n">
        <f aca="false">CT56+CU42-CU48</f>
        <v>-208.1625</v>
      </c>
      <c r="CV56" s="11" t="n">
        <f aca="false">CU56+CV42-CV48</f>
        <v>-210.0525</v>
      </c>
      <c r="CW56" s="11" t="n">
        <f aca="false">CV56+CW42-CW48</f>
        <v>-211.9425</v>
      </c>
      <c r="CX56" s="11" t="n">
        <f aca="false">CW56+CX42-CX48</f>
        <v>-213.8325</v>
      </c>
      <c r="CY56" s="11" t="n">
        <f aca="false">CX56+CY42-CY48</f>
        <v>-215.7225</v>
      </c>
      <c r="CZ56" s="11" t="n">
        <f aca="false">CY56+CZ42-CZ48</f>
        <v>-217.6125</v>
      </c>
      <c r="DA56" s="11" t="n">
        <f aca="false">CZ56+DA42-DA48</f>
        <v>-219.5025</v>
      </c>
      <c r="DB56" s="11" t="n">
        <f aca="false">DA56+DB42-DB48</f>
        <v>-221.3925</v>
      </c>
      <c r="DC56" s="11" t="n">
        <f aca="false">DB56+DC42-DC48</f>
        <v>-223.2825</v>
      </c>
      <c r="DD56" s="11" t="n">
        <f aca="false">DC56+DD42-DD48</f>
        <v>-225.1725</v>
      </c>
      <c r="DE56" s="11" t="n">
        <f aca="false">DD56+DE42-DE48</f>
        <v>-227.0625</v>
      </c>
      <c r="DF56" s="11" t="n">
        <f aca="false">DE56+DF42-DF48</f>
        <v>-228.9525</v>
      </c>
      <c r="DG56" s="11" t="n">
        <f aca="false">DF56+DG42-DG48</f>
        <v>-230.8425</v>
      </c>
      <c r="DH56" s="11" t="n">
        <f aca="false">DG56+DH42-DH48</f>
        <v>-232.7325</v>
      </c>
      <c r="DI56" s="11" t="n">
        <f aca="false">DH56+DI42-DI48</f>
        <v>-234.6225</v>
      </c>
      <c r="DJ56" s="11" t="n">
        <f aca="false">DI56+DJ42-DJ48</f>
        <v>-236.5125</v>
      </c>
      <c r="DK56" s="11" t="n">
        <f aca="false">DJ56+DK42-DK48</f>
        <v>-238.4025</v>
      </c>
      <c r="DL56" s="11" t="n">
        <f aca="false">DK56+DL42-DL48</f>
        <v>-240.2925</v>
      </c>
      <c r="DM56" s="11" t="n">
        <f aca="false">DL56+DM42-DM48</f>
        <v>-242.1825</v>
      </c>
      <c r="DN56" s="11" t="n">
        <f aca="false">DM56+DN42-DN48</f>
        <v>-244.072499999999</v>
      </c>
      <c r="DO56" s="11" t="n">
        <f aca="false">DN56+DO42-DO48</f>
        <v>-245.962499999999</v>
      </c>
      <c r="DP56" s="11" t="n">
        <f aca="false">DO56+DP42-DP48</f>
        <v>-247.852499999999</v>
      </c>
      <c r="DQ56" s="11" t="n">
        <f aca="false">DP56+DQ42-DQ48</f>
        <v>-249.742499999999</v>
      </c>
      <c r="DR56" s="11" t="n">
        <f aca="false">DQ56+DR42-DR48</f>
        <v>-251.632499999999</v>
      </c>
    </row>
    <row r="57" customFormat="false" ht="15" hidden="false" customHeight="false" outlineLevel="0" collapsed="false">
      <c r="A57" s="9" t="s">
        <v>225</v>
      </c>
      <c r="B57" s="11" t="n">
        <f aca="false">B52+B20+B54</f>
        <v>50</v>
      </c>
      <c r="C57" s="11" t="n">
        <f aca="false">C52+C20+C54</f>
        <v>47.9048611111111</v>
      </c>
      <c r="D57" s="11" t="n">
        <f aca="false">D52+D20+D54</f>
        <v>45.7679166666667</v>
      </c>
      <c r="E57" s="11" t="n">
        <f aca="false">E52+E20+E54</f>
        <v>43.5891666666667</v>
      </c>
      <c r="F57" s="11" t="n">
        <f aca="false">F52+F20+F54</f>
        <v>41.3686111111111</v>
      </c>
      <c r="G57" s="11" t="n">
        <f aca="false">G52+G20+G54</f>
        <v>39.10625</v>
      </c>
      <c r="H57" s="11" t="n">
        <f aca="false">H52+H20+H54</f>
        <v>36.8020833333333</v>
      </c>
      <c r="I57" s="11" t="n">
        <f aca="false">I52+I20+I54</f>
        <v>34.4561111111111</v>
      </c>
      <c r="J57" s="11" t="n">
        <f aca="false">J52+J20+J54</f>
        <v>32.0683333333333</v>
      </c>
      <c r="K57" s="11" t="n">
        <f aca="false">K52+K20+K54</f>
        <v>29.63875</v>
      </c>
      <c r="L57" s="11" t="n">
        <f aca="false">L52+L20+L54</f>
        <v>27.1673611111111</v>
      </c>
      <c r="M57" s="11" t="n">
        <f aca="false">M52+M20+M54</f>
        <v>24.6541666666667</v>
      </c>
      <c r="N57" s="11" t="n">
        <f aca="false">N52+N20+N54</f>
        <v>22.0991666666667</v>
      </c>
      <c r="O57" s="11" t="n">
        <f aca="false">O52+O20+O54</f>
        <v>19.9484166666667</v>
      </c>
      <c r="P57" s="11" t="n">
        <f aca="false">P52+P20+P54</f>
        <v>17.7935833333333</v>
      </c>
      <c r="Q57" s="11" t="n">
        <f aca="false">Q52+Q20+Q54</f>
        <v>15.6346666666667</v>
      </c>
      <c r="R57" s="11" t="n">
        <f aca="false">R52+R20+R54</f>
        <v>13.4716666666667</v>
      </c>
      <c r="S57" s="11" t="n">
        <f aca="false">S52+S20+S54</f>
        <v>11.3045833333333</v>
      </c>
      <c r="T57" s="11" t="n">
        <f aca="false">T52+T20+T54</f>
        <v>9.13341666666668</v>
      </c>
      <c r="U57" s="11" t="n">
        <f aca="false">U52+U20+U54</f>
        <v>6.95816666666668</v>
      </c>
      <c r="V57" s="11" t="n">
        <f aca="false">V52+V20+V54</f>
        <v>4.77883333333335</v>
      </c>
      <c r="W57" s="11" t="n">
        <f aca="false">W52+W20+W54</f>
        <v>2.59541666666669</v>
      </c>
      <c r="X57" s="11" t="n">
        <f aca="false">X52+X20+X54</f>
        <v>0.407916666666686</v>
      </c>
      <c r="Y57" s="11" t="n">
        <f aca="false">Y52+Y20+Y54</f>
        <v>-1.78366666666665</v>
      </c>
      <c r="Z57" s="11" t="n">
        <f aca="false">Z52+Z20+Z54</f>
        <v>-3.97933333333332</v>
      </c>
      <c r="AA57" s="11" t="n">
        <f aca="false">AA52+AA20+AA54</f>
        <v>-6.17908333333331</v>
      </c>
      <c r="AB57" s="11" t="n">
        <f aca="false">AB52+AB20+AB54</f>
        <v>-8.38291666666664</v>
      </c>
      <c r="AC57" s="11" t="n">
        <f aca="false">AC52+AC20+AC54</f>
        <v>-10.5908333333333</v>
      </c>
      <c r="AD57" s="11" t="n">
        <f aca="false">AD52+AD20+AD54</f>
        <v>-12.8028333333333</v>
      </c>
      <c r="AE57" s="11" t="n">
        <f aca="false">AE52+AE20+AE54</f>
        <v>-15.0189166666666</v>
      </c>
      <c r="AF57" s="11" t="n">
        <f aca="false">AF52+AF20+AF54</f>
        <v>-17.2390833333333</v>
      </c>
      <c r="AG57" s="11" t="n">
        <f aca="false">AG52+AG20+AG54</f>
        <v>-19.4633333333333</v>
      </c>
      <c r="AH57" s="11" t="n">
        <f aca="false">AH52+AH20+AH54</f>
        <v>-21.6916666666666</v>
      </c>
      <c r="AI57" s="11" t="n">
        <f aca="false">AI52+AI20+AI54</f>
        <v>-23.9240833333333</v>
      </c>
      <c r="AJ57" s="11" t="n">
        <f aca="false">AJ52+AJ20+AJ54</f>
        <v>-26.1605833333333</v>
      </c>
      <c r="AK57" s="11" t="n">
        <f aca="false">AK52+AK20+AK54</f>
        <v>-28.4011666666666</v>
      </c>
      <c r="AL57" s="11" t="n">
        <f aca="false">AL52+AL20+AL54</f>
        <v>-30.6458333333333</v>
      </c>
      <c r="AM57" s="11" t="n">
        <f aca="false">AM52+AM20+AM54</f>
        <v>-32.8945833333333</v>
      </c>
      <c r="AN57" s="11" t="n">
        <f aca="false">AN52+AN20+AN54</f>
        <v>-35.1474166666666</v>
      </c>
      <c r="AO57" s="11" t="n">
        <f aca="false">AO52+AO20+AO54</f>
        <v>-37.4043333333333</v>
      </c>
      <c r="AP57" s="11" t="n">
        <f aca="false">AP52+AP20+AP54</f>
        <v>-39.6653333333333</v>
      </c>
      <c r="AQ57" s="11" t="n">
        <f aca="false">AQ52+AQ20+AQ54</f>
        <v>-41.9304166666666</v>
      </c>
      <c r="AR57" s="11" t="n">
        <f aca="false">AR52+AR20+AR54</f>
        <v>-44.1995833333333</v>
      </c>
      <c r="AS57" s="11" t="n">
        <f aca="false">AS52+AS20+AS54</f>
        <v>-46.4728333333333</v>
      </c>
      <c r="AT57" s="11" t="n">
        <f aca="false">AT52+AT20+AT54</f>
        <v>-48.7501666666666</v>
      </c>
      <c r="AU57" s="11" t="n">
        <f aca="false">AU52+AU20+AU54</f>
        <v>-51.0315833333333</v>
      </c>
      <c r="AV57" s="11" t="n">
        <f aca="false">AV52+AV20+AV54</f>
        <v>-53.3170833333333</v>
      </c>
      <c r="AW57" s="11" t="n">
        <f aca="false">AW52+AW20+AW54</f>
        <v>-55.6066666666666</v>
      </c>
      <c r="AX57" s="11" t="n">
        <f aca="false">AX52+AX20+AX54</f>
        <v>-57.9003333333333</v>
      </c>
      <c r="AY57" s="11" t="n">
        <f aca="false">AY52+AY20+AY54</f>
        <v>-60.1980833333333</v>
      </c>
      <c r="AZ57" s="11" t="n">
        <f aca="false">AZ52+AZ20+AZ54</f>
        <v>-62.4999166666666</v>
      </c>
      <c r="BA57" s="11" t="n">
        <f aca="false">BA52+BA20+BA54</f>
        <v>-64.8058333333333</v>
      </c>
      <c r="BB57" s="11" t="n">
        <f aca="false">BB52+BB20+BB54</f>
        <v>-67.1158333333333</v>
      </c>
      <c r="BC57" s="11" t="n">
        <f aca="false">BC52+BC20+BC54</f>
        <v>-69.4299166666666</v>
      </c>
      <c r="BD57" s="11" t="n">
        <f aca="false">BD52+BD20+BD54</f>
        <v>-71.7480833333333</v>
      </c>
      <c r="BE57" s="11" t="n">
        <f aca="false">BE52+BE20+BE54</f>
        <v>-74.0703333333333</v>
      </c>
      <c r="BF57" s="11" t="n">
        <f aca="false">BF52+BF20+BF54</f>
        <v>-76.3966666666666</v>
      </c>
      <c r="BG57" s="11" t="n">
        <f aca="false">BG52+BG20+BG54</f>
        <v>-78.7270833333333</v>
      </c>
      <c r="BH57" s="11" t="n">
        <f aca="false">BH52+BH20+BH54</f>
        <v>-81.0615833333333</v>
      </c>
      <c r="BI57" s="11" t="n">
        <f aca="false">BI52+BI20+BI54</f>
        <v>-83.4001666666666</v>
      </c>
      <c r="BJ57" s="11" t="n">
        <f aca="false">BJ52+BJ20+BJ54</f>
        <v>-85.7428333333333</v>
      </c>
      <c r="BK57" s="11" t="n">
        <f aca="false">BK52+BK20+BK54</f>
        <v>-88.0477777777777</v>
      </c>
      <c r="BL57" s="11" t="n">
        <f aca="false">BL52+BL20+BL54</f>
        <v>-90.3149999999999</v>
      </c>
      <c r="BM57" s="11" t="n">
        <f aca="false">BM52+BM20+BM54</f>
        <v>-92.5444999999999</v>
      </c>
      <c r="BN57" s="11" t="n">
        <f aca="false">BN52+BN20+BN54</f>
        <v>-94.7362777777777</v>
      </c>
      <c r="BO57" s="11" t="n">
        <f aca="false">BO52+BO20+BO54</f>
        <v>-96.8903333333333</v>
      </c>
      <c r="BP57" s="11" t="n">
        <f aca="false">BP52+BP20+BP54</f>
        <v>-99.0066666666666</v>
      </c>
      <c r="BQ57" s="11" t="n">
        <f aca="false">BQ52+BQ20+BQ54</f>
        <v>-101.085277777778</v>
      </c>
      <c r="BR57" s="11" t="n">
        <f aca="false">BR52+BR20+BR54</f>
        <v>-103.126166666667</v>
      </c>
      <c r="BS57" s="11" t="n">
        <f aca="false">BS52+BS20+BS54</f>
        <v>-105.129333333333</v>
      </c>
      <c r="BT57" s="11" t="n">
        <f aca="false">BT52+BT20+BT54</f>
        <v>-107.094777777778</v>
      </c>
      <c r="BU57" s="11" t="n">
        <f aca="false">BU52+BU20+BU54</f>
        <v>-109.0225</v>
      </c>
      <c r="BV57" s="11" t="n">
        <f aca="false">BV52+BV20+BV54</f>
        <v>-110.9125</v>
      </c>
      <c r="BW57" s="11" t="n">
        <f aca="false">BW52+BW20+BW54</f>
        <v>-112.8025</v>
      </c>
      <c r="BX57" s="11" t="n">
        <f aca="false">BX52+BX20+BX54</f>
        <v>-114.6925</v>
      </c>
      <c r="BY57" s="11" t="n">
        <f aca="false">BY52+BY20+BY54</f>
        <v>-116.5825</v>
      </c>
      <c r="BZ57" s="11" t="n">
        <f aca="false">BZ52+BZ20+BZ54</f>
        <v>-118.4725</v>
      </c>
      <c r="CA57" s="11" t="n">
        <f aca="false">CA52+CA20+CA54</f>
        <v>-120.3625</v>
      </c>
      <c r="CB57" s="11" t="n">
        <f aca="false">CB52+CB20+CB54</f>
        <v>-122.2525</v>
      </c>
      <c r="CC57" s="11" t="n">
        <f aca="false">CC52+CC20+CC54</f>
        <v>-124.1425</v>
      </c>
      <c r="CD57" s="11" t="n">
        <f aca="false">CD52+CD20+CD54</f>
        <v>-126.0325</v>
      </c>
      <c r="CE57" s="11" t="n">
        <f aca="false">CE52+CE20+CE54</f>
        <v>-127.9225</v>
      </c>
      <c r="CF57" s="11" t="n">
        <f aca="false">CF52+CF20+CF54</f>
        <v>-129.8125</v>
      </c>
      <c r="CG57" s="11" t="n">
        <f aca="false">CG52+CG20+CG54</f>
        <v>-131.7025</v>
      </c>
      <c r="CH57" s="11" t="n">
        <f aca="false">CH52+CH20+CH54</f>
        <v>-133.5925</v>
      </c>
      <c r="CI57" s="11" t="n">
        <f aca="false">CI52+CI20+CI54</f>
        <v>-135.4825</v>
      </c>
      <c r="CJ57" s="11" t="n">
        <f aca="false">CJ52+CJ20+CJ54</f>
        <v>-137.3725</v>
      </c>
      <c r="CK57" s="11" t="n">
        <f aca="false">CK52+CK20+CK54</f>
        <v>-139.2625</v>
      </c>
      <c r="CL57" s="11" t="n">
        <f aca="false">CL52+CL20+CL54</f>
        <v>-141.1525</v>
      </c>
      <c r="CM57" s="11" t="n">
        <f aca="false">CM52+CM20+CM54</f>
        <v>-143.0425</v>
      </c>
      <c r="CN57" s="11" t="n">
        <f aca="false">CN52+CN20+CN54</f>
        <v>-144.9325</v>
      </c>
      <c r="CO57" s="11" t="n">
        <f aca="false">CO52+CO20+CO54</f>
        <v>-146.8225</v>
      </c>
      <c r="CP57" s="11" t="n">
        <f aca="false">CP52+CP20+CP54</f>
        <v>-148.7125</v>
      </c>
      <c r="CQ57" s="11" t="n">
        <f aca="false">CQ52+CQ20+CQ54</f>
        <v>-150.6025</v>
      </c>
      <c r="CR57" s="11" t="n">
        <f aca="false">CR52+CR20+CR54</f>
        <v>-152.4925</v>
      </c>
      <c r="CS57" s="11" t="n">
        <f aca="false">CS52+CS20+CS54</f>
        <v>-154.3825</v>
      </c>
      <c r="CT57" s="11" t="n">
        <f aca="false">CT52+CT20+CT54</f>
        <v>-156.2725</v>
      </c>
      <c r="CU57" s="11" t="n">
        <f aca="false">CU52+CU20+CU54</f>
        <v>-158.1625</v>
      </c>
      <c r="CV57" s="11" t="n">
        <f aca="false">CV52+CV20+CV54</f>
        <v>-160.0525</v>
      </c>
      <c r="CW57" s="11" t="n">
        <f aca="false">CW52+CW20+CW54</f>
        <v>-161.9425</v>
      </c>
      <c r="CX57" s="11" t="n">
        <f aca="false">CX52+CX20+CX54</f>
        <v>-163.8325</v>
      </c>
      <c r="CY57" s="11" t="n">
        <f aca="false">CY52+CY20+CY54</f>
        <v>-165.7225</v>
      </c>
      <c r="CZ57" s="11" t="n">
        <f aca="false">CZ52+CZ20+CZ54</f>
        <v>-167.6125</v>
      </c>
      <c r="DA57" s="11" t="n">
        <f aca="false">DA52+DA20+DA54</f>
        <v>-169.5025</v>
      </c>
      <c r="DB57" s="11" t="n">
        <f aca="false">DB52+DB20+DB54</f>
        <v>-171.3925</v>
      </c>
      <c r="DC57" s="11" t="n">
        <f aca="false">DC52+DC20+DC54</f>
        <v>-173.2825</v>
      </c>
      <c r="DD57" s="11" t="n">
        <f aca="false">DD52+DD20+DD54</f>
        <v>-175.1725</v>
      </c>
      <c r="DE57" s="11" t="n">
        <f aca="false">DE52+DE20+DE54</f>
        <v>-177.0625</v>
      </c>
      <c r="DF57" s="11" t="n">
        <f aca="false">DF52+DF20+DF54</f>
        <v>-178.9525</v>
      </c>
      <c r="DG57" s="11" t="n">
        <f aca="false">DG52+DG20+DG54</f>
        <v>-180.8425</v>
      </c>
      <c r="DH57" s="11" t="n">
        <f aca="false">DH52+DH20+DH54</f>
        <v>-182.732499999999</v>
      </c>
      <c r="DI57" s="11" t="n">
        <f aca="false">DI52+DI20+DI54</f>
        <v>-184.622499999999</v>
      </c>
      <c r="DJ57" s="11" t="n">
        <f aca="false">DJ52+DJ20+DJ54</f>
        <v>-186.512499999999</v>
      </c>
      <c r="DK57" s="11" t="n">
        <f aca="false">DK52+DK20+DK54</f>
        <v>-188.402499999999</v>
      </c>
      <c r="DL57" s="11" t="n">
        <f aca="false">DL52+DL20+DL54</f>
        <v>-190.292499999999</v>
      </c>
      <c r="DM57" s="11" t="n">
        <f aca="false">DM52+DM20+DM54</f>
        <v>-192.182499999999</v>
      </c>
      <c r="DN57" s="11" t="n">
        <f aca="false">DN52+DN20+DN54</f>
        <v>-194.072499999999</v>
      </c>
      <c r="DO57" s="11" t="n">
        <f aca="false">DO52+DO20+DO54</f>
        <v>-195.962499999999</v>
      </c>
      <c r="DP57" s="11" t="n">
        <f aca="false">DP52+DP20+DP54</f>
        <v>-197.852499999999</v>
      </c>
      <c r="DQ57" s="11" t="n">
        <f aca="false">DQ52+DQ20+DQ54</f>
        <v>-199.742499999999</v>
      </c>
      <c r="DR57" s="11" t="n">
        <f aca="false">DR52+DR20+DR54</f>
        <v>-201.632499999999</v>
      </c>
    </row>
    <row r="58" customFormat="false" ht="15" hidden="false" customHeight="false" outlineLevel="0" collapsed="false">
      <c r="A58" s="9" t="s">
        <v>226</v>
      </c>
      <c r="B58" s="11" t="n">
        <f aca="false">B43+B55+B56</f>
        <v>50</v>
      </c>
      <c r="C58" s="11" t="n">
        <f aca="false">C43+C55+C56</f>
        <v>47.9048611111111</v>
      </c>
      <c r="D58" s="11" t="n">
        <f aca="false">D43+D55+D56</f>
        <v>45.7679166666667</v>
      </c>
      <c r="E58" s="11" t="n">
        <f aca="false">E43+E55+E56</f>
        <v>43.5891666666667</v>
      </c>
      <c r="F58" s="11" t="n">
        <f aca="false">F43+F55+F56</f>
        <v>41.3686111111111</v>
      </c>
      <c r="G58" s="11" t="n">
        <f aca="false">G43+G55+G56</f>
        <v>39.10625</v>
      </c>
      <c r="H58" s="11" t="n">
        <f aca="false">H43+H55+H56</f>
        <v>36.8020833333333</v>
      </c>
      <c r="I58" s="11" t="n">
        <f aca="false">I43+I55+I56</f>
        <v>34.4561111111111</v>
      </c>
      <c r="J58" s="11" t="n">
        <f aca="false">J43+J55+J56</f>
        <v>32.0683333333333</v>
      </c>
      <c r="K58" s="11" t="n">
        <f aca="false">K43+K55+K56</f>
        <v>29.63875</v>
      </c>
      <c r="L58" s="11" t="n">
        <f aca="false">L43+L55+L56</f>
        <v>27.1673611111111</v>
      </c>
      <c r="M58" s="11" t="n">
        <f aca="false">M43+M55+M56</f>
        <v>24.6541666666667</v>
      </c>
      <c r="N58" s="11" t="n">
        <f aca="false">N43+N55+N56</f>
        <v>22.0991666666667</v>
      </c>
      <c r="O58" s="11" t="n">
        <f aca="false">O43+O55+O56</f>
        <v>19.9484166666667</v>
      </c>
      <c r="P58" s="11" t="n">
        <f aca="false">P43+P55+P56</f>
        <v>17.7935833333333</v>
      </c>
      <c r="Q58" s="11" t="n">
        <f aca="false">Q43+Q55+Q56</f>
        <v>15.6346666666667</v>
      </c>
      <c r="R58" s="11" t="n">
        <f aca="false">R43+R55+R56</f>
        <v>13.4716666666667</v>
      </c>
      <c r="S58" s="11" t="n">
        <f aca="false">S43+S55+S56</f>
        <v>11.3045833333333</v>
      </c>
      <c r="T58" s="11" t="n">
        <f aca="false">T43+T55+T56</f>
        <v>9.13341666666666</v>
      </c>
      <c r="U58" s="11" t="n">
        <f aca="false">U43+U55+U56</f>
        <v>6.95816666666666</v>
      </c>
      <c r="V58" s="11" t="n">
        <f aca="false">V43+V55+V56</f>
        <v>4.77883333333332</v>
      </c>
      <c r="W58" s="11" t="n">
        <f aca="false">W43+W55+W56</f>
        <v>2.59541666666666</v>
      </c>
      <c r="X58" s="11" t="n">
        <f aca="false">X43+X55+X56</f>
        <v>0.407916666666658</v>
      </c>
      <c r="Y58" s="11" t="n">
        <f aca="false">Y43+Y55+Y56</f>
        <v>-1.78366666666668</v>
      </c>
      <c r="Z58" s="11" t="n">
        <f aca="false">Z43+Z55+Z56</f>
        <v>-3.97933333333334</v>
      </c>
      <c r="AA58" s="11" t="n">
        <f aca="false">AA43+AA55+AA56</f>
        <v>-6.17908333333335</v>
      </c>
      <c r="AB58" s="11" t="n">
        <f aca="false">AB43+AB55+AB56</f>
        <v>-8.38291666666667</v>
      </c>
      <c r="AC58" s="11" t="n">
        <f aca="false">AC43+AC55+AC56</f>
        <v>-10.5908333333333</v>
      </c>
      <c r="AD58" s="11" t="n">
        <f aca="false">AD43+AD55+AD56</f>
        <v>-12.8028333333333</v>
      </c>
      <c r="AE58" s="11" t="n">
        <f aca="false">AE43+AE55+AE56</f>
        <v>-15.0189166666667</v>
      </c>
      <c r="AF58" s="11" t="n">
        <f aca="false">AF43+AF55+AF56</f>
        <v>-17.2390833333333</v>
      </c>
      <c r="AG58" s="11" t="n">
        <f aca="false">AG43+AG55+AG56</f>
        <v>-19.4633333333333</v>
      </c>
      <c r="AH58" s="11" t="n">
        <f aca="false">AH43+AH55+AH56</f>
        <v>-21.6916666666667</v>
      </c>
      <c r="AI58" s="11" t="n">
        <f aca="false">AI43+AI55+AI56</f>
        <v>-23.9240833333333</v>
      </c>
      <c r="AJ58" s="11" t="n">
        <f aca="false">AJ43+AJ55+AJ56</f>
        <v>-26.1605833333333</v>
      </c>
      <c r="AK58" s="11" t="n">
        <f aca="false">AK43+AK55+AK56</f>
        <v>-28.4011666666667</v>
      </c>
      <c r="AL58" s="11" t="n">
        <f aca="false">AL43+AL55+AL56</f>
        <v>-30.6458333333333</v>
      </c>
      <c r="AM58" s="11" t="n">
        <f aca="false">AM43+AM55+AM56</f>
        <v>-32.8945833333333</v>
      </c>
      <c r="AN58" s="11" t="n">
        <f aca="false">AN43+AN55+AN56</f>
        <v>-35.1474166666667</v>
      </c>
      <c r="AO58" s="11" t="n">
        <f aca="false">AO43+AO55+AO56</f>
        <v>-37.4043333333333</v>
      </c>
      <c r="AP58" s="11" t="n">
        <f aca="false">AP43+AP55+AP56</f>
        <v>-39.6653333333333</v>
      </c>
      <c r="AQ58" s="11" t="n">
        <f aca="false">AQ43+AQ55+AQ56</f>
        <v>-41.9304166666667</v>
      </c>
      <c r="AR58" s="11" t="n">
        <f aca="false">AR43+AR55+AR56</f>
        <v>-44.1995833333333</v>
      </c>
      <c r="AS58" s="11" t="n">
        <f aca="false">AS43+AS55+AS56</f>
        <v>-46.4728333333333</v>
      </c>
      <c r="AT58" s="11" t="n">
        <f aca="false">AT43+AT55+AT56</f>
        <v>-48.7501666666667</v>
      </c>
      <c r="AU58" s="11" t="n">
        <f aca="false">AU43+AU55+AU56</f>
        <v>-51.0315833333333</v>
      </c>
      <c r="AV58" s="11" t="n">
        <f aca="false">AV43+AV55+AV56</f>
        <v>-53.3170833333333</v>
      </c>
      <c r="AW58" s="11" t="n">
        <f aca="false">AW43+AW55+AW56</f>
        <v>-55.6066666666667</v>
      </c>
      <c r="AX58" s="11" t="n">
        <f aca="false">AX43+AX55+AX56</f>
        <v>-57.9003333333334</v>
      </c>
      <c r="AY58" s="11" t="n">
        <f aca="false">AY43+AY55+AY56</f>
        <v>-60.1980833333334</v>
      </c>
      <c r="AZ58" s="11" t="n">
        <f aca="false">AZ43+AZ55+AZ56</f>
        <v>-62.4999166666667</v>
      </c>
      <c r="BA58" s="11" t="n">
        <f aca="false">BA43+BA55+BA56</f>
        <v>-64.8058333333334</v>
      </c>
      <c r="BB58" s="11" t="n">
        <f aca="false">BB43+BB55+BB56</f>
        <v>-67.1158333333334</v>
      </c>
      <c r="BC58" s="11" t="n">
        <f aca="false">BC43+BC55+BC56</f>
        <v>-69.4299166666667</v>
      </c>
      <c r="BD58" s="11" t="n">
        <f aca="false">BD43+BD55+BD56</f>
        <v>-71.7480833333334</v>
      </c>
      <c r="BE58" s="11" t="n">
        <f aca="false">BE43+BE55+BE56</f>
        <v>-74.0703333333334</v>
      </c>
      <c r="BF58" s="11" t="n">
        <f aca="false">BF43+BF55+BF56</f>
        <v>-76.3966666666667</v>
      </c>
      <c r="BG58" s="11" t="n">
        <f aca="false">BG43+BG55+BG56</f>
        <v>-78.7270833333334</v>
      </c>
      <c r="BH58" s="11" t="n">
        <f aca="false">BH43+BH55+BH56</f>
        <v>-81.0615833333334</v>
      </c>
      <c r="BI58" s="11" t="n">
        <f aca="false">BI43+BI55+BI56</f>
        <v>-83.4001666666667</v>
      </c>
      <c r="BJ58" s="11" t="n">
        <f aca="false">BJ43+BJ55+BJ56</f>
        <v>-85.7428333333334</v>
      </c>
      <c r="BK58" s="11" t="n">
        <f aca="false">BK43+BK55+BK56</f>
        <v>-88.0477777777778</v>
      </c>
      <c r="BL58" s="11" t="n">
        <f aca="false">BL43+BL55+BL56</f>
        <v>-90.315</v>
      </c>
      <c r="BM58" s="11" t="n">
        <f aca="false">BM43+BM55+BM56</f>
        <v>-92.5445</v>
      </c>
      <c r="BN58" s="11" t="n">
        <f aca="false">BN43+BN55+BN56</f>
        <v>-94.7362777777778</v>
      </c>
      <c r="BO58" s="11" t="n">
        <f aca="false">BO43+BO55+BO56</f>
        <v>-96.8903333333334</v>
      </c>
      <c r="BP58" s="11" t="n">
        <f aca="false">BP43+BP55+BP56</f>
        <v>-99.0066666666667</v>
      </c>
      <c r="BQ58" s="11" t="n">
        <f aca="false">BQ43+BQ55+BQ56</f>
        <v>-101.085277777778</v>
      </c>
      <c r="BR58" s="11" t="n">
        <f aca="false">BR43+BR55+BR56</f>
        <v>-103.126166666667</v>
      </c>
      <c r="BS58" s="11" t="n">
        <f aca="false">BS43+BS55+BS56</f>
        <v>-105.129333333333</v>
      </c>
      <c r="BT58" s="11" t="n">
        <f aca="false">BT43+BT55+BT56</f>
        <v>-107.094777777778</v>
      </c>
      <c r="BU58" s="11" t="n">
        <f aca="false">BU43+BU55+BU56</f>
        <v>-109.0225</v>
      </c>
      <c r="BV58" s="11" t="n">
        <f aca="false">BV43+BV55+BV56</f>
        <v>-110.9125</v>
      </c>
      <c r="BW58" s="11" t="n">
        <f aca="false">BW43+BW55+BW56</f>
        <v>-112.8025</v>
      </c>
      <c r="BX58" s="11" t="n">
        <f aca="false">BX43+BX55+BX56</f>
        <v>-114.6925</v>
      </c>
      <c r="BY58" s="11" t="n">
        <f aca="false">BY43+BY55+BY56</f>
        <v>-116.5825</v>
      </c>
      <c r="BZ58" s="11" t="n">
        <f aca="false">BZ43+BZ55+BZ56</f>
        <v>-118.4725</v>
      </c>
      <c r="CA58" s="11" t="n">
        <f aca="false">CA43+CA55+CA56</f>
        <v>-120.3625</v>
      </c>
      <c r="CB58" s="11" t="n">
        <f aca="false">CB43+CB55+CB56</f>
        <v>-122.2525</v>
      </c>
      <c r="CC58" s="11" t="n">
        <f aca="false">CC43+CC55+CC56</f>
        <v>-124.1425</v>
      </c>
      <c r="CD58" s="11" t="n">
        <f aca="false">CD43+CD55+CD56</f>
        <v>-126.0325</v>
      </c>
      <c r="CE58" s="11" t="n">
        <f aca="false">CE43+CE55+CE56</f>
        <v>-127.9225</v>
      </c>
      <c r="CF58" s="11" t="n">
        <f aca="false">CF43+CF55+CF56</f>
        <v>-129.8125</v>
      </c>
      <c r="CG58" s="11" t="n">
        <f aca="false">CG43+CG55+CG56</f>
        <v>-131.7025</v>
      </c>
      <c r="CH58" s="11" t="n">
        <f aca="false">CH43+CH55+CH56</f>
        <v>-133.5925</v>
      </c>
      <c r="CI58" s="11" t="n">
        <f aca="false">CI43+CI55+CI56</f>
        <v>-135.4825</v>
      </c>
      <c r="CJ58" s="11" t="n">
        <f aca="false">CJ43+CJ55+CJ56</f>
        <v>-137.3725</v>
      </c>
      <c r="CK58" s="11" t="n">
        <f aca="false">CK43+CK55+CK56</f>
        <v>-139.2625</v>
      </c>
      <c r="CL58" s="11" t="n">
        <f aca="false">CL43+CL55+CL56</f>
        <v>-141.1525</v>
      </c>
      <c r="CM58" s="11" t="n">
        <f aca="false">CM43+CM55+CM56</f>
        <v>-143.0425</v>
      </c>
      <c r="CN58" s="11" t="n">
        <f aca="false">CN43+CN55+CN56</f>
        <v>-144.9325</v>
      </c>
      <c r="CO58" s="11" t="n">
        <f aca="false">CO43+CO55+CO56</f>
        <v>-146.8225</v>
      </c>
      <c r="CP58" s="11" t="n">
        <f aca="false">CP43+CP55+CP56</f>
        <v>-148.7125</v>
      </c>
      <c r="CQ58" s="11" t="n">
        <f aca="false">CQ43+CQ55+CQ56</f>
        <v>-150.6025</v>
      </c>
      <c r="CR58" s="11" t="n">
        <f aca="false">CR43+CR55+CR56</f>
        <v>-152.4925</v>
      </c>
      <c r="CS58" s="11" t="n">
        <f aca="false">CS43+CS55+CS56</f>
        <v>-154.3825</v>
      </c>
      <c r="CT58" s="11" t="n">
        <f aca="false">CT43+CT55+CT56</f>
        <v>-156.2725</v>
      </c>
      <c r="CU58" s="11" t="n">
        <f aca="false">CU43+CU55+CU56</f>
        <v>-158.1625</v>
      </c>
      <c r="CV58" s="11" t="n">
        <f aca="false">CV43+CV55+CV56</f>
        <v>-160.0525</v>
      </c>
      <c r="CW58" s="11" t="n">
        <f aca="false">CW43+CW55+CW56</f>
        <v>-161.9425</v>
      </c>
      <c r="CX58" s="11" t="n">
        <f aca="false">CX43+CX55+CX56</f>
        <v>-163.8325</v>
      </c>
      <c r="CY58" s="11" t="n">
        <f aca="false">CY43+CY55+CY56</f>
        <v>-165.7225</v>
      </c>
      <c r="CZ58" s="11" t="n">
        <f aca="false">CZ43+CZ55+CZ56</f>
        <v>-167.6125</v>
      </c>
      <c r="DA58" s="11" t="n">
        <f aca="false">DA43+DA55+DA56</f>
        <v>-169.5025</v>
      </c>
      <c r="DB58" s="11" t="n">
        <f aca="false">DB43+DB55+DB56</f>
        <v>-171.3925</v>
      </c>
      <c r="DC58" s="11" t="n">
        <f aca="false">DC43+DC55+DC56</f>
        <v>-173.2825</v>
      </c>
      <c r="DD58" s="11" t="n">
        <f aca="false">DD43+DD55+DD56</f>
        <v>-175.1725</v>
      </c>
      <c r="DE58" s="11" t="n">
        <f aca="false">DE43+DE55+DE56</f>
        <v>-177.0625</v>
      </c>
      <c r="DF58" s="11" t="n">
        <f aca="false">DF43+DF55+DF56</f>
        <v>-178.9525</v>
      </c>
      <c r="DG58" s="11" t="n">
        <f aca="false">DG43+DG55+DG56</f>
        <v>-180.8425</v>
      </c>
      <c r="DH58" s="11" t="n">
        <f aca="false">DH43+DH55+DH56</f>
        <v>-182.7325</v>
      </c>
      <c r="DI58" s="11" t="n">
        <f aca="false">DI43+DI55+DI56</f>
        <v>-184.6225</v>
      </c>
      <c r="DJ58" s="11" t="n">
        <f aca="false">DJ43+DJ55+DJ56</f>
        <v>-186.5125</v>
      </c>
      <c r="DK58" s="11" t="n">
        <f aca="false">DK43+DK55+DK56</f>
        <v>-188.4025</v>
      </c>
      <c r="DL58" s="11" t="n">
        <f aca="false">DL43+DL55+DL56</f>
        <v>-190.2925</v>
      </c>
      <c r="DM58" s="11" t="n">
        <f aca="false">DM43+DM55+DM56</f>
        <v>-192.1825</v>
      </c>
      <c r="DN58" s="11" t="n">
        <f aca="false">DN43+DN55+DN56</f>
        <v>-194.072499999999</v>
      </c>
      <c r="DO58" s="11" t="n">
        <f aca="false">DO43+DO55+DO56</f>
        <v>-195.962499999999</v>
      </c>
      <c r="DP58" s="11" t="n">
        <f aca="false">DP43+DP55+DP56</f>
        <v>-197.852499999999</v>
      </c>
      <c r="DQ58" s="11" t="n">
        <f aca="false">DQ43+DQ55+DQ56</f>
        <v>-199.742499999999</v>
      </c>
      <c r="DR58" s="11" t="n">
        <f aca="false">DR43+DR55+DR56</f>
        <v>-201.632499999999</v>
      </c>
    </row>
    <row r="59" customFormat="false" ht="15" hidden="false" customHeight="false" outlineLevel="0" collapsed="false">
      <c r="A59" s="12" t="s">
        <v>227</v>
      </c>
      <c r="B59" s="13" t="n">
        <f aca="false">B57-B58</f>
        <v>0</v>
      </c>
      <c r="C59" s="13" t="n">
        <f aca="false">C57-C58</f>
        <v>0</v>
      </c>
      <c r="D59" s="13" t="n">
        <f aca="false">D57-D58</f>
        <v>0</v>
      </c>
      <c r="E59" s="13" t="n">
        <f aca="false">E57-E58</f>
        <v>0</v>
      </c>
      <c r="F59" s="13" t="n">
        <f aca="false">F57-F58</f>
        <v>0</v>
      </c>
      <c r="G59" s="13" t="n">
        <f aca="false">G57-G58</f>
        <v>0</v>
      </c>
      <c r="H59" s="13" t="n">
        <f aca="false">H57-H58</f>
        <v>0</v>
      </c>
      <c r="I59" s="13" t="n">
        <f aca="false">I57-I58</f>
        <v>0</v>
      </c>
      <c r="J59" s="13" t="n">
        <f aca="false">J57-J58</f>
        <v>0</v>
      </c>
      <c r="K59" s="13" t="n">
        <f aca="false">K57-K58</f>
        <v>0</v>
      </c>
      <c r="L59" s="13" t="n">
        <f aca="false">L57-L58</f>
        <v>0</v>
      </c>
      <c r="M59" s="13" t="n">
        <f aca="false">M57-M58</f>
        <v>0</v>
      </c>
      <c r="N59" s="13" t="n">
        <f aca="false">N57-N58</f>
        <v>0</v>
      </c>
      <c r="O59" s="13" t="n">
        <f aca="false">O57-O58</f>
        <v>0</v>
      </c>
      <c r="P59" s="13" t="n">
        <f aca="false">P57-P58</f>
        <v>0</v>
      </c>
      <c r="Q59" s="13" t="n">
        <f aca="false">Q57-Q58</f>
        <v>0</v>
      </c>
      <c r="R59" s="13" t="n">
        <f aca="false">R57-R58</f>
        <v>0</v>
      </c>
      <c r="S59" s="13" t="n">
        <f aca="false">S57-S58</f>
        <v>0</v>
      </c>
      <c r="T59" s="13" t="n">
        <f aca="false">T57-T58</f>
        <v>0</v>
      </c>
      <c r="U59" s="13" t="n">
        <f aca="false">U57-U58</f>
        <v>0</v>
      </c>
      <c r="V59" s="13" t="n">
        <f aca="false">V57-V58</f>
        <v>2.1316282072803E-014</v>
      </c>
      <c r="W59" s="13" t="n">
        <f aca="false">W57-W58</f>
        <v>2.8421709430404E-014</v>
      </c>
      <c r="X59" s="13" t="n">
        <f aca="false">X57-X58</f>
        <v>2.8421709430404E-014</v>
      </c>
      <c r="Y59" s="13" t="n">
        <f aca="false">Y57-Y58</f>
        <v>2.8421709430404E-014</v>
      </c>
      <c r="Z59" s="13" t="n">
        <f aca="false">Z57-Z58</f>
        <v>2.8421709430404E-014</v>
      </c>
      <c r="AA59" s="13" t="n">
        <f aca="false">AA57-AA58</f>
        <v>3.5527136788005E-014</v>
      </c>
      <c r="AB59" s="13" t="n">
        <f aca="false">AB57-AB58</f>
        <v>3.5527136788005E-014</v>
      </c>
      <c r="AC59" s="13" t="n">
        <f aca="false">AC57-AC58</f>
        <v>0</v>
      </c>
      <c r="AD59" s="13" t="n">
        <f aca="false">AD57-AD58</f>
        <v>0</v>
      </c>
      <c r="AE59" s="13" t="n">
        <f aca="false">AE57-AE58</f>
        <v>0</v>
      </c>
      <c r="AF59" s="13" t="n">
        <f aca="false">AF57-AF58</f>
        <v>0</v>
      </c>
      <c r="AG59" s="13" t="n">
        <f aca="false">AG57-AG58</f>
        <v>0</v>
      </c>
      <c r="AH59" s="13" t="n">
        <f aca="false">AH57-AH58</f>
        <v>0</v>
      </c>
      <c r="AI59" s="13" t="n">
        <f aca="false">AI57-AI58</f>
        <v>0</v>
      </c>
      <c r="AJ59" s="13" t="n">
        <f aca="false">AJ57-AJ58</f>
        <v>0</v>
      </c>
      <c r="AK59" s="13" t="n">
        <f aca="false">AK57-AK58</f>
        <v>0</v>
      </c>
      <c r="AL59" s="13" t="n">
        <f aca="false">AL57-AL58</f>
        <v>0</v>
      </c>
      <c r="AM59" s="13" t="n">
        <f aca="false">AM57-AM58</f>
        <v>0</v>
      </c>
      <c r="AN59" s="13" t="n">
        <f aca="false">AN57-AN58</f>
        <v>0</v>
      </c>
      <c r="AO59" s="13" t="n">
        <f aca="false">AO57-AO58</f>
        <v>0</v>
      </c>
      <c r="AP59" s="13" t="n">
        <f aca="false">AP57-AP58</f>
        <v>0</v>
      </c>
      <c r="AQ59" s="13" t="n">
        <f aca="false">AQ57-AQ58</f>
        <v>0</v>
      </c>
      <c r="AR59" s="13" t="n">
        <f aca="false">AR57-AR58</f>
        <v>0</v>
      </c>
      <c r="AS59" s="13" t="n">
        <f aca="false">AS57-AS58</f>
        <v>0</v>
      </c>
      <c r="AT59" s="13" t="n">
        <f aca="false">AT57-AT58</f>
        <v>0</v>
      </c>
      <c r="AU59" s="13" t="n">
        <f aca="false">AU57-AU58</f>
        <v>0</v>
      </c>
      <c r="AV59" s="13" t="n">
        <f aca="false">AV57-AV58</f>
        <v>0</v>
      </c>
      <c r="AW59" s="13" t="n">
        <f aca="false">AW57-AW58</f>
        <v>0</v>
      </c>
      <c r="AX59" s="13" t="n">
        <f aca="false">AX57-AX58</f>
        <v>0</v>
      </c>
      <c r="AY59" s="13" t="n">
        <f aca="false">AY57-AY58</f>
        <v>0</v>
      </c>
      <c r="AZ59" s="13" t="n">
        <f aca="false">AZ57-AZ58</f>
        <v>0</v>
      </c>
      <c r="BA59" s="13" t="n">
        <f aca="false">BA57-BA58</f>
        <v>0</v>
      </c>
      <c r="BB59" s="13" t="n">
        <f aca="false">BB57-BB58</f>
        <v>0</v>
      </c>
      <c r="BC59" s="13" t="n">
        <f aca="false">BC57-BC58</f>
        <v>0</v>
      </c>
      <c r="BD59" s="13" t="n">
        <f aca="false">BD57-BD58</f>
        <v>0</v>
      </c>
      <c r="BE59" s="13" t="n">
        <f aca="false">BE57-BE58</f>
        <v>0</v>
      </c>
      <c r="BF59" s="13" t="n">
        <f aca="false">BF57-BF58</f>
        <v>0</v>
      </c>
      <c r="BG59" s="13" t="n">
        <f aca="false">BG57-BG58</f>
        <v>0</v>
      </c>
      <c r="BH59" s="13" t="n">
        <f aca="false">BH57-BH58</f>
        <v>0</v>
      </c>
      <c r="BI59" s="13" t="n">
        <f aca="false">BI57-BI58</f>
        <v>0</v>
      </c>
      <c r="BJ59" s="13" t="n">
        <f aca="false">BJ57-BJ58</f>
        <v>0</v>
      </c>
      <c r="BK59" s="13" t="n">
        <f aca="false">BK57-BK58</f>
        <v>0</v>
      </c>
      <c r="BL59" s="13" t="n">
        <f aca="false">BL57-BL58</f>
        <v>0</v>
      </c>
      <c r="BM59" s="13" t="n">
        <f aca="false">BM57-BM58</f>
        <v>0</v>
      </c>
      <c r="BN59" s="13" t="n">
        <f aca="false">BN57-BN58</f>
        <v>0</v>
      </c>
      <c r="BO59" s="13" t="n">
        <f aca="false">BO57-BO58</f>
        <v>0</v>
      </c>
      <c r="BP59" s="13" t="n">
        <f aca="false">BP57-BP58</f>
        <v>0</v>
      </c>
      <c r="BQ59" s="13" t="n">
        <f aca="false">BQ57-BQ58</f>
        <v>0</v>
      </c>
      <c r="BR59" s="13" t="n">
        <f aca="false">BR57-BR58</f>
        <v>0</v>
      </c>
      <c r="BS59" s="13" t="n">
        <f aca="false">BS57-BS58</f>
        <v>0</v>
      </c>
      <c r="BT59" s="13" t="n">
        <f aca="false">BT57-BT58</f>
        <v>0</v>
      </c>
      <c r="BU59" s="13" t="n">
        <f aca="false">BU57-BU58</f>
        <v>0</v>
      </c>
      <c r="BV59" s="13" t="n">
        <f aca="false">BV57-BV58</f>
        <v>0</v>
      </c>
      <c r="BW59" s="13" t="n">
        <f aca="false">BW57-BW58</f>
        <v>0</v>
      </c>
      <c r="BX59" s="13" t="n">
        <f aca="false">BX57-BX58</f>
        <v>0</v>
      </c>
      <c r="BY59" s="13" t="n">
        <f aca="false">BY57-BY58</f>
        <v>0</v>
      </c>
      <c r="BZ59" s="13" t="n">
        <f aca="false">BZ57-BZ58</f>
        <v>0</v>
      </c>
      <c r="CA59" s="13" t="n">
        <f aca="false">CA57-CA58</f>
        <v>0</v>
      </c>
      <c r="CB59" s="13" t="n">
        <f aca="false">CB57-CB58</f>
        <v>0</v>
      </c>
      <c r="CC59" s="13" t="n">
        <f aca="false">CC57-CC58</f>
        <v>0</v>
      </c>
      <c r="CD59" s="13" t="n">
        <f aca="false">CD57-CD58</f>
        <v>0</v>
      </c>
      <c r="CE59" s="13" t="n">
        <f aca="false">CE57-CE58</f>
        <v>0</v>
      </c>
      <c r="CF59" s="13" t="n">
        <f aca="false">CF57-CF58</f>
        <v>0</v>
      </c>
      <c r="CG59" s="13" t="n">
        <f aca="false">CG57-CG58</f>
        <v>0</v>
      </c>
      <c r="CH59" s="13" t="n">
        <f aca="false">CH57-CH58</f>
        <v>0</v>
      </c>
      <c r="CI59" s="13" t="n">
        <f aca="false">CI57-CI58</f>
        <v>0</v>
      </c>
      <c r="CJ59" s="13" t="n">
        <f aca="false">CJ57-CJ58</f>
        <v>0</v>
      </c>
      <c r="CK59" s="13" t="n">
        <f aca="false">CK57-CK58</f>
        <v>0</v>
      </c>
      <c r="CL59" s="13" t="n">
        <f aca="false">CL57-CL58</f>
        <v>0</v>
      </c>
      <c r="CM59" s="13" t="n">
        <f aca="false">CM57-CM58</f>
        <v>0</v>
      </c>
      <c r="CN59" s="13" t="n">
        <f aca="false">CN57-CN58</f>
        <v>0</v>
      </c>
      <c r="CO59" s="13" t="n">
        <f aca="false">CO57-CO58</f>
        <v>0</v>
      </c>
      <c r="CP59" s="13" t="n">
        <f aca="false">CP57-CP58</f>
        <v>0</v>
      </c>
      <c r="CQ59" s="13" t="n">
        <f aca="false">CQ57-CQ58</f>
        <v>0</v>
      </c>
      <c r="CR59" s="13" t="n">
        <f aca="false">CR57-CR58</f>
        <v>0</v>
      </c>
      <c r="CS59" s="13" t="n">
        <f aca="false">CS57-CS58</f>
        <v>0</v>
      </c>
      <c r="CT59" s="13" t="n">
        <f aca="false">CT57-CT58</f>
        <v>0</v>
      </c>
      <c r="CU59" s="13" t="n">
        <f aca="false">CU57-CU58</f>
        <v>0</v>
      </c>
      <c r="CV59" s="13" t="n">
        <f aca="false">CV57-CV58</f>
        <v>0</v>
      </c>
      <c r="CW59" s="13" t="n">
        <f aca="false">CW57-CW58</f>
        <v>0</v>
      </c>
      <c r="CX59" s="13" t="n">
        <f aca="false">CX57-CX58</f>
        <v>0</v>
      </c>
      <c r="CY59" s="13" t="n">
        <f aca="false">CY57-CY58</f>
        <v>0</v>
      </c>
      <c r="CZ59" s="13" t="n">
        <f aca="false">CZ57-CZ58</f>
        <v>0</v>
      </c>
      <c r="DA59" s="13" t="n">
        <f aca="false">DA57-DA58</f>
        <v>0</v>
      </c>
      <c r="DB59" s="13" t="n">
        <f aca="false">DB57-DB58</f>
        <v>0</v>
      </c>
      <c r="DC59" s="13" t="n">
        <f aca="false">DC57-DC58</f>
        <v>0</v>
      </c>
      <c r="DD59" s="13" t="n">
        <f aca="false">DD57-DD58</f>
        <v>0</v>
      </c>
      <c r="DE59" s="13" t="n">
        <f aca="false">DE57-DE58</f>
        <v>0</v>
      </c>
      <c r="DF59" s="13" t="n">
        <f aca="false">DF57-DF58</f>
        <v>0</v>
      </c>
      <c r="DG59" s="13" t="n">
        <f aca="false">DG57-DG58</f>
        <v>0</v>
      </c>
      <c r="DH59" s="13" t="n">
        <f aca="false">DH57-DH58</f>
        <v>0</v>
      </c>
      <c r="DI59" s="13" t="n">
        <f aca="false">DI57-DI58</f>
        <v>0</v>
      </c>
      <c r="DJ59" s="13" t="n">
        <f aca="false">DJ57-DJ58</f>
        <v>0</v>
      </c>
      <c r="DK59" s="13" t="n">
        <f aca="false">DK57-DK58</f>
        <v>0</v>
      </c>
      <c r="DL59" s="13" t="n">
        <f aca="false">DL57-DL58</f>
        <v>0</v>
      </c>
      <c r="DM59" s="13" t="n">
        <f aca="false">DM57-DM58</f>
        <v>0</v>
      </c>
      <c r="DN59" s="13" t="n">
        <f aca="false">DN57-DN58</f>
        <v>0</v>
      </c>
      <c r="DO59" s="13" t="n">
        <f aca="false">DO57-DO58</f>
        <v>0</v>
      </c>
      <c r="DP59" s="13" t="n">
        <f aca="false">DP57-DP58</f>
        <v>0</v>
      </c>
      <c r="DQ59" s="13" t="n">
        <f aca="false">DQ57-DQ58</f>
        <v>0</v>
      </c>
      <c r="DR59" s="13" t="n">
        <f aca="false">DR57-DR58</f>
        <v>0</v>
      </c>
    </row>
    <row r="60" customFormat="false" ht="15" hidden="false" customHeight="false" outlineLevel="0" collapsed="false">
      <c r="A60" s="9" t="s">
        <v>228</v>
      </c>
      <c r="B60" s="11" t="n">
        <f aca="false">B52-B51-B50</f>
        <v>0</v>
      </c>
      <c r="C60" s="11" t="n">
        <f aca="false">C52-C51-C50</f>
        <v>0</v>
      </c>
      <c r="D60" s="11" t="n">
        <f aca="false">D52-D51-D50</f>
        <v>0</v>
      </c>
      <c r="E60" s="11" t="n">
        <f aca="false">E52-E51-E50</f>
        <v>0</v>
      </c>
      <c r="F60" s="11" t="n">
        <f aca="false">F52-F51-F50</f>
        <v>0</v>
      </c>
      <c r="G60" s="11" t="n">
        <f aca="false">G52-G51-G50</f>
        <v>0</v>
      </c>
      <c r="H60" s="11" t="n">
        <f aca="false">H52-H51-H50</f>
        <v>0</v>
      </c>
      <c r="I60" s="11" t="n">
        <f aca="false">I52-I51-I50</f>
        <v>0</v>
      </c>
      <c r="J60" s="11" t="n">
        <f aca="false">J52-J51-J50</f>
        <v>0</v>
      </c>
      <c r="K60" s="11" t="n">
        <f aca="false">K52-K51-K50</f>
        <v>0</v>
      </c>
      <c r="L60" s="11" t="n">
        <f aca="false">L52-L51-L50</f>
        <v>0</v>
      </c>
      <c r="M60" s="11" t="n">
        <f aca="false">M52-M51-M50</f>
        <v>0</v>
      </c>
      <c r="N60" s="11" t="n">
        <f aca="false">N52-N51-N50</f>
        <v>0</v>
      </c>
      <c r="O60" s="11" t="n">
        <f aca="false">O52-O51-O50</f>
        <v>0</v>
      </c>
      <c r="P60" s="11" t="n">
        <f aca="false">P52-P51-P50</f>
        <v>0</v>
      </c>
      <c r="Q60" s="11" t="n">
        <f aca="false">Q52-Q51-Q50</f>
        <v>0</v>
      </c>
      <c r="R60" s="11" t="n">
        <f aca="false">R52-R51-R50</f>
        <v>0</v>
      </c>
      <c r="S60" s="11" t="n">
        <f aca="false">S52-S51-S50</f>
        <v>0</v>
      </c>
      <c r="T60" s="11" t="n">
        <f aca="false">T52-T51-T50</f>
        <v>0</v>
      </c>
      <c r="U60" s="11" t="n">
        <f aca="false">U52-U51-U50</f>
        <v>0</v>
      </c>
      <c r="V60" s="11" t="n">
        <f aca="false">V52-V51-V50</f>
        <v>0</v>
      </c>
      <c r="W60" s="11" t="n">
        <f aca="false">W52-W51-W50</f>
        <v>0</v>
      </c>
      <c r="X60" s="11" t="n">
        <f aca="false">X52-X51-X50</f>
        <v>0</v>
      </c>
      <c r="Y60" s="11" t="n">
        <f aca="false">Y52-Y51-Y50</f>
        <v>0</v>
      </c>
      <c r="Z60" s="11" t="n">
        <f aca="false">Z52-Z51-Z50</f>
        <v>0</v>
      </c>
      <c r="AA60" s="11" t="n">
        <f aca="false">AA52-AA51-AA50</f>
        <v>0</v>
      </c>
      <c r="AB60" s="11" t="n">
        <f aca="false">AB52-AB51-AB50</f>
        <v>0</v>
      </c>
      <c r="AC60" s="11" t="n">
        <f aca="false">AC52-AC51-AC50</f>
        <v>0</v>
      </c>
      <c r="AD60" s="11" t="n">
        <f aca="false">AD52-AD51-AD50</f>
        <v>0</v>
      </c>
      <c r="AE60" s="11" t="n">
        <f aca="false">AE52-AE51-AE50</f>
        <v>0</v>
      </c>
      <c r="AF60" s="11" t="n">
        <f aca="false">AF52-AF51-AF50</f>
        <v>0</v>
      </c>
      <c r="AG60" s="11" t="n">
        <f aca="false">AG52-AG51-AG50</f>
        <v>0</v>
      </c>
      <c r="AH60" s="11" t="n">
        <f aca="false">AH52-AH51-AH50</f>
        <v>0</v>
      </c>
      <c r="AI60" s="11" t="n">
        <f aca="false">AI52-AI51-AI50</f>
        <v>0</v>
      </c>
      <c r="AJ60" s="11" t="n">
        <f aca="false">AJ52-AJ51-AJ50</f>
        <v>0</v>
      </c>
      <c r="AK60" s="11" t="n">
        <f aca="false">AK52-AK51-AK50</f>
        <v>0</v>
      </c>
      <c r="AL60" s="11" t="n">
        <f aca="false">AL52-AL51-AL50</f>
        <v>0</v>
      </c>
      <c r="AM60" s="11" t="n">
        <f aca="false">AM52-AM51-AM50</f>
        <v>0</v>
      </c>
      <c r="AN60" s="11" t="n">
        <f aca="false">AN52-AN51-AN50</f>
        <v>0</v>
      </c>
      <c r="AO60" s="11" t="n">
        <f aca="false">AO52-AO51-AO50</f>
        <v>0</v>
      </c>
      <c r="AP60" s="11" t="n">
        <f aca="false">AP52-AP51-AP50</f>
        <v>0</v>
      </c>
      <c r="AQ60" s="11" t="n">
        <f aca="false">AQ52-AQ51-AQ50</f>
        <v>7.105427357601E-015</v>
      </c>
      <c r="AR60" s="11" t="n">
        <f aca="false">AR52-AR51-AR50</f>
        <v>7.105427357601E-015</v>
      </c>
      <c r="AS60" s="11" t="n">
        <f aca="false">AS52-AS51-AS50</f>
        <v>0</v>
      </c>
      <c r="AT60" s="11" t="n">
        <f aca="false">AT52-AT51-AT50</f>
        <v>0</v>
      </c>
      <c r="AU60" s="11" t="n">
        <f aca="false">AU52-AU51-AU50</f>
        <v>0</v>
      </c>
      <c r="AV60" s="11" t="n">
        <f aca="false">AV52-AV51-AV50</f>
        <v>0</v>
      </c>
      <c r="AW60" s="11" t="n">
        <f aca="false">AW52-AW51-AW50</f>
        <v>0</v>
      </c>
      <c r="AX60" s="11" t="n">
        <f aca="false">AX52-AX51-AX50</f>
        <v>0</v>
      </c>
      <c r="AY60" s="11" t="n">
        <f aca="false">AY52-AY51-AY50</f>
        <v>0</v>
      </c>
      <c r="AZ60" s="11" t="n">
        <f aca="false">AZ52-AZ51-AZ50</f>
        <v>0</v>
      </c>
      <c r="BA60" s="11" t="n">
        <f aca="false">BA52-BA51-BA50</f>
        <v>7.105427357601E-015</v>
      </c>
      <c r="BB60" s="11" t="n">
        <f aca="false">BB52-BB51-BB50</f>
        <v>-7.105427357601E-015</v>
      </c>
      <c r="BC60" s="11" t="n">
        <f aca="false">BC52-BC51-BC50</f>
        <v>0</v>
      </c>
      <c r="BD60" s="11" t="n">
        <f aca="false">BD52-BD51-BD50</f>
        <v>0</v>
      </c>
      <c r="BE60" s="11" t="n">
        <f aca="false">BE52-BE51-BE50</f>
        <v>0</v>
      </c>
      <c r="BF60" s="11" t="n">
        <f aca="false">BF52-BF51-BF50</f>
        <v>0</v>
      </c>
      <c r="BG60" s="11" t="n">
        <f aca="false">BG52-BG51-BG50</f>
        <v>0</v>
      </c>
      <c r="BH60" s="11" t="n">
        <f aca="false">BH52-BH51-BH50</f>
        <v>0</v>
      </c>
      <c r="BI60" s="11" t="n">
        <f aca="false">BI52-BI51-BI50</f>
        <v>0</v>
      </c>
      <c r="BJ60" s="11" t="n">
        <f aca="false">BJ52-BJ51-BJ50</f>
        <v>0</v>
      </c>
      <c r="BK60" s="11" t="n">
        <f aca="false">BK52-BK51-BK50</f>
        <v>0</v>
      </c>
      <c r="BL60" s="11" t="n">
        <f aca="false">BL52-BL51-BL50</f>
        <v>0</v>
      </c>
      <c r="BM60" s="11" t="n">
        <f aca="false">BM52-BM51-BM50</f>
        <v>0</v>
      </c>
      <c r="BN60" s="11" t="n">
        <f aca="false">BN52-BN51-BN50</f>
        <v>0</v>
      </c>
      <c r="BO60" s="11" t="n">
        <f aca="false">BO52-BO51-BO50</f>
        <v>7.105427357601E-015</v>
      </c>
      <c r="BP60" s="11" t="n">
        <f aca="false">BP52-BP51-BP50</f>
        <v>-7.105427357601E-015</v>
      </c>
      <c r="BQ60" s="11" t="n">
        <f aca="false">BQ52-BQ51-BQ50</f>
        <v>0</v>
      </c>
      <c r="BR60" s="11" t="n">
        <f aca="false">BR52-BR51-BR50</f>
        <v>0</v>
      </c>
      <c r="BS60" s="11" t="n">
        <f aca="false">BS52-BS51-BS50</f>
        <v>0</v>
      </c>
      <c r="BT60" s="11" t="n">
        <f aca="false">BT52-BT51-BT50</f>
        <v>7.105427357601E-015</v>
      </c>
      <c r="BU60" s="11" t="n">
        <f aca="false">BU52-BU51-BU50</f>
        <v>0</v>
      </c>
      <c r="BV60" s="11" t="n">
        <f aca="false">BV52-BV51-BV50</f>
        <v>0</v>
      </c>
      <c r="BW60" s="11" t="n">
        <f aca="false">BW52-BW51-BW50</f>
        <v>0</v>
      </c>
      <c r="BX60" s="11" t="n">
        <f aca="false">BX52-BX51-BX50</f>
        <v>0</v>
      </c>
      <c r="BY60" s="11" t="n">
        <f aca="false">BY52-BY51-BY50</f>
        <v>0</v>
      </c>
      <c r="BZ60" s="11" t="n">
        <f aca="false">BZ52-BZ51-BZ50</f>
        <v>0</v>
      </c>
      <c r="CA60" s="11" t="n">
        <f aca="false">CA52-CA51-CA50</f>
        <v>1.4210854715202E-014</v>
      </c>
      <c r="CB60" s="11" t="n">
        <f aca="false">CB52-CB51-CB50</f>
        <v>1.4210854715202E-014</v>
      </c>
      <c r="CC60" s="11" t="n">
        <f aca="false">CC52-CC51-CC50</f>
        <v>1.4210854715202E-014</v>
      </c>
      <c r="CD60" s="11" t="n">
        <f aca="false">CD52-CD51-CD50</f>
        <v>1.4210854715202E-014</v>
      </c>
      <c r="CE60" s="11" t="n">
        <f aca="false">CE52-CE51-CE50</f>
        <v>1.4210854715202E-014</v>
      </c>
      <c r="CF60" s="11" t="n">
        <f aca="false">CF52-CF51-CF50</f>
        <v>1.4210854715202E-014</v>
      </c>
      <c r="CG60" s="11" t="n">
        <f aca="false">CG52-CG51-CG50</f>
        <v>1.4210854715202E-014</v>
      </c>
      <c r="CH60" s="11" t="n">
        <f aca="false">CH52-CH51-CH50</f>
        <v>1.4210854715202E-014</v>
      </c>
      <c r="CI60" s="11" t="n">
        <f aca="false">CI52-CI51-CI50</f>
        <v>1.4210854715202E-014</v>
      </c>
      <c r="CJ60" s="11" t="n">
        <f aca="false">CJ52-CJ51-CJ50</f>
        <v>1.4210854715202E-014</v>
      </c>
      <c r="CK60" s="11" t="n">
        <f aca="false">CK52-CK51-CK50</f>
        <v>1.4210854715202E-014</v>
      </c>
      <c r="CL60" s="11" t="n">
        <f aca="false">CL52-CL51-CL50</f>
        <v>1.4210854715202E-014</v>
      </c>
      <c r="CM60" s="11" t="n">
        <f aca="false">CM52-CM51-CM50</f>
        <v>1.4210854715202E-014</v>
      </c>
      <c r="CN60" s="11" t="n">
        <f aca="false">CN52-CN51-CN50</f>
        <v>1.4210854715202E-014</v>
      </c>
      <c r="CO60" s="11" t="n">
        <f aca="false">CO52-CO51-CO50</f>
        <v>1.4210854715202E-014</v>
      </c>
      <c r="CP60" s="11" t="n">
        <f aca="false">CP52-CP51-CP50</f>
        <v>1.4210854715202E-014</v>
      </c>
      <c r="CQ60" s="11" t="n">
        <f aca="false">CQ52-CQ51-CQ50</f>
        <v>1.4210854715202E-014</v>
      </c>
      <c r="CR60" s="11" t="n">
        <f aca="false">CR52-CR51-CR50</f>
        <v>1.4210854715202E-014</v>
      </c>
      <c r="CS60" s="11" t="n">
        <f aca="false">CS52-CS51-CS50</f>
        <v>1.4210854715202E-014</v>
      </c>
      <c r="CT60" s="11" t="n">
        <f aca="false">CT52-CT51-CT50</f>
        <v>1.4210854715202E-014</v>
      </c>
      <c r="CU60" s="11" t="n">
        <f aca="false">CU52-CU51-CU50</f>
        <v>1.4210854715202E-014</v>
      </c>
      <c r="CV60" s="11" t="n">
        <f aca="false">CV52-CV51-CV50</f>
        <v>1.4210854715202E-014</v>
      </c>
      <c r="CW60" s="11" t="n">
        <f aca="false">CW52-CW51-CW50</f>
        <v>1.4210854715202E-014</v>
      </c>
      <c r="CX60" s="11" t="n">
        <f aca="false">CX52-CX51-CX50</f>
        <v>1.4210854715202E-014</v>
      </c>
      <c r="CY60" s="11" t="n">
        <f aca="false">CY52-CY51-CY50</f>
        <v>1.4210854715202E-014</v>
      </c>
      <c r="CZ60" s="11" t="n">
        <f aca="false">CZ52-CZ51-CZ50</f>
        <v>1.4210854715202E-014</v>
      </c>
      <c r="DA60" s="11" t="n">
        <f aca="false">DA52-DA51-DA50</f>
        <v>1.4210854715202E-014</v>
      </c>
      <c r="DB60" s="11" t="n">
        <f aca="false">DB52-DB51-DB50</f>
        <v>1.4210854715202E-014</v>
      </c>
      <c r="DC60" s="11" t="n">
        <f aca="false">DC52-DC51-DC50</f>
        <v>1.4210854715202E-014</v>
      </c>
      <c r="DD60" s="11" t="n">
        <f aca="false">DD52-DD51-DD50</f>
        <v>1.4210854715202E-014</v>
      </c>
      <c r="DE60" s="11" t="n">
        <f aca="false">DE52-DE51-DE50</f>
        <v>1.4210854715202E-014</v>
      </c>
      <c r="DF60" s="11" t="n">
        <f aca="false">DF52-DF51-DF50</f>
        <v>1.4210854715202E-014</v>
      </c>
      <c r="DG60" s="11" t="n">
        <f aca="false">DG52-DG51-DG50</f>
        <v>1.4210854715202E-014</v>
      </c>
      <c r="DH60" s="11" t="n">
        <f aca="false">DH52-DH51-DH50</f>
        <v>1.4210854715202E-014</v>
      </c>
      <c r="DI60" s="11" t="n">
        <f aca="false">DI52-DI51-DI50</f>
        <v>1.4210854715202E-014</v>
      </c>
      <c r="DJ60" s="11" t="n">
        <f aca="false">DJ52-DJ51-DJ50</f>
        <v>1.4210854715202E-014</v>
      </c>
      <c r="DK60" s="11" t="n">
        <f aca="false">DK52-DK51-DK50</f>
        <v>1.4210854715202E-014</v>
      </c>
      <c r="DL60" s="11" t="n">
        <f aca="false">DL52-DL51-DL50</f>
        <v>1.4210854715202E-014</v>
      </c>
      <c r="DM60" s="11" t="n">
        <f aca="false">DM52-DM51-DM50</f>
        <v>1.4210854715202E-014</v>
      </c>
      <c r="DN60" s="11" t="n">
        <f aca="false">DN52-DN51-DN50</f>
        <v>1.4210854715202E-014</v>
      </c>
      <c r="DO60" s="11" t="n">
        <f aca="false">DO52-DO51-DO50</f>
        <v>1.4210854715202E-014</v>
      </c>
      <c r="DP60" s="11" t="n">
        <f aca="false">DP52-DP51-DP50</f>
        <v>1.4210854715202E-014</v>
      </c>
      <c r="DQ60" s="11" t="n">
        <f aca="false">DQ52-DQ51-DQ50</f>
        <v>1.4210854715202E-014</v>
      </c>
      <c r="DR60" s="11" t="n">
        <f aca="false">DR52-DR51-DR50</f>
        <v>1.4210854715202E-014</v>
      </c>
    </row>
    <row r="61" customFormat="false" ht="15" hidden="false" customHeight="false" outlineLevel="0" collapsed="false">
      <c r="A61" s="9" t="s">
        <v>229</v>
      </c>
      <c r="B61" s="11" t="n">
        <f aca="false">B25-B26-B27</f>
        <v>0</v>
      </c>
      <c r="C61" s="11" t="n">
        <f aca="false">C25-C26-C27</f>
        <v>0</v>
      </c>
      <c r="D61" s="11" t="n">
        <f aca="false">D25-D26-D27</f>
        <v>0</v>
      </c>
      <c r="E61" s="11" t="n">
        <f aca="false">E25-E26-E27</f>
        <v>0</v>
      </c>
      <c r="F61" s="11" t="n">
        <f aca="false">F25-F26-F27</f>
        <v>0</v>
      </c>
      <c r="G61" s="11" t="n">
        <f aca="false">G25-G26-G27</f>
        <v>0</v>
      </c>
      <c r="H61" s="11" t="n">
        <f aca="false">H25-H26-H27</f>
        <v>0</v>
      </c>
      <c r="I61" s="11" t="n">
        <f aca="false">I25-I26-I27</f>
        <v>0</v>
      </c>
      <c r="J61" s="11" t="n">
        <f aca="false">J25-J26-J27</f>
        <v>0</v>
      </c>
      <c r="K61" s="11" t="n">
        <f aca="false">K25-K26-K27</f>
        <v>0</v>
      </c>
      <c r="L61" s="11" t="n">
        <f aca="false">L25-L26-L27</f>
        <v>0</v>
      </c>
      <c r="M61" s="11" t="n">
        <f aca="false">M25-M26-M27</f>
        <v>0</v>
      </c>
      <c r="N61" s="11" t="n">
        <f aca="false">N25-N26-N27</f>
        <v>0</v>
      </c>
      <c r="O61" s="11" t="n">
        <f aca="false">O25-O26-O27</f>
        <v>0</v>
      </c>
      <c r="P61" s="11" t="n">
        <f aca="false">P25-P26-P27</f>
        <v>0</v>
      </c>
      <c r="Q61" s="11" t="n">
        <f aca="false">Q25-Q26-Q27</f>
        <v>0</v>
      </c>
      <c r="R61" s="11" t="n">
        <f aca="false">R25-R26-R27</f>
        <v>0</v>
      </c>
      <c r="S61" s="11" t="n">
        <f aca="false">S25-S26-S27</f>
        <v>0</v>
      </c>
      <c r="T61" s="11" t="n">
        <f aca="false">T25-T26-T27</f>
        <v>0</v>
      </c>
      <c r="U61" s="11" t="n">
        <f aca="false">U25-U26-U27</f>
        <v>0</v>
      </c>
      <c r="V61" s="11" t="n">
        <f aca="false">V25-V26-V27</f>
        <v>0</v>
      </c>
      <c r="W61" s="11" t="n">
        <f aca="false">W25-W26-W27</f>
        <v>0</v>
      </c>
      <c r="X61" s="11" t="n">
        <f aca="false">X25-X26-X27</f>
        <v>0</v>
      </c>
      <c r="Y61" s="11" t="n">
        <f aca="false">Y25-Y26-Y27</f>
        <v>0</v>
      </c>
      <c r="Z61" s="11" t="n">
        <f aca="false">Z25-Z26-Z27</f>
        <v>0</v>
      </c>
      <c r="AA61" s="11" t="n">
        <f aca="false">AA25-AA26-AA27</f>
        <v>0</v>
      </c>
      <c r="AB61" s="11" t="n">
        <f aca="false">AB25-AB26-AB27</f>
        <v>0</v>
      </c>
      <c r="AC61" s="11" t="n">
        <f aca="false">AC25-AC26-AC27</f>
        <v>0</v>
      </c>
      <c r="AD61" s="11" t="n">
        <f aca="false">AD25-AD26-AD27</f>
        <v>0</v>
      </c>
      <c r="AE61" s="11" t="n">
        <f aca="false">AE25-AE26-AE27</f>
        <v>0</v>
      </c>
      <c r="AF61" s="11" t="n">
        <f aca="false">AF25-AF26-AF27</f>
        <v>0</v>
      </c>
      <c r="AG61" s="11" t="n">
        <f aca="false">AG25-AG26-AG27</f>
        <v>0</v>
      </c>
      <c r="AH61" s="11" t="n">
        <f aca="false">AH25-AH26-AH27</f>
        <v>0</v>
      </c>
      <c r="AI61" s="11" t="n">
        <f aca="false">AI25-AI26-AI27</f>
        <v>0</v>
      </c>
      <c r="AJ61" s="11" t="n">
        <f aca="false">AJ25-AJ26-AJ27</f>
        <v>0</v>
      </c>
      <c r="AK61" s="11" t="n">
        <f aca="false">AK25-AK26-AK27</f>
        <v>0</v>
      </c>
      <c r="AL61" s="11" t="n">
        <f aca="false">AL25-AL26-AL27</f>
        <v>0</v>
      </c>
      <c r="AM61" s="11" t="n">
        <f aca="false">AM25-AM26-AM27</f>
        <v>0</v>
      </c>
      <c r="AN61" s="11" t="n">
        <f aca="false">AN25-AN26-AN27</f>
        <v>0</v>
      </c>
      <c r="AO61" s="11" t="n">
        <f aca="false">AO25-AO26-AO27</f>
        <v>0</v>
      </c>
      <c r="AP61" s="11" t="n">
        <f aca="false">AP25-AP26-AP27</f>
        <v>0</v>
      </c>
      <c r="AQ61" s="11" t="n">
        <f aca="false">AQ25-AQ26-AQ27</f>
        <v>0</v>
      </c>
      <c r="AR61" s="11" t="n">
        <f aca="false">AR25-AR26-AR27</f>
        <v>0</v>
      </c>
      <c r="AS61" s="11" t="n">
        <f aca="false">AS25-AS26-AS27</f>
        <v>0</v>
      </c>
      <c r="AT61" s="11" t="n">
        <f aca="false">AT25-AT26-AT27</f>
        <v>0</v>
      </c>
      <c r="AU61" s="11" t="n">
        <f aca="false">AU25-AU26-AU27</f>
        <v>0</v>
      </c>
      <c r="AV61" s="11" t="n">
        <f aca="false">AV25-AV26-AV27</f>
        <v>0</v>
      </c>
      <c r="AW61" s="11" t="n">
        <f aca="false">AW25-AW26-AW27</f>
        <v>0</v>
      </c>
      <c r="AX61" s="11" t="n">
        <f aca="false">AX25-AX26-AX27</f>
        <v>0</v>
      </c>
      <c r="AY61" s="11" t="n">
        <f aca="false">AY25-AY26-AY27</f>
        <v>0</v>
      </c>
      <c r="AZ61" s="11" t="n">
        <f aca="false">AZ25-AZ26-AZ27</f>
        <v>0</v>
      </c>
      <c r="BA61" s="11" t="n">
        <f aca="false">BA25-BA26-BA27</f>
        <v>0</v>
      </c>
      <c r="BB61" s="11" t="n">
        <f aca="false">BB25-BB26-BB27</f>
        <v>0</v>
      </c>
      <c r="BC61" s="11" t="n">
        <f aca="false">BC25-BC26-BC27</f>
        <v>0</v>
      </c>
      <c r="BD61" s="11" t="n">
        <f aca="false">BD25-BD26-BD27</f>
        <v>0</v>
      </c>
      <c r="BE61" s="11" t="n">
        <f aca="false">BE25-BE26-BE27</f>
        <v>0</v>
      </c>
      <c r="BF61" s="11" t="n">
        <f aca="false">BF25-BF26-BF27</f>
        <v>0</v>
      </c>
      <c r="BG61" s="11" t="n">
        <f aca="false">BG25-BG26-BG27</f>
        <v>0</v>
      </c>
      <c r="BH61" s="11" t="n">
        <f aca="false">BH25-BH26-BH27</f>
        <v>0</v>
      </c>
      <c r="BI61" s="11" t="n">
        <f aca="false">BI25-BI26-BI27</f>
        <v>0</v>
      </c>
      <c r="BJ61" s="11" t="n">
        <f aca="false">BJ25-BJ26-BJ27</f>
        <v>0</v>
      </c>
      <c r="BK61" s="11" t="n">
        <f aca="false">BK25-BK26-BK27</f>
        <v>0</v>
      </c>
      <c r="BL61" s="11" t="n">
        <f aca="false">BL25-BL26-BL27</f>
        <v>0</v>
      </c>
      <c r="BM61" s="11" t="n">
        <f aca="false">BM25-BM26-BM27</f>
        <v>0</v>
      </c>
      <c r="BN61" s="11" t="n">
        <f aca="false">BN25-BN26-BN27</f>
        <v>0</v>
      </c>
      <c r="BO61" s="11" t="n">
        <f aca="false">BO25-BO26-BO27</f>
        <v>0</v>
      </c>
      <c r="BP61" s="11" t="n">
        <f aca="false">BP25-BP26-BP27</f>
        <v>0</v>
      </c>
      <c r="BQ61" s="11" t="n">
        <f aca="false">BQ25-BQ26-BQ27</f>
        <v>0</v>
      </c>
      <c r="BR61" s="11" t="n">
        <f aca="false">BR25-BR26-BR27</f>
        <v>0</v>
      </c>
      <c r="BS61" s="11" t="n">
        <f aca="false">BS25-BS26-BS27</f>
        <v>0</v>
      </c>
      <c r="BT61" s="11" t="n">
        <f aca="false">BT25-BT26-BT27</f>
        <v>0</v>
      </c>
      <c r="BU61" s="11" t="n">
        <f aca="false">BU25-BU26-BU27</f>
        <v>0</v>
      </c>
      <c r="BV61" s="11" t="n">
        <f aca="false">BV25-BV26-BV27</f>
        <v>0</v>
      </c>
      <c r="BW61" s="11" t="n">
        <f aca="false">BW25-BW26-BW27</f>
        <v>0</v>
      </c>
      <c r="BX61" s="11" t="n">
        <f aca="false">BX25-BX26-BX27</f>
        <v>0</v>
      </c>
      <c r="BY61" s="11" t="n">
        <f aca="false">BY25-BY26-BY27</f>
        <v>0</v>
      </c>
      <c r="BZ61" s="11" t="n">
        <f aca="false">BZ25-BZ26-BZ27</f>
        <v>0</v>
      </c>
      <c r="CA61" s="11" t="n">
        <f aca="false">CA25-CA26-CA27</f>
        <v>0</v>
      </c>
      <c r="CB61" s="11" t="n">
        <f aca="false">CB25-CB26-CB27</f>
        <v>0</v>
      </c>
      <c r="CC61" s="11" t="n">
        <f aca="false">CC25-CC26-CC27</f>
        <v>0</v>
      </c>
      <c r="CD61" s="11" t="n">
        <f aca="false">CD25-CD26-CD27</f>
        <v>0</v>
      </c>
      <c r="CE61" s="11" t="n">
        <f aca="false">CE25-CE26-CE27</f>
        <v>0</v>
      </c>
      <c r="CF61" s="11" t="n">
        <f aca="false">CF25-CF26-CF27</f>
        <v>0</v>
      </c>
      <c r="CG61" s="11" t="n">
        <f aca="false">CG25-CG26-CG27</f>
        <v>0</v>
      </c>
      <c r="CH61" s="11" t="n">
        <f aca="false">CH25-CH26-CH27</f>
        <v>0</v>
      </c>
      <c r="CI61" s="11" t="n">
        <f aca="false">CI25-CI26-CI27</f>
        <v>0</v>
      </c>
      <c r="CJ61" s="11" t="n">
        <f aca="false">CJ25-CJ26-CJ27</f>
        <v>0</v>
      </c>
      <c r="CK61" s="11" t="n">
        <f aca="false">CK25-CK26-CK27</f>
        <v>0</v>
      </c>
      <c r="CL61" s="11" t="n">
        <f aca="false">CL25-CL26-CL27</f>
        <v>0</v>
      </c>
      <c r="CM61" s="11" t="n">
        <f aca="false">CM25-CM26-CM27</f>
        <v>0</v>
      </c>
      <c r="CN61" s="11" t="n">
        <f aca="false">CN25-CN26-CN27</f>
        <v>0</v>
      </c>
      <c r="CO61" s="11" t="n">
        <f aca="false">CO25-CO26-CO27</f>
        <v>0</v>
      </c>
      <c r="CP61" s="11" t="n">
        <f aca="false">CP25-CP26-CP27</f>
        <v>0</v>
      </c>
      <c r="CQ61" s="11" t="n">
        <f aca="false">CQ25-CQ26-CQ27</f>
        <v>0</v>
      </c>
      <c r="CR61" s="11" t="n">
        <f aca="false">CR25-CR26-CR27</f>
        <v>0</v>
      </c>
      <c r="CS61" s="11" t="n">
        <f aca="false">CS25-CS26-CS27</f>
        <v>0</v>
      </c>
      <c r="CT61" s="11" t="n">
        <f aca="false">CT25-CT26-CT27</f>
        <v>0</v>
      </c>
      <c r="CU61" s="11" t="n">
        <f aca="false">CU25-CU26-CU27</f>
        <v>0</v>
      </c>
      <c r="CV61" s="11" t="n">
        <f aca="false">CV25-CV26-CV27</f>
        <v>0</v>
      </c>
      <c r="CW61" s="11" t="n">
        <f aca="false">CW25-CW26-CW27</f>
        <v>0</v>
      </c>
      <c r="CX61" s="11" t="n">
        <f aca="false">CX25-CX26-CX27</f>
        <v>0</v>
      </c>
      <c r="CY61" s="11" t="n">
        <f aca="false">CY25-CY26-CY27</f>
        <v>0</v>
      </c>
      <c r="CZ61" s="11" t="n">
        <f aca="false">CZ25-CZ26-CZ27</f>
        <v>0</v>
      </c>
      <c r="DA61" s="11" t="n">
        <f aca="false">DA25-DA26-DA27</f>
        <v>0</v>
      </c>
      <c r="DB61" s="11" t="n">
        <f aca="false">DB25-DB26-DB27</f>
        <v>0</v>
      </c>
      <c r="DC61" s="11" t="n">
        <f aca="false">DC25-DC26-DC27</f>
        <v>0</v>
      </c>
      <c r="DD61" s="11" t="n">
        <f aca="false">DD25-DD26-DD27</f>
        <v>0</v>
      </c>
      <c r="DE61" s="11" t="n">
        <f aca="false">DE25-DE26-DE27</f>
        <v>0</v>
      </c>
      <c r="DF61" s="11" t="n">
        <f aca="false">DF25-DF26-DF27</f>
        <v>0</v>
      </c>
      <c r="DG61" s="11" t="n">
        <f aca="false">DG25-DG26-DG27</f>
        <v>0</v>
      </c>
      <c r="DH61" s="11" t="n">
        <f aca="false">DH25-DH26-DH27</f>
        <v>0</v>
      </c>
      <c r="DI61" s="11" t="n">
        <f aca="false">DI25-DI26-DI27</f>
        <v>0</v>
      </c>
      <c r="DJ61" s="11" t="n">
        <f aca="false">DJ25-DJ26-DJ27</f>
        <v>0</v>
      </c>
      <c r="DK61" s="11" t="n">
        <f aca="false">DK25-DK26-DK27</f>
        <v>0</v>
      </c>
      <c r="DL61" s="11" t="n">
        <f aca="false">DL25-DL26-DL27</f>
        <v>0</v>
      </c>
      <c r="DM61" s="11" t="n">
        <f aca="false">DM25-DM26-DM27</f>
        <v>0</v>
      </c>
      <c r="DN61" s="11" t="n">
        <f aca="false">DN25-DN26-DN27</f>
        <v>0</v>
      </c>
      <c r="DO61" s="11" t="n">
        <f aca="false">DO25-DO26-DO27</f>
        <v>0</v>
      </c>
      <c r="DP61" s="11" t="n">
        <f aca="false">DP25-DP26-DP27</f>
        <v>0</v>
      </c>
      <c r="DQ61" s="11" t="n">
        <f aca="false">DQ25-DQ26-DQ27</f>
        <v>0</v>
      </c>
      <c r="DR61" s="11" t="n">
        <f aca="false">DR25-DR26-DR27</f>
        <v>0</v>
      </c>
    </row>
    <row r="62" customFormat="false" ht="15" hidden="false" customHeight="false" outlineLevel="0" collapsed="false">
      <c r="A62" s="12" t="s">
        <v>230</v>
      </c>
      <c r="B62" s="13" t="n">
        <f aca="false">B24-B47</f>
        <v>-50</v>
      </c>
      <c r="C62" s="13" t="n">
        <f aca="false">C24-C47</f>
        <v>3.5</v>
      </c>
      <c r="D62" s="13" t="n">
        <f aca="false">D24-D47</f>
        <v>3.5</v>
      </c>
      <c r="E62" s="13" t="n">
        <f aca="false">E24-E47</f>
        <v>3.5</v>
      </c>
      <c r="F62" s="13" t="n">
        <f aca="false">F24-F47</f>
        <v>3.5</v>
      </c>
      <c r="G62" s="13" t="n">
        <f aca="false">G24-G47</f>
        <v>3.5</v>
      </c>
      <c r="H62" s="13" t="n">
        <f aca="false">H24-H47</f>
        <v>3.5</v>
      </c>
      <c r="I62" s="13" t="n">
        <f aca="false">I24-I47</f>
        <v>3.5</v>
      </c>
      <c r="J62" s="13" t="n">
        <f aca="false">J24-J47</f>
        <v>3.5</v>
      </c>
      <c r="K62" s="13" t="n">
        <f aca="false">K24-K47</f>
        <v>3.5</v>
      </c>
      <c r="L62" s="13" t="n">
        <f aca="false">L24-L47</f>
        <v>3.5</v>
      </c>
      <c r="M62" s="13" t="n">
        <f aca="false">M24-M47</f>
        <v>3.5</v>
      </c>
      <c r="N62" s="13" t="n">
        <f aca="false">N24-N47</f>
        <v>3.5</v>
      </c>
      <c r="O62" s="13" t="n">
        <f aca="false">O24-O47</f>
        <v>3.5</v>
      </c>
      <c r="P62" s="13" t="n">
        <f aca="false">P24-P47</f>
        <v>3.5</v>
      </c>
      <c r="Q62" s="13" t="n">
        <f aca="false">Q24-Q47</f>
        <v>3.5</v>
      </c>
      <c r="R62" s="13" t="n">
        <f aca="false">R24-R47</f>
        <v>3.5</v>
      </c>
      <c r="S62" s="13" t="n">
        <f aca="false">S24-S47</f>
        <v>3.5</v>
      </c>
      <c r="T62" s="13" t="n">
        <f aca="false">T24-T47</f>
        <v>3.5</v>
      </c>
      <c r="U62" s="13" t="n">
        <f aca="false">U24-U47</f>
        <v>3.5</v>
      </c>
      <c r="V62" s="13" t="n">
        <f aca="false">V24-V47</f>
        <v>3.5</v>
      </c>
      <c r="W62" s="13" t="n">
        <f aca="false">W24-W47</f>
        <v>3.5</v>
      </c>
      <c r="X62" s="13" t="n">
        <f aca="false">X24-X47</f>
        <v>3.5</v>
      </c>
      <c r="Y62" s="13" t="n">
        <f aca="false">Y24-Y47</f>
        <v>3.5</v>
      </c>
      <c r="Z62" s="13" t="n">
        <f aca="false">Z24-Z47</f>
        <v>3.5</v>
      </c>
      <c r="AA62" s="13" t="n">
        <f aca="false">AA24-AA47</f>
        <v>3.5</v>
      </c>
      <c r="AB62" s="13" t="n">
        <f aca="false">AB24-AB47</f>
        <v>3.5</v>
      </c>
      <c r="AC62" s="13" t="n">
        <f aca="false">AC24-AC47</f>
        <v>3.5</v>
      </c>
      <c r="AD62" s="13" t="n">
        <f aca="false">AD24-AD47</f>
        <v>3.5</v>
      </c>
      <c r="AE62" s="13" t="n">
        <f aca="false">AE24-AE47</f>
        <v>3.5</v>
      </c>
      <c r="AF62" s="13" t="n">
        <f aca="false">AF24-AF47</f>
        <v>3.5</v>
      </c>
      <c r="AG62" s="13" t="n">
        <f aca="false">AG24-AG47</f>
        <v>3.5</v>
      </c>
      <c r="AH62" s="13" t="n">
        <f aca="false">AH24-AH47</f>
        <v>3.5</v>
      </c>
      <c r="AI62" s="13" t="n">
        <f aca="false">AI24-AI47</f>
        <v>3.5</v>
      </c>
      <c r="AJ62" s="13" t="n">
        <f aca="false">AJ24-AJ47</f>
        <v>3.5</v>
      </c>
      <c r="AK62" s="13" t="n">
        <f aca="false">AK24-AK47</f>
        <v>3.5</v>
      </c>
      <c r="AL62" s="13" t="n">
        <f aca="false">AL24-AL47</f>
        <v>3.5</v>
      </c>
      <c r="AM62" s="13" t="n">
        <f aca="false">AM24-AM47</f>
        <v>3.5</v>
      </c>
      <c r="AN62" s="13" t="n">
        <f aca="false">AN24-AN47</f>
        <v>3.5</v>
      </c>
      <c r="AO62" s="13" t="n">
        <f aca="false">AO24-AO47</f>
        <v>3.5</v>
      </c>
      <c r="AP62" s="13" t="n">
        <f aca="false">AP24-AP47</f>
        <v>3.5</v>
      </c>
      <c r="AQ62" s="13" t="n">
        <f aca="false">AQ24-AQ47</f>
        <v>3.5</v>
      </c>
      <c r="AR62" s="13" t="n">
        <f aca="false">AR24-AR47</f>
        <v>3.5</v>
      </c>
      <c r="AS62" s="13" t="n">
        <f aca="false">AS24-AS47</f>
        <v>3.5</v>
      </c>
      <c r="AT62" s="13" t="n">
        <f aca="false">AT24-AT47</f>
        <v>3.5</v>
      </c>
      <c r="AU62" s="13" t="n">
        <f aca="false">AU24-AU47</f>
        <v>3.5</v>
      </c>
      <c r="AV62" s="13" t="n">
        <f aca="false">AV24-AV47</f>
        <v>3.5</v>
      </c>
      <c r="AW62" s="13" t="n">
        <f aca="false">AW24-AW47</f>
        <v>3.5</v>
      </c>
      <c r="AX62" s="13" t="n">
        <f aca="false">AX24-AX47</f>
        <v>3.5</v>
      </c>
      <c r="AY62" s="13" t="n">
        <f aca="false">AY24-AY47</f>
        <v>3.5</v>
      </c>
      <c r="AZ62" s="13" t="n">
        <f aca="false">AZ24-AZ47</f>
        <v>3.5</v>
      </c>
      <c r="BA62" s="13" t="n">
        <f aca="false">BA24-BA47</f>
        <v>3.5</v>
      </c>
      <c r="BB62" s="13" t="n">
        <f aca="false">BB24-BB47</f>
        <v>3.5</v>
      </c>
      <c r="BC62" s="13" t="n">
        <f aca="false">BC24-BC47</f>
        <v>3.5</v>
      </c>
      <c r="BD62" s="13" t="n">
        <f aca="false">BD24-BD47</f>
        <v>3.5</v>
      </c>
      <c r="BE62" s="13" t="n">
        <f aca="false">BE24-BE47</f>
        <v>3.5</v>
      </c>
      <c r="BF62" s="13" t="n">
        <f aca="false">BF24-BF47</f>
        <v>3.5</v>
      </c>
      <c r="BG62" s="13" t="n">
        <f aca="false">BG24-BG47</f>
        <v>3.5</v>
      </c>
      <c r="BH62" s="13" t="n">
        <f aca="false">BH24-BH47</f>
        <v>3.5</v>
      </c>
      <c r="BI62" s="13" t="n">
        <f aca="false">BI24-BI47</f>
        <v>3.5</v>
      </c>
      <c r="BJ62" s="13" t="n">
        <f aca="false">BJ24-BJ47</f>
        <v>3.5</v>
      </c>
      <c r="BK62" s="13" t="n">
        <f aca="false">BK24-BK47</f>
        <v>3.5</v>
      </c>
      <c r="BL62" s="13" t="n">
        <f aca="false">BL24-BL47</f>
        <v>3.5</v>
      </c>
      <c r="BM62" s="13" t="n">
        <f aca="false">BM24-BM47</f>
        <v>3.5</v>
      </c>
      <c r="BN62" s="13" t="n">
        <f aca="false">BN24-BN47</f>
        <v>3.5</v>
      </c>
      <c r="BO62" s="13" t="n">
        <f aca="false">BO24-BO47</f>
        <v>3.5</v>
      </c>
      <c r="BP62" s="13" t="n">
        <f aca="false">BP24-BP47</f>
        <v>3.5</v>
      </c>
      <c r="BQ62" s="13" t="n">
        <f aca="false">BQ24-BQ47</f>
        <v>3.5</v>
      </c>
      <c r="BR62" s="13" t="n">
        <f aca="false">BR24-BR47</f>
        <v>3.5</v>
      </c>
      <c r="BS62" s="13" t="n">
        <f aca="false">BS24-BS47</f>
        <v>3.5</v>
      </c>
      <c r="BT62" s="13" t="n">
        <f aca="false">BT24-BT47</f>
        <v>3.5</v>
      </c>
      <c r="BU62" s="13" t="n">
        <f aca="false">BU24-BU47</f>
        <v>3.5</v>
      </c>
      <c r="BV62" s="13" t="n">
        <f aca="false">BV24-BV47</f>
        <v>3.5</v>
      </c>
      <c r="BW62" s="13" t="n">
        <f aca="false">BW24-BW47</f>
        <v>3.5</v>
      </c>
      <c r="BX62" s="13" t="n">
        <f aca="false">BX24-BX47</f>
        <v>3.5</v>
      </c>
      <c r="BY62" s="13" t="n">
        <f aca="false">BY24-BY47</f>
        <v>3.5</v>
      </c>
      <c r="BZ62" s="13" t="n">
        <f aca="false">BZ24-BZ47</f>
        <v>3.5</v>
      </c>
      <c r="CA62" s="13" t="n">
        <f aca="false">CA24-CA47</f>
        <v>3.5</v>
      </c>
      <c r="CB62" s="13" t="n">
        <f aca="false">CB24-CB47</f>
        <v>3.5</v>
      </c>
      <c r="CC62" s="13" t="n">
        <f aca="false">CC24-CC47</f>
        <v>3.5</v>
      </c>
      <c r="CD62" s="13" t="n">
        <f aca="false">CD24-CD47</f>
        <v>3.5</v>
      </c>
      <c r="CE62" s="13" t="n">
        <f aca="false">CE24-CE47</f>
        <v>3.5</v>
      </c>
      <c r="CF62" s="13" t="n">
        <f aca="false">CF24-CF47</f>
        <v>3.5</v>
      </c>
      <c r="CG62" s="13" t="n">
        <f aca="false">CG24-CG47</f>
        <v>3.5</v>
      </c>
      <c r="CH62" s="13" t="n">
        <f aca="false">CH24-CH47</f>
        <v>3.5</v>
      </c>
      <c r="CI62" s="13" t="n">
        <f aca="false">CI24-CI47</f>
        <v>3.5</v>
      </c>
      <c r="CJ62" s="13" t="n">
        <f aca="false">CJ24-CJ47</f>
        <v>3.5</v>
      </c>
      <c r="CK62" s="13" t="n">
        <f aca="false">CK24-CK47</f>
        <v>3.5</v>
      </c>
      <c r="CL62" s="13" t="n">
        <f aca="false">CL24-CL47</f>
        <v>3.5</v>
      </c>
      <c r="CM62" s="13" t="n">
        <f aca="false">CM24-CM47</f>
        <v>3.5</v>
      </c>
      <c r="CN62" s="13" t="n">
        <f aca="false">CN24-CN47</f>
        <v>3.5</v>
      </c>
      <c r="CO62" s="13" t="n">
        <f aca="false">CO24-CO47</f>
        <v>3.5</v>
      </c>
      <c r="CP62" s="13" t="n">
        <f aca="false">CP24-CP47</f>
        <v>3.5</v>
      </c>
      <c r="CQ62" s="13" t="n">
        <f aca="false">CQ24-CQ47</f>
        <v>3.5</v>
      </c>
      <c r="CR62" s="13" t="n">
        <f aca="false">CR24-CR47</f>
        <v>3.5</v>
      </c>
      <c r="CS62" s="13" t="n">
        <f aca="false">CS24-CS47</f>
        <v>3.5</v>
      </c>
      <c r="CT62" s="13" t="n">
        <f aca="false">CT24-CT47</f>
        <v>3.5</v>
      </c>
      <c r="CU62" s="13" t="n">
        <f aca="false">CU24-CU47</f>
        <v>3.5</v>
      </c>
      <c r="CV62" s="13" t="n">
        <f aca="false">CV24-CV47</f>
        <v>3.5</v>
      </c>
      <c r="CW62" s="13" t="n">
        <f aca="false">CW24-CW47</f>
        <v>3.5</v>
      </c>
      <c r="CX62" s="13" t="n">
        <f aca="false">CX24-CX47</f>
        <v>3.5</v>
      </c>
      <c r="CY62" s="13" t="n">
        <f aca="false">CY24-CY47</f>
        <v>3.5</v>
      </c>
      <c r="CZ62" s="13" t="n">
        <f aca="false">CZ24-CZ47</f>
        <v>3.5</v>
      </c>
      <c r="DA62" s="13" t="n">
        <f aca="false">DA24-DA47</f>
        <v>3.5</v>
      </c>
      <c r="DB62" s="13" t="n">
        <f aca="false">DB24-DB47</f>
        <v>3.5</v>
      </c>
      <c r="DC62" s="13" t="n">
        <f aca="false">DC24-DC47</f>
        <v>3.5</v>
      </c>
      <c r="DD62" s="13" t="n">
        <f aca="false">DD24-DD47</f>
        <v>3.5</v>
      </c>
      <c r="DE62" s="13" t="n">
        <f aca="false">DE24-DE47</f>
        <v>3.5</v>
      </c>
      <c r="DF62" s="13" t="n">
        <f aca="false">DF24-DF47</f>
        <v>3.5</v>
      </c>
      <c r="DG62" s="13" t="n">
        <f aca="false">DG24-DG47</f>
        <v>3.5</v>
      </c>
      <c r="DH62" s="13" t="n">
        <f aca="false">DH24-DH47</f>
        <v>3.5</v>
      </c>
      <c r="DI62" s="13" t="n">
        <f aca="false">DI24-DI47</f>
        <v>3.5</v>
      </c>
      <c r="DJ62" s="13" t="n">
        <f aca="false">DJ24-DJ47</f>
        <v>3.5</v>
      </c>
      <c r="DK62" s="13" t="n">
        <f aca="false">DK24-DK47</f>
        <v>3.5</v>
      </c>
      <c r="DL62" s="13" t="n">
        <f aca="false">DL24-DL47</f>
        <v>3.5</v>
      </c>
      <c r="DM62" s="13" t="n">
        <f aca="false">DM24-DM47</f>
        <v>3.5</v>
      </c>
      <c r="DN62" s="13" t="n">
        <f aca="false">DN24-DN47</f>
        <v>3.5</v>
      </c>
      <c r="DO62" s="13" t="n">
        <f aca="false">DO24-DO47</f>
        <v>3.5</v>
      </c>
      <c r="DP62" s="13" t="n">
        <f aca="false">DP24-DP47</f>
        <v>3.5</v>
      </c>
      <c r="DQ62" s="13" t="n">
        <f aca="false">DQ24-DQ47</f>
        <v>3.5</v>
      </c>
      <c r="DR62" s="13" t="n">
        <f aca="false">DR24-DR47</f>
        <v>3.5</v>
      </c>
    </row>
    <row r="63" customFormat="false" ht="15" hidden="false" customHeight="false" outlineLevel="0" collapsed="false">
      <c r="A63" s="9" t="s">
        <v>231</v>
      </c>
      <c r="B63" s="11" t="n">
        <f aca="false">SUM($B62:B62)</f>
        <v>-50</v>
      </c>
      <c r="C63" s="11" t="n">
        <f aca="false">SUM($B62:C62)</f>
        <v>-46.5</v>
      </c>
      <c r="D63" s="11" t="n">
        <f aca="false">SUM($B62:D62)</f>
        <v>-43</v>
      </c>
      <c r="E63" s="11" t="n">
        <f aca="false">SUM($B62:E62)</f>
        <v>-39.5</v>
      </c>
      <c r="F63" s="11" t="n">
        <f aca="false">SUM($B62:F62)</f>
        <v>-36</v>
      </c>
      <c r="G63" s="11" t="n">
        <f aca="false">SUM($B62:G62)</f>
        <v>-32.5</v>
      </c>
      <c r="H63" s="11" t="n">
        <f aca="false">SUM($B62:H62)</f>
        <v>-29</v>
      </c>
      <c r="I63" s="11" t="n">
        <f aca="false">SUM($B62:I62)</f>
        <v>-25.5</v>
      </c>
      <c r="J63" s="11" t="n">
        <f aca="false">SUM($B62:J62)</f>
        <v>-22</v>
      </c>
      <c r="K63" s="11" t="n">
        <f aca="false">SUM($B62:K62)</f>
        <v>-18.5</v>
      </c>
      <c r="L63" s="11" t="n">
        <f aca="false">SUM($B62:L62)</f>
        <v>-15</v>
      </c>
      <c r="M63" s="11" t="n">
        <f aca="false">SUM($B62:M62)</f>
        <v>-11.5</v>
      </c>
      <c r="N63" s="11" t="n">
        <f aca="false">SUM($B62:N62)</f>
        <v>-8</v>
      </c>
      <c r="O63" s="11" t="n">
        <f aca="false">SUM($B62:O62)</f>
        <v>-4.5</v>
      </c>
      <c r="P63" s="11" t="n">
        <f aca="false">SUM($B62:P62)</f>
        <v>-1</v>
      </c>
      <c r="Q63" s="11" t="n">
        <f aca="false">SUM($B62:Q62)</f>
        <v>2.5</v>
      </c>
      <c r="R63" s="11" t="n">
        <f aca="false">SUM($B62:R62)</f>
        <v>6</v>
      </c>
      <c r="S63" s="11" t="n">
        <f aca="false">SUM($B62:S62)</f>
        <v>9.5</v>
      </c>
      <c r="T63" s="11" t="n">
        <f aca="false">SUM($B62:T62)</f>
        <v>13</v>
      </c>
      <c r="U63" s="11" t="n">
        <f aca="false">SUM($B62:U62)</f>
        <v>16.5</v>
      </c>
      <c r="V63" s="11" t="n">
        <f aca="false">SUM($B62:V62)</f>
        <v>20</v>
      </c>
      <c r="W63" s="11" t="n">
        <f aca="false">SUM($B62:W62)</f>
        <v>23.5</v>
      </c>
      <c r="X63" s="11" t="n">
        <f aca="false">SUM($B62:X62)</f>
        <v>27</v>
      </c>
      <c r="Y63" s="11" t="n">
        <f aca="false">SUM($B62:Y62)</f>
        <v>30.5</v>
      </c>
      <c r="Z63" s="11" t="n">
        <f aca="false">SUM($B62:Z62)</f>
        <v>34</v>
      </c>
      <c r="AA63" s="11" t="n">
        <f aca="false">SUM($B62:AA62)</f>
        <v>37.5</v>
      </c>
      <c r="AB63" s="11" t="n">
        <f aca="false">SUM($B62:AB62)</f>
        <v>41</v>
      </c>
      <c r="AC63" s="11" t="n">
        <f aca="false">SUM($B62:AC62)</f>
        <v>44.5</v>
      </c>
      <c r="AD63" s="11" t="n">
        <f aca="false">SUM($B62:AD62)</f>
        <v>48</v>
      </c>
      <c r="AE63" s="11" t="n">
        <f aca="false">SUM($B62:AE62)</f>
        <v>51.5</v>
      </c>
      <c r="AF63" s="11" t="n">
        <f aca="false">SUM($B62:AF62)</f>
        <v>55</v>
      </c>
      <c r="AG63" s="11" t="n">
        <f aca="false">SUM($B62:AG62)</f>
        <v>58.5</v>
      </c>
      <c r="AH63" s="11" t="n">
        <f aca="false">SUM($B62:AH62)</f>
        <v>62</v>
      </c>
      <c r="AI63" s="11" t="n">
        <f aca="false">SUM($B62:AI62)</f>
        <v>65.5</v>
      </c>
      <c r="AJ63" s="11" t="n">
        <f aca="false">SUM($B62:AJ62)</f>
        <v>69</v>
      </c>
      <c r="AK63" s="11" t="n">
        <f aca="false">SUM($B62:AK62)</f>
        <v>72.5</v>
      </c>
      <c r="AL63" s="11" t="n">
        <f aca="false">SUM($B62:AL62)</f>
        <v>76</v>
      </c>
      <c r="AM63" s="11" t="n">
        <f aca="false">SUM($B62:AM62)</f>
        <v>79.5</v>
      </c>
      <c r="AN63" s="11" t="n">
        <f aca="false">SUM($B62:AN62)</f>
        <v>83</v>
      </c>
      <c r="AO63" s="11" t="n">
        <f aca="false">SUM($B62:AO62)</f>
        <v>86.5</v>
      </c>
      <c r="AP63" s="11" t="n">
        <f aca="false">SUM($B62:AP62)</f>
        <v>90</v>
      </c>
      <c r="AQ63" s="11" t="n">
        <f aca="false">SUM($B62:AQ62)</f>
        <v>93.5</v>
      </c>
      <c r="AR63" s="11" t="n">
        <f aca="false">SUM($B62:AR62)</f>
        <v>97</v>
      </c>
      <c r="AS63" s="11" t="n">
        <f aca="false">SUM($B62:AS62)</f>
        <v>100.5</v>
      </c>
      <c r="AT63" s="11" t="n">
        <f aca="false">SUM($B62:AT62)</f>
        <v>104</v>
      </c>
      <c r="AU63" s="11" t="n">
        <f aca="false">SUM($B62:AU62)</f>
        <v>107.5</v>
      </c>
      <c r="AV63" s="11" t="n">
        <f aca="false">SUM($B62:AV62)</f>
        <v>111</v>
      </c>
      <c r="AW63" s="11" t="n">
        <f aca="false">SUM($B62:AW62)</f>
        <v>114.5</v>
      </c>
      <c r="AX63" s="11" t="n">
        <f aca="false">SUM($B62:AX62)</f>
        <v>118</v>
      </c>
      <c r="AY63" s="11" t="n">
        <f aca="false">SUM($B62:AY62)</f>
        <v>121.5</v>
      </c>
      <c r="AZ63" s="11" t="n">
        <f aca="false">SUM($B62:AZ62)</f>
        <v>125</v>
      </c>
      <c r="BA63" s="11" t="n">
        <f aca="false">SUM($B62:BA62)</f>
        <v>128.5</v>
      </c>
      <c r="BB63" s="11" t="n">
        <f aca="false">SUM($B62:BB62)</f>
        <v>132</v>
      </c>
      <c r="BC63" s="11" t="n">
        <f aca="false">SUM($B62:BC62)</f>
        <v>135.5</v>
      </c>
      <c r="BD63" s="11" t="n">
        <f aca="false">SUM($B62:BD62)</f>
        <v>139</v>
      </c>
      <c r="BE63" s="11" t="n">
        <f aca="false">SUM($B62:BE62)</f>
        <v>142.5</v>
      </c>
      <c r="BF63" s="11" t="n">
        <f aca="false">SUM($B62:BF62)</f>
        <v>146</v>
      </c>
      <c r="BG63" s="11" t="n">
        <f aca="false">SUM($B62:BG62)</f>
        <v>149.5</v>
      </c>
      <c r="BH63" s="11" t="n">
        <f aca="false">SUM($B62:BH62)</f>
        <v>153</v>
      </c>
      <c r="BI63" s="11" t="n">
        <f aca="false">SUM($B62:BI62)</f>
        <v>156.5</v>
      </c>
      <c r="BJ63" s="11" t="n">
        <f aca="false">SUM($B62:BJ62)</f>
        <v>160</v>
      </c>
      <c r="BK63" s="11" t="n">
        <f aca="false">SUM($B62:BK62)</f>
        <v>163.5</v>
      </c>
      <c r="BL63" s="11" t="n">
        <f aca="false">SUM($B62:BL62)</f>
        <v>167</v>
      </c>
      <c r="BM63" s="11" t="n">
        <f aca="false">SUM($B62:BM62)</f>
        <v>170.5</v>
      </c>
      <c r="BN63" s="11" t="n">
        <f aca="false">SUM($B62:BN62)</f>
        <v>174</v>
      </c>
      <c r="BO63" s="11" t="n">
        <f aca="false">SUM($B62:BO62)</f>
        <v>177.5</v>
      </c>
      <c r="BP63" s="11" t="n">
        <f aca="false">SUM($B62:BP62)</f>
        <v>181</v>
      </c>
      <c r="BQ63" s="11" t="n">
        <f aca="false">SUM($B62:BQ62)</f>
        <v>184.5</v>
      </c>
      <c r="BR63" s="11" t="n">
        <f aca="false">SUM($B62:BR62)</f>
        <v>188</v>
      </c>
      <c r="BS63" s="11" t="n">
        <f aca="false">SUM($B62:BS62)</f>
        <v>191.5</v>
      </c>
      <c r="BT63" s="11" t="n">
        <f aca="false">SUM($B62:BT62)</f>
        <v>195</v>
      </c>
      <c r="BU63" s="11" t="n">
        <f aca="false">SUM($B62:BU62)</f>
        <v>198.5</v>
      </c>
      <c r="BV63" s="11" t="n">
        <f aca="false">SUM($B62:BV62)</f>
        <v>202</v>
      </c>
      <c r="BW63" s="11" t="n">
        <f aca="false">SUM($B62:BW62)</f>
        <v>205.5</v>
      </c>
      <c r="BX63" s="11" t="n">
        <f aca="false">SUM($B62:BX62)</f>
        <v>209</v>
      </c>
      <c r="BY63" s="11" t="n">
        <f aca="false">SUM($B62:BY62)</f>
        <v>212.5</v>
      </c>
      <c r="BZ63" s="11" t="n">
        <f aca="false">SUM($B62:BZ62)</f>
        <v>216</v>
      </c>
      <c r="CA63" s="11" t="n">
        <f aca="false">SUM($B62:CA62)</f>
        <v>219.5</v>
      </c>
      <c r="CB63" s="11" t="n">
        <f aca="false">SUM($B62:CB62)</f>
        <v>223</v>
      </c>
      <c r="CC63" s="11" t="n">
        <f aca="false">SUM($B62:CC62)</f>
        <v>226.5</v>
      </c>
      <c r="CD63" s="11" t="n">
        <f aca="false">SUM($B62:CD62)</f>
        <v>230</v>
      </c>
      <c r="CE63" s="11" t="n">
        <f aca="false">SUM($B62:CE62)</f>
        <v>233.5</v>
      </c>
      <c r="CF63" s="11" t="n">
        <f aca="false">SUM($B62:CF62)</f>
        <v>237</v>
      </c>
      <c r="CG63" s="11" t="n">
        <f aca="false">SUM($B62:CG62)</f>
        <v>240.5</v>
      </c>
      <c r="CH63" s="11" t="n">
        <f aca="false">SUM($B62:CH62)</f>
        <v>244</v>
      </c>
      <c r="CI63" s="11" t="n">
        <f aca="false">SUM($B62:CI62)</f>
        <v>247.5</v>
      </c>
      <c r="CJ63" s="11" t="n">
        <f aca="false">SUM($B62:CJ62)</f>
        <v>251</v>
      </c>
      <c r="CK63" s="11" t="n">
        <f aca="false">SUM($B62:CK62)</f>
        <v>254.5</v>
      </c>
      <c r="CL63" s="11" t="n">
        <f aca="false">SUM($B62:CL62)</f>
        <v>258</v>
      </c>
      <c r="CM63" s="11" t="n">
        <f aca="false">SUM($B62:CM62)</f>
        <v>261.5</v>
      </c>
      <c r="CN63" s="11" t="n">
        <f aca="false">SUM($B62:CN62)</f>
        <v>265</v>
      </c>
      <c r="CO63" s="11" t="n">
        <f aca="false">SUM($B62:CO62)</f>
        <v>268.5</v>
      </c>
      <c r="CP63" s="11" t="n">
        <f aca="false">SUM($B62:CP62)</f>
        <v>272</v>
      </c>
      <c r="CQ63" s="11" t="n">
        <f aca="false">SUM($B62:CQ62)</f>
        <v>275.5</v>
      </c>
      <c r="CR63" s="11" t="n">
        <f aca="false">SUM($B62:CR62)</f>
        <v>279</v>
      </c>
      <c r="CS63" s="11" t="n">
        <f aca="false">SUM($B62:CS62)</f>
        <v>282.5</v>
      </c>
      <c r="CT63" s="11" t="n">
        <f aca="false">SUM($B62:CT62)</f>
        <v>286</v>
      </c>
      <c r="CU63" s="11" t="n">
        <f aca="false">SUM($B62:CU62)</f>
        <v>289.5</v>
      </c>
      <c r="CV63" s="11" t="n">
        <f aca="false">SUM($B62:CV62)</f>
        <v>293</v>
      </c>
      <c r="CW63" s="11" t="n">
        <f aca="false">SUM($B62:CW62)</f>
        <v>296.5</v>
      </c>
      <c r="CX63" s="11" t="n">
        <f aca="false">SUM($B62:CX62)</f>
        <v>300</v>
      </c>
      <c r="CY63" s="11" t="n">
        <f aca="false">SUM($B62:CY62)</f>
        <v>303.5</v>
      </c>
      <c r="CZ63" s="11" t="n">
        <f aca="false">SUM($B62:CZ62)</f>
        <v>307</v>
      </c>
      <c r="DA63" s="11" t="n">
        <f aca="false">SUM($B62:DA62)</f>
        <v>310.5</v>
      </c>
      <c r="DB63" s="11" t="n">
        <f aca="false">SUM($B62:DB62)</f>
        <v>314</v>
      </c>
      <c r="DC63" s="11" t="n">
        <f aca="false">SUM($B62:DC62)</f>
        <v>317.5</v>
      </c>
      <c r="DD63" s="11" t="n">
        <f aca="false">SUM($B62:DD62)</f>
        <v>321</v>
      </c>
      <c r="DE63" s="11" t="n">
        <f aca="false">SUM($B62:DE62)</f>
        <v>324.5</v>
      </c>
      <c r="DF63" s="11" t="n">
        <f aca="false">SUM($B62:DF62)</f>
        <v>328</v>
      </c>
      <c r="DG63" s="11" t="n">
        <f aca="false">SUM($B62:DG62)</f>
        <v>331.5</v>
      </c>
      <c r="DH63" s="11" t="n">
        <f aca="false">SUM($B62:DH62)</f>
        <v>335</v>
      </c>
      <c r="DI63" s="11" t="n">
        <f aca="false">SUM($B62:DI62)</f>
        <v>338.5</v>
      </c>
      <c r="DJ63" s="11" t="n">
        <f aca="false">SUM($B62:DJ62)</f>
        <v>342</v>
      </c>
      <c r="DK63" s="11" t="n">
        <f aca="false">SUM($B62:DK62)</f>
        <v>345.5</v>
      </c>
      <c r="DL63" s="11" t="n">
        <f aca="false">SUM($B62:DL62)</f>
        <v>349</v>
      </c>
      <c r="DM63" s="11" t="n">
        <f aca="false">SUM($B62:DM62)</f>
        <v>352.5</v>
      </c>
      <c r="DN63" s="11" t="n">
        <f aca="false">SUM($B62:DN62)</f>
        <v>356</v>
      </c>
      <c r="DO63" s="11" t="n">
        <f aca="false">SUM($B62:DO62)</f>
        <v>359.5</v>
      </c>
      <c r="DP63" s="11" t="n">
        <f aca="false">SUM($B62:DP62)</f>
        <v>363</v>
      </c>
      <c r="DQ63" s="11" t="n">
        <f aca="false">SUM($B62:DQ62)</f>
        <v>366.5</v>
      </c>
      <c r="DR63" s="11" t="n">
        <f aca="false">SUM($B62:DR62)</f>
        <v>370</v>
      </c>
    </row>
    <row r="64" customFormat="false" ht="15" hidden="false" customHeight="false" outlineLevel="0" collapsed="false">
      <c r="A64" s="9" t="s">
        <v>232</v>
      </c>
      <c r="B64" s="11" t="n">
        <f aca="false">SUM($B24:B24)</f>
        <v>0</v>
      </c>
      <c r="C64" s="11" t="n">
        <f aca="false">SUM($B24:C24)</f>
        <v>3.5</v>
      </c>
      <c r="D64" s="11" t="n">
        <f aca="false">SUM($B24:D24)</f>
        <v>7</v>
      </c>
      <c r="E64" s="11" t="n">
        <f aca="false">SUM($B24:E24)</f>
        <v>10.5</v>
      </c>
      <c r="F64" s="11" t="n">
        <f aca="false">SUM($B24:F24)</f>
        <v>14</v>
      </c>
      <c r="G64" s="11" t="n">
        <f aca="false">SUM($B24:G24)</f>
        <v>17.5</v>
      </c>
      <c r="H64" s="11" t="n">
        <f aca="false">SUM($B24:H24)</f>
        <v>21</v>
      </c>
      <c r="I64" s="11" t="n">
        <f aca="false">SUM($B24:I24)</f>
        <v>24.5</v>
      </c>
      <c r="J64" s="11" t="n">
        <f aca="false">SUM($B24:J24)</f>
        <v>28</v>
      </c>
      <c r="K64" s="11" t="n">
        <f aca="false">SUM($B24:K24)</f>
        <v>31.5</v>
      </c>
      <c r="L64" s="11" t="n">
        <f aca="false">SUM($B24:L24)</f>
        <v>35</v>
      </c>
      <c r="M64" s="11" t="n">
        <f aca="false">SUM($B24:M24)</f>
        <v>38.5</v>
      </c>
      <c r="N64" s="11" t="n">
        <f aca="false">SUM($B24:N24)</f>
        <v>42</v>
      </c>
      <c r="O64" s="11" t="n">
        <f aca="false">SUM($B24:O24)</f>
        <v>45.5</v>
      </c>
      <c r="P64" s="11" t="n">
        <f aca="false">SUM($B24:P24)</f>
        <v>49</v>
      </c>
      <c r="Q64" s="11" t="n">
        <f aca="false">SUM($B24:Q24)</f>
        <v>52.5</v>
      </c>
      <c r="R64" s="11" t="n">
        <f aca="false">SUM($B24:R24)</f>
        <v>56</v>
      </c>
      <c r="S64" s="11" t="n">
        <f aca="false">SUM($B24:S24)</f>
        <v>59.5</v>
      </c>
      <c r="T64" s="11" t="n">
        <f aca="false">SUM($B24:T24)</f>
        <v>63</v>
      </c>
      <c r="U64" s="11" t="n">
        <f aca="false">SUM($B24:U24)</f>
        <v>66.5</v>
      </c>
      <c r="V64" s="11" t="n">
        <f aca="false">SUM($B24:V24)</f>
        <v>70</v>
      </c>
      <c r="W64" s="11" t="n">
        <f aca="false">SUM($B24:W24)</f>
        <v>73.5</v>
      </c>
      <c r="X64" s="11" t="n">
        <f aca="false">SUM($B24:X24)</f>
        <v>77</v>
      </c>
      <c r="Y64" s="11" t="n">
        <f aca="false">SUM($B24:Y24)</f>
        <v>80.5</v>
      </c>
      <c r="Z64" s="11" t="n">
        <f aca="false">SUM($B24:Z24)</f>
        <v>84</v>
      </c>
      <c r="AA64" s="11" t="n">
        <f aca="false">SUM($B24:AA24)</f>
        <v>87.5</v>
      </c>
      <c r="AB64" s="11" t="n">
        <f aca="false">SUM($B24:AB24)</f>
        <v>91</v>
      </c>
      <c r="AC64" s="11" t="n">
        <f aca="false">SUM($B24:AC24)</f>
        <v>94.5</v>
      </c>
      <c r="AD64" s="11" t="n">
        <f aca="false">SUM($B24:AD24)</f>
        <v>98</v>
      </c>
      <c r="AE64" s="11" t="n">
        <f aca="false">SUM($B24:AE24)</f>
        <v>101.5</v>
      </c>
      <c r="AF64" s="11" t="n">
        <f aca="false">SUM($B24:AF24)</f>
        <v>105</v>
      </c>
      <c r="AG64" s="11" t="n">
        <f aca="false">SUM($B24:AG24)</f>
        <v>108.5</v>
      </c>
      <c r="AH64" s="11" t="n">
        <f aca="false">SUM($B24:AH24)</f>
        <v>112</v>
      </c>
      <c r="AI64" s="11" t="n">
        <f aca="false">SUM($B24:AI24)</f>
        <v>115.5</v>
      </c>
      <c r="AJ64" s="11" t="n">
        <f aca="false">SUM($B24:AJ24)</f>
        <v>119</v>
      </c>
      <c r="AK64" s="11" t="n">
        <f aca="false">SUM($B24:AK24)</f>
        <v>122.5</v>
      </c>
      <c r="AL64" s="11" t="n">
        <f aca="false">SUM($B24:AL24)</f>
        <v>126</v>
      </c>
      <c r="AM64" s="11" t="n">
        <f aca="false">SUM($B24:AM24)</f>
        <v>129.5</v>
      </c>
      <c r="AN64" s="11" t="n">
        <f aca="false">SUM($B24:AN24)</f>
        <v>133</v>
      </c>
      <c r="AO64" s="11" t="n">
        <f aca="false">SUM($B24:AO24)</f>
        <v>136.5</v>
      </c>
      <c r="AP64" s="11" t="n">
        <f aca="false">SUM($B24:AP24)</f>
        <v>140</v>
      </c>
      <c r="AQ64" s="11" t="n">
        <f aca="false">SUM($B24:AQ24)</f>
        <v>143.5</v>
      </c>
      <c r="AR64" s="11" t="n">
        <f aca="false">SUM($B24:AR24)</f>
        <v>147</v>
      </c>
      <c r="AS64" s="11" t="n">
        <f aca="false">SUM($B24:AS24)</f>
        <v>150.5</v>
      </c>
      <c r="AT64" s="11" t="n">
        <f aca="false">SUM($B24:AT24)</f>
        <v>154</v>
      </c>
      <c r="AU64" s="11" t="n">
        <f aca="false">SUM($B24:AU24)</f>
        <v>157.5</v>
      </c>
      <c r="AV64" s="11" t="n">
        <f aca="false">SUM($B24:AV24)</f>
        <v>161</v>
      </c>
      <c r="AW64" s="11" t="n">
        <f aca="false">SUM($B24:AW24)</f>
        <v>164.5</v>
      </c>
      <c r="AX64" s="11" t="n">
        <f aca="false">SUM($B24:AX24)</f>
        <v>168</v>
      </c>
      <c r="AY64" s="11" t="n">
        <f aca="false">SUM($B24:AY24)</f>
        <v>171.5</v>
      </c>
      <c r="AZ64" s="11" t="n">
        <f aca="false">SUM($B24:AZ24)</f>
        <v>175</v>
      </c>
      <c r="BA64" s="11" t="n">
        <f aca="false">SUM($B24:BA24)</f>
        <v>178.5</v>
      </c>
      <c r="BB64" s="11" t="n">
        <f aca="false">SUM($B24:BB24)</f>
        <v>182</v>
      </c>
      <c r="BC64" s="11" t="n">
        <f aca="false">SUM($B24:BC24)</f>
        <v>185.5</v>
      </c>
      <c r="BD64" s="11" t="n">
        <f aca="false">SUM($B24:BD24)</f>
        <v>189</v>
      </c>
      <c r="BE64" s="11" t="n">
        <f aca="false">SUM($B24:BE24)</f>
        <v>192.5</v>
      </c>
      <c r="BF64" s="11" t="n">
        <f aca="false">SUM($B24:BF24)</f>
        <v>196</v>
      </c>
      <c r="BG64" s="11" t="n">
        <f aca="false">SUM($B24:BG24)</f>
        <v>199.5</v>
      </c>
      <c r="BH64" s="11" t="n">
        <f aca="false">SUM($B24:BH24)</f>
        <v>203</v>
      </c>
      <c r="BI64" s="11" t="n">
        <f aca="false">SUM($B24:BI24)</f>
        <v>206.5</v>
      </c>
      <c r="BJ64" s="11" t="n">
        <f aca="false">SUM($B24:BJ24)</f>
        <v>210</v>
      </c>
      <c r="BK64" s="11" t="n">
        <f aca="false">SUM($B24:BK24)</f>
        <v>213.5</v>
      </c>
      <c r="BL64" s="11" t="n">
        <f aca="false">SUM($B24:BL24)</f>
        <v>217</v>
      </c>
      <c r="BM64" s="11" t="n">
        <f aca="false">SUM($B24:BM24)</f>
        <v>220.5</v>
      </c>
      <c r="BN64" s="11" t="n">
        <f aca="false">SUM($B24:BN24)</f>
        <v>224</v>
      </c>
      <c r="BO64" s="11" t="n">
        <f aca="false">SUM($B24:BO24)</f>
        <v>227.5</v>
      </c>
      <c r="BP64" s="11" t="n">
        <f aca="false">SUM($B24:BP24)</f>
        <v>231</v>
      </c>
      <c r="BQ64" s="11" t="n">
        <f aca="false">SUM($B24:BQ24)</f>
        <v>234.5</v>
      </c>
      <c r="BR64" s="11" t="n">
        <f aca="false">SUM($B24:BR24)</f>
        <v>238</v>
      </c>
      <c r="BS64" s="11" t="n">
        <f aca="false">SUM($B24:BS24)</f>
        <v>241.5</v>
      </c>
      <c r="BT64" s="11" t="n">
        <f aca="false">SUM($B24:BT24)</f>
        <v>245</v>
      </c>
      <c r="BU64" s="11" t="n">
        <f aca="false">SUM($B24:BU24)</f>
        <v>248.5</v>
      </c>
      <c r="BV64" s="11" t="n">
        <f aca="false">SUM($B24:BV24)</f>
        <v>252</v>
      </c>
      <c r="BW64" s="11" t="n">
        <f aca="false">SUM($B24:BW24)</f>
        <v>255.5</v>
      </c>
      <c r="BX64" s="11" t="n">
        <f aca="false">SUM($B24:BX24)</f>
        <v>259</v>
      </c>
      <c r="BY64" s="11" t="n">
        <f aca="false">SUM($B24:BY24)</f>
        <v>262.5</v>
      </c>
      <c r="BZ64" s="11" t="n">
        <f aca="false">SUM($B24:BZ24)</f>
        <v>266</v>
      </c>
      <c r="CA64" s="11" t="n">
        <f aca="false">SUM($B24:CA24)</f>
        <v>269.5</v>
      </c>
      <c r="CB64" s="11" t="n">
        <f aca="false">SUM($B24:CB24)</f>
        <v>273</v>
      </c>
      <c r="CC64" s="11" t="n">
        <f aca="false">SUM($B24:CC24)</f>
        <v>276.5</v>
      </c>
      <c r="CD64" s="11" t="n">
        <f aca="false">SUM($B24:CD24)</f>
        <v>280</v>
      </c>
      <c r="CE64" s="11" t="n">
        <f aca="false">SUM($B24:CE24)</f>
        <v>283.5</v>
      </c>
      <c r="CF64" s="11" t="n">
        <f aca="false">SUM($B24:CF24)</f>
        <v>287</v>
      </c>
      <c r="CG64" s="11" t="n">
        <f aca="false">SUM($B24:CG24)</f>
        <v>290.5</v>
      </c>
      <c r="CH64" s="11" t="n">
        <f aca="false">SUM($B24:CH24)</f>
        <v>294</v>
      </c>
      <c r="CI64" s="11" t="n">
        <f aca="false">SUM($B24:CI24)</f>
        <v>297.5</v>
      </c>
      <c r="CJ64" s="11" t="n">
        <f aca="false">SUM($B24:CJ24)</f>
        <v>301</v>
      </c>
      <c r="CK64" s="11" t="n">
        <f aca="false">SUM($B24:CK24)</f>
        <v>304.5</v>
      </c>
      <c r="CL64" s="11" t="n">
        <f aca="false">SUM($B24:CL24)</f>
        <v>308</v>
      </c>
      <c r="CM64" s="11" t="n">
        <f aca="false">SUM($B24:CM24)</f>
        <v>311.5</v>
      </c>
      <c r="CN64" s="11" t="n">
        <f aca="false">SUM($B24:CN24)</f>
        <v>315</v>
      </c>
      <c r="CO64" s="11" t="n">
        <f aca="false">SUM($B24:CO24)</f>
        <v>318.5</v>
      </c>
      <c r="CP64" s="11" t="n">
        <f aca="false">SUM($B24:CP24)</f>
        <v>322</v>
      </c>
      <c r="CQ64" s="11" t="n">
        <f aca="false">SUM($B24:CQ24)</f>
        <v>325.5</v>
      </c>
      <c r="CR64" s="11" t="n">
        <f aca="false">SUM($B24:CR24)</f>
        <v>329</v>
      </c>
      <c r="CS64" s="11" t="n">
        <f aca="false">SUM($B24:CS24)</f>
        <v>332.5</v>
      </c>
      <c r="CT64" s="11" t="n">
        <f aca="false">SUM($B24:CT24)</f>
        <v>336</v>
      </c>
      <c r="CU64" s="11" t="n">
        <f aca="false">SUM($B24:CU24)</f>
        <v>339.5</v>
      </c>
      <c r="CV64" s="11" t="n">
        <f aca="false">SUM($B24:CV24)</f>
        <v>343</v>
      </c>
      <c r="CW64" s="11" t="n">
        <f aca="false">SUM($B24:CW24)</f>
        <v>346.5</v>
      </c>
      <c r="CX64" s="11" t="n">
        <f aca="false">SUM($B24:CX24)</f>
        <v>350</v>
      </c>
      <c r="CY64" s="11" t="n">
        <f aca="false">SUM($B24:CY24)</f>
        <v>353.5</v>
      </c>
      <c r="CZ64" s="11" t="n">
        <f aca="false">SUM($B24:CZ24)</f>
        <v>357</v>
      </c>
      <c r="DA64" s="11" t="n">
        <f aca="false">SUM($B24:DA24)</f>
        <v>360.5</v>
      </c>
      <c r="DB64" s="11" t="n">
        <f aca="false">SUM($B24:DB24)</f>
        <v>364</v>
      </c>
      <c r="DC64" s="11" t="n">
        <f aca="false">SUM($B24:DC24)</f>
        <v>367.5</v>
      </c>
      <c r="DD64" s="11" t="n">
        <f aca="false">SUM($B24:DD24)</f>
        <v>371</v>
      </c>
      <c r="DE64" s="11" t="n">
        <f aca="false">SUM($B24:DE24)</f>
        <v>374.5</v>
      </c>
      <c r="DF64" s="11" t="n">
        <f aca="false">SUM($B24:DF24)</f>
        <v>378</v>
      </c>
      <c r="DG64" s="11" t="n">
        <f aca="false">SUM($B24:DG24)</f>
        <v>381.5</v>
      </c>
      <c r="DH64" s="11" t="n">
        <f aca="false">SUM($B24:DH24)</f>
        <v>385</v>
      </c>
      <c r="DI64" s="11" t="n">
        <f aca="false">SUM($B24:DI24)</f>
        <v>388.5</v>
      </c>
      <c r="DJ64" s="11" t="n">
        <f aca="false">SUM($B24:DJ24)</f>
        <v>392</v>
      </c>
      <c r="DK64" s="11" t="n">
        <f aca="false">SUM($B24:DK24)</f>
        <v>395.5</v>
      </c>
      <c r="DL64" s="11" t="n">
        <f aca="false">SUM($B24:DL24)</f>
        <v>399</v>
      </c>
      <c r="DM64" s="11" t="n">
        <f aca="false">SUM($B24:DM24)</f>
        <v>402.5</v>
      </c>
      <c r="DN64" s="11" t="n">
        <f aca="false">SUM($B24:DN24)</f>
        <v>406</v>
      </c>
      <c r="DO64" s="11" t="n">
        <f aca="false">SUM($B24:DO24)</f>
        <v>409.5</v>
      </c>
      <c r="DP64" s="11" t="n">
        <f aca="false">SUM($B24:DP24)</f>
        <v>413</v>
      </c>
      <c r="DQ64" s="11" t="n">
        <f aca="false">SUM($B24:DQ24)</f>
        <v>416.5</v>
      </c>
      <c r="DR64" s="11" t="n">
        <f aca="false">SUM($B24:DR24)</f>
        <v>420</v>
      </c>
    </row>
    <row r="65" customFormat="false" ht="15" hidden="false" customHeight="false" outlineLevel="0" collapsed="false">
      <c r="A65" s="9" t="s">
        <v>233</v>
      </c>
      <c r="B65" s="10" t="n">
        <f aca="false">B19*Inputs!$B$5</f>
        <v>0</v>
      </c>
      <c r="C65" s="10" t="n">
        <f aca="false">C19*Inputs!$B$5</f>
        <v>3.5</v>
      </c>
      <c r="D65" s="10" t="n">
        <f aca="false">D19*Inputs!$B$5</f>
        <v>3.5</v>
      </c>
      <c r="E65" s="10" t="n">
        <f aca="false">E19*Inputs!$B$5</f>
        <v>3.5</v>
      </c>
      <c r="F65" s="10" t="n">
        <f aca="false">F19*Inputs!$B$5</f>
        <v>3.5</v>
      </c>
      <c r="G65" s="10" t="n">
        <f aca="false">G19*Inputs!$B$5</f>
        <v>3.5</v>
      </c>
      <c r="H65" s="10" t="n">
        <f aca="false">H19*Inputs!$B$5</f>
        <v>3.5</v>
      </c>
      <c r="I65" s="10" t="n">
        <f aca="false">I19*Inputs!$B$5</f>
        <v>3.5</v>
      </c>
      <c r="J65" s="10" t="n">
        <f aca="false">J19*Inputs!$B$5</f>
        <v>3.5</v>
      </c>
      <c r="K65" s="10" t="n">
        <f aca="false">K19*Inputs!$B$5</f>
        <v>3.5</v>
      </c>
      <c r="L65" s="10" t="n">
        <f aca="false">L19*Inputs!$B$5</f>
        <v>3.5</v>
      </c>
      <c r="M65" s="10" t="n">
        <f aca="false">M19*Inputs!$B$5</f>
        <v>3.5</v>
      </c>
      <c r="N65" s="10" t="n">
        <f aca="false">N19*Inputs!$B$5</f>
        <v>3.5</v>
      </c>
      <c r="O65" s="10" t="n">
        <f aca="false">O19*Inputs!$B$5</f>
        <v>3.5</v>
      </c>
      <c r="P65" s="10" t="n">
        <f aca="false">P19*Inputs!$B$5</f>
        <v>3.5</v>
      </c>
      <c r="Q65" s="10" t="n">
        <f aca="false">Q19*Inputs!$B$5</f>
        <v>3.5</v>
      </c>
      <c r="R65" s="10" t="n">
        <f aca="false">R19*Inputs!$B$5</f>
        <v>3.5</v>
      </c>
      <c r="S65" s="10" t="n">
        <f aca="false">S19*Inputs!$B$5</f>
        <v>3.5</v>
      </c>
      <c r="T65" s="10" t="n">
        <f aca="false">T19*Inputs!$B$5</f>
        <v>3.5</v>
      </c>
      <c r="U65" s="10" t="n">
        <f aca="false">U19*Inputs!$B$5</f>
        <v>3.5</v>
      </c>
      <c r="V65" s="10" t="n">
        <f aca="false">V19*Inputs!$B$5</f>
        <v>3.5</v>
      </c>
      <c r="W65" s="10" t="n">
        <f aca="false">W19*Inputs!$B$5</f>
        <v>3.5</v>
      </c>
      <c r="X65" s="10" t="n">
        <f aca="false">X19*Inputs!$B$5</f>
        <v>3.5</v>
      </c>
      <c r="Y65" s="10" t="n">
        <f aca="false">Y19*Inputs!$B$5</f>
        <v>3.5</v>
      </c>
      <c r="Z65" s="10" t="n">
        <f aca="false">Z19*Inputs!$B$5</f>
        <v>3.5</v>
      </c>
      <c r="AA65" s="10" t="n">
        <f aca="false">AA19*Inputs!$B$5</f>
        <v>3.5</v>
      </c>
      <c r="AB65" s="10" t="n">
        <f aca="false">AB19*Inputs!$B$5</f>
        <v>3.5</v>
      </c>
      <c r="AC65" s="10" t="n">
        <f aca="false">AC19*Inputs!$B$5</f>
        <v>3.5</v>
      </c>
      <c r="AD65" s="10" t="n">
        <f aca="false">AD19*Inputs!$B$5</f>
        <v>3.5</v>
      </c>
      <c r="AE65" s="10" t="n">
        <f aca="false">AE19*Inputs!$B$5</f>
        <v>3.5</v>
      </c>
      <c r="AF65" s="10" t="n">
        <f aca="false">AF19*Inputs!$B$5</f>
        <v>3.5</v>
      </c>
      <c r="AG65" s="10" t="n">
        <f aca="false">AG19*Inputs!$B$5</f>
        <v>3.5</v>
      </c>
      <c r="AH65" s="10" t="n">
        <f aca="false">AH19*Inputs!$B$5</f>
        <v>3.5</v>
      </c>
      <c r="AI65" s="10" t="n">
        <f aca="false">AI19*Inputs!$B$5</f>
        <v>3.5</v>
      </c>
      <c r="AJ65" s="10" t="n">
        <f aca="false">AJ19*Inputs!$B$5</f>
        <v>3.5</v>
      </c>
      <c r="AK65" s="10" t="n">
        <f aca="false">AK19*Inputs!$B$5</f>
        <v>3.5</v>
      </c>
      <c r="AL65" s="10" t="n">
        <f aca="false">AL19*Inputs!$B$5</f>
        <v>3.5</v>
      </c>
      <c r="AM65" s="10" t="n">
        <f aca="false">AM19*Inputs!$B$5</f>
        <v>3.5</v>
      </c>
      <c r="AN65" s="10" t="n">
        <f aca="false">AN19*Inputs!$B$5</f>
        <v>3.5</v>
      </c>
      <c r="AO65" s="10" t="n">
        <f aca="false">AO19*Inputs!$B$5</f>
        <v>3.5</v>
      </c>
      <c r="AP65" s="10" t="n">
        <f aca="false">AP19*Inputs!$B$5</f>
        <v>3.5</v>
      </c>
      <c r="AQ65" s="10" t="n">
        <f aca="false">AQ19*Inputs!$B$5</f>
        <v>3.5</v>
      </c>
      <c r="AR65" s="10" t="n">
        <f aca="false">AR19*Inputs!$B$5</f>
        <v>3.5</v>
      </c>
      <c r="AS65" s="10" t="n">
        <f aca="false">AS19*Inputs!$B$5</f>
        <v>3.5</v>
      </c>
      <c r="AT65" s="10" t="n">
        <f aca="false">AT19*Inputs!$B$5</f>
        <v>3.5</v>
      </c>
      <c r="AU65" s="10" t="n">
        <f aca="false">AU19*Inputs!$B$5</f>
        <v>3.5</v>
      </c>
      <c r="AV65" s="10" t="n">
        <f aca="false">AV19*Inputs!$B$5</f>
        <v>3.5</v>
      </c>
      <c r="AW65" s="10" t="n">
        <f aca="false">AW19*Inputs!$B$5</f>
        <v>3.5</v>
      </c>
      <c r="AX65" s="10" t="n">
        <f aca="false">AX19*Inputs!$B$5</f>
        <v>3.5</v>
      </c>
      <c r="AY65" s="10" t="n">
        <f aca="false">AY19*Inputs!$B$5</f>
        <v>3.5</v>
      </c>
      <c r="AZ65" s="10" t="n">
        <f aca="false">AZ19*Inputs!$B$5</f>
        <v>3.5</v>
      </c>
      <c r="BA65" s="10" t="n">
        <f aca="false">BA19*Inputs!$B$5</f>
        <v>3.5</v>
      </c>
      <c r="BB65" s="10" t="n">
        <f aca="false">BB19*Inputs!$B$5</f>
        <v>3.5</v>
      </c>
      <c r="BC65" s="10" t="n">
        <f aca="false">BC19*Inputs!$B$5</f>
        <v>3.5</v>
      </c>
      <c r="BD65" s="10" t="n">
        <f aca="false">BD19*Inputs!$B$5</f>
        <v>3.5</v>
      </c>
      <c r="BE65" s="10" t="n">
        <f aca="false">BE19*Inputs!$B$5</f>
        <v>3.5</v>
      </c>
      <c r="BF65" s="10" t="n">
        <f aca="false">BF19*Inputs!$B$5</f>
        <v>3.5</v>
      </c>
      <c r="BG65" s="10" t="n">
        <f aca="false">BG19*Inputs!$B$5</f>
        <v>3.5</v>
      </c>
      <c r="BH65" s="10" t="n">
        <f aca="false">BH19*Inputs!$B$5</f>
        <v>3.5</v>
      </c>
      <c r="BI65" s="10" t="n">
        <f aca="false">BI19*Inputs!$B$5</f>
        <v>3.5</v>
      </c>
      <c r="BJ65" s="10" t="n">
        <f aca="false">BJ19*Inputs!$B$5</f>
        <v>3.5</v>
      </c>
      <c r="BK65" s="10" t="n">
        <f aca="false">BK19*Inputs!$B$5</f>
        <v>3.5</v>
      </c>
      <c r="BL65" s="10" t="n">
        <f aca="false">BL19*Inputs!$B$5</f>
        <v>3.5</v>
      </c>
      <c r="BM65" s="10" t="n">
        <f aca="false">BM19*Inputs!$B$5</f>
        <v>3.5</v>
      </c>
      <c r="BN65" s="10" t="n">
        <f aca="false">BN19*Inputs!$B$5</f>
        <v>3.5</v>
      </c>
      <c r="BO65" s="10" t="n">
        <f aca="false">BO19*Inputs!$B$5</f>
        <v>3.5</v>
      </c>
      <c r="BP65" s="10" t="n">
        <f aca="false">BP19*Inputs!$B$5</f>
        <v>3.5</v>
      </c>
      <c r="BQ65" s="10" t="n">
        <f aca="false">BQ19*Inputs!$B$5</f>
        <v>3.5</v>
      </c>
      <c r="BR65" s="10" t="n">
        <f aca="false">BR19*Inputs!$B$5</f>
        <v>3.5</v>
      </c>
      <c r="BS65" s="10" t="n">
        <f aca="false">BS19*Inputs!$B$5</f>
        <v>3.5</v>
      </c>
      <c r="BT65" s="10" t="n">
        <f aca="false">BT19*Inputs!$B$5</f>
        <v>3.5</v>
      </c>
      <c r="BU65" s="10" t="n">
        <f aca="false">BU19*Inputs!$B$5</f>
        <v>3.5</v>
      </c>
      <c r="BV65" s="10" t="n">
        <f aca="false">BV19*Inputs!$B$5</f>
        <v>3.5</v>
      </c>
      <c r="BW65" s="10" t="n">
        <f aca="false">BW19*Inputs!$B$5</f>
        <v>3.5</v>
      </c>
      <c r="BX65" s="10" t="n">
        <f aca="false">BX19*Inputs!$B$5</f>
        <v>3.5</v>
      </c>
      <c r="BY65" s="10" t="n">
        <f aca="false">BY19*Inputs!$B$5</f>
        <v>3.5</v>
      </c>
      <c r="BZ65" s="10" t="n">
        <f aca="false">BZ19*Inputs!$B$5</f>
        <v>3.5</v>
      </c>
      <c r="CA65" s="10" t="n">
        <f aca="false">CA19*Inputs!$B$5</f>
        <v>3.5</v>
      </c>
      <c r="CB65" s="10" t="n">
        <f aca="false">CB19*Inputs!$B$5</f>
        <v>3.5</v>
      </c>
      <c r="CC65" s="10" t="n">
        <f aca="false">CC19*Inputs!$B$5</f>
        <v>3.5</v>
      </c>
      <c r="CD65" s="10" t="n">
        <f aca="false">CD19*Inputs!$B$5</f>
        <v>3.5</v>
      </c>
      <c r="CE65" s="10" t="n">
        <f aca="false">CE19*Inputs!$B$5</f>
        <v>3.5</v>
      </c>
      <c r="CF65" s="10" t="n">
        <f aca="false">CF19*Inputs!$B$5</f>
        <v>3.5</v>
      </c>
      <c r="CG65" s="10" t="n">
        <f aca="false">CG19*Inputs!$B$5</f>
        <v>3.5</v>
      </c>
      <c r="CH65" s="10" t="n">
        <f aca="false">CH19*Inputs!$B$5</f>
        <v>3.5</v>
      </c>
      <c r="CI65" s="10" t="n">
        <f aca="false">CI19*Inputs!$B$5</f>
        <v>3.5</v>
      </c>
      <c r="CJ65" s="10" t="n">
        <f aca="false">CJ19*Inputs!$B$5</f>
        <v>3.5</v>
      </c>
      <c r="CK65" s="10" t="n">
        <f aca="false">CK19*Inputs!$B$5</f>
        <v>3.5</v>
      </c>
      <c r="CL65" s="10" t="n">
        <f aca="false">CL19*Inputs!$B$5</f>
        <v>3.5</v>
      </c>
      <c r="CM65" s="10" t="n">
        <f aca="false">CM19*Inputs!$B$5</f>
        <v>3.5</v>
      </c>
      <c r="CN65" s="10" t="n">
        <f aca="false">CN19*Inputs!$B$5</f>
        <v>3.5</v>
      </c>
      <c r="CO65" s="10" t="n">
        <f aca="false">CO19*Inputs!$B$5</f>
        <v>3.5</v>
      </c>
      <c r="CP65" s="10" t="n">
        <f aca="false">CP19*Inputs!$B$5</f>
        <v>3.5</v>
      </c>
      <c r="CQ65" s="10" t="n">
        <f aca="false">CQ19*Inputs!$B$5</f>
        <v>3.5</v>
      </c>
      <c r="CR65" s="10" t="n">
        <f aca="false">CR19*Inputs!$B$5</f>
        <v>3.5</v>
      </c>
      <c r="CS65" s="10" t="n">
        <f aca="false">CS19*Inputs!$B$5</f>
        <v>3.5</v>
      </c>
      <c r="CT65" s="10" t="n">
        <f aca="false">CT19*Inputs!$B$5</f>
        <v>3.5</v>
      </c>
      <c r="CU65" s="10" t="n">
        <f aca="false">CU19*Inputs!$B$5</f>
        <v>3.5</v>
      </c>
      <c r="CV65" s="10" t="n">
        <f aca="false">CV19*Inputs!$B$5</f>
        <v>3.5</v>
      </c>
      <c r="CW65" s="10" t="n">
        <f aca="false">CW19*Inputs!$B$5</f>
        <v>3.5</v>
      </c>
      <c r="CX65" s="10" t="n">
        <f aca="false">CX19*Inputs!$B$5</f>
        <v>3.5</v>
      </c>
      <c r="CY65" s="10" t="n">
        <f aca="false">CY19*Inputs!$B$5</f>
        <v>3.5</v>
      </c>
      <c r="CZ65" s="10" t="n">
        <f aca="false">CZ19*Inputs!$B$5</f>
        <v>3.5</v>
      </c>
      <c r="DA65" s="10" t="n">
        <f aca="false">DA19*Inputs!$B$5</f>
        <v>3.5</v>
      </c>
      <c r="DB65" s="10" t="n">
        <f aca="false">DB19*Inputs!$B$5</f>
        <v>3.5</v>
      </c>
      <c r="DC65" s="10" t="n">
        <f aca="false">DC19*Inputs!$B$5</f>
        <v>3.5</v>
      </c>
      <c r="DD65" s="10" t="n">
        <f aca="false">DD19*Inputs!$B$5</f>
        <v>3.5</v>
      </c>
      <c r="DE65" s="10" t="n">
        <f aca="false">DE19*Inputs!$B$5</f>
        <v>3.5</v>
      </c>
      <c r="DF65" s="10" t="n">
        <f aca="false">DF19*Inputs!$B$5</f>
        <v>3.5</v>
      </c>
      <c r="DG65" s="10" t="n">
        <f aca="false">DG19*Inputs!$B$5</f>
        <v>3.5</v>
      </c>
      <c r="DH65" s="10" t="n">
        <f aca="false">DH19*Inputs!$B$5</f>
        <v>3.5</v>
      </c>
      <c r="DI65" s="10" t="n">
        <f aca="false">DI19*Inputs!$B$5</f>
        <v>3.5</v>
      </c>
      <c r="DJ65" s="10" t="n">
        <f aca="false">DJ19*Inputs!$B$5</f>
        <v>3.5</v>
      </c>
      <c r="DK65" s="10" t="n">
        <f aca="false">DK19*Inputs!$B$5</f>
        <v>3.5</v>
      </c>
      <c r="DL65" s="10" t="n">
        <f aca="false">DL19*Inputs!$B$5</f>
        <v>3.5</v>
      </c>
      <c r="DM65" s="10" t="n">
        <f aca="false">DM19*Inputs!$B$5</f>
        <v>3.5</v>
      </c>
      <c r="DN65" s="10" t="n">
        <f aca="false">DN19*Inputs!$B$5</f>
        <v>3.5</v>
      </c>
      <c r="DO65" s="10" t="n">
        <f aca="false">DO19*Inputs!$B$5</f>
        <v>3.5</v>
      </c>
      <c r="DP65" s="10" t="n">
        <f aca="false">DP19*Inputs!$B$5</f>
        <v>3.5</v>
      </c>
      <c r="DQ65" s="10" t="n">
        <f aca="false">DQ19*Inputs!$B$5</f>
        <v>3.5</v>
      </c>
      <c r="DR65" s="10" t="n">
        <f aca="false">DR19*Inputs!$B$5</f>
        <v>3.5</v>
      </c>
    </row>
    <row r="66" customFormat="false" ht="15" hidden="false" customHeight="false" outlineLevel="0" collapsed="false">
      <c r="A66" s="9" t="s">
        <v>234</v>
      </c>
      <c r="B66" s="11" t="n">
        <f aca="false">B19-B4</f>
        <v>0</v>
      </c>
      <c r="C66" s="11" t="n">
        <f aca="false">C19-C4</f>
        <v>0</v>
      </c>
      <c r="D66" s="11" t="n">
        <f aca="false">D19-D4</f>
        <v>0</v>
      </c>
      <c r="E66" s="11" t="n">
        <f aca="false">E19-E4</f>
        <v>0</v>
      </c>
      <c r="F66" s="11" t="n">
        <f aca="false">F19-F4</f>
        <v>0</v>
      </c>
      <c r="G66" s="11" t="n">
        <f aca="false">G19-G4</f>
        <v>0</v>
      </c>
      <c r="H66" s="11" t="n">
        <f aca="false">H19-H4</f>
        <v>0</v>
      </c>
      <c r="I66" s="11" t="n">
        <f aca="false">I19-I4</f>
        <v>0</v>
      </c>
      <c r="J66" s="11" t="n">
        <f aca="false">J19-J4</f>
        <v>0</v>
      </c>
      <c r="K66" s="11" t="n">
        <f aca="false">K19-K4</f>
        <v>0</v>
      </c>
      <c r="L66" s="11" t="n">
        <f aca="false">L19-L4</f>
        <v>0</v>
      </c>
      <c r="M66" s="11" t="n">
        <f aca="false">M19-M4</f>
        <v>0</v>
      </c>
      <c r="N66" s="11" t="n">
        <f aca="false">N19-N4</f>
        <v>0</v>
      </c>
      <c r="O66" s="11" t="n">
        <f aca="false">O19-O4</f>
        <v>0</v>
      </c>
      <c r="P66" s="11" t="n">
        <f aca="false">P19-P4</f>
        <v>0</v>
      </c>
      <c r="Q66" s="11" t="n">
        <f aca="false">Q19-Q4</f>
        <v>0</v>
      </c>
      <c r="R66" s="11" t="n">
        <f aca="false">R19-R4</f>
        <v>0</v>
      </c>
      <c r="S66" s="11" t="n">
        <f aca="false">S19-S4</f>
        <v>0</v>
      </c>
      <c r="T66" s="11" t="n">
        <f aca="false">T19-T4</f>
        <v>0</v>
      </c>
      <c r="U66" s="11" t="n">
        <f aca="false">U19-U4</f>
        <v>0</v>
      </c>
      <c r="V66" s="11" t="n">
        <f aca="false">V19-V4</f>
        <v>0</v>
      </c>
      <c r="W66" s="11" t="n">
        <f aca="false">W19-W4</f>
        <v>0</v>
      </c>
      <c r="X66" s="11" t="n">
        <f aca="false">X19-X4</f>
        <v>0</v>
      </c>
      <c r="Y66" s="11" t="n">
        <f aca="false">Y19-Y4</f>
        <v>0</v>
      </c>
      <c r="Z66" s="11" t="n">
        <f aca="false">Z19-Z4</f>
        <v>0</v>
      </c>
      <c r="AA66" s="11" t="n">
        <f aca="false">AA19-AA4</f>
        <v>0</v>
      </c>
      <c r="AB66" s="11" t="n">
        <f aca="false">AB19-AB4</f>
        <v>0</v>
      </c>
      <c r="AC66" s="11" t="n">
        <f aca="false">AC19-AC4</f>
        <v>0</v>
      </c>
      <c r="AD66" s="11" t="n">
        <f aca="false">AD19-AD4</f>
        <v>0</v>
      </c>
      <c r="AE66" s="11" t="n">
        <f aca="false">AE19-AE4</f>
        <v>0</v>
      </c>
      <c r="AF66" s="11" t="n">
        <f aca="false">AF19-AF4</f>
        <v>0</v>
      </c>
      <c r="AG66" s="11" t="n">
        <f aca="false">AG19-AG4</f>
        <v>0</v>
      </c>
      <c r="AH66" s="11" t="n">
        <f aca="false">AH19-AH4</f>
        <v>0</v>
      </c>
      <c r="AI66" s="11" t="n">
        <f aca="false">AI19-AI4</f>
        <v>0</v>
      </c>
      <c r="AJ66" s="11" t="n">
        <f aca="false">AJ19-AJ4</f>
        <v>0</v>
      </c>
      <c r="AK66" s="11" t="n">
        <f aca="false">AK19-AK4</f>
        <v>0</v>
      </c>
      <c r="AL66" s="11" t="n">
        <f aca="false">AL19-AL4</f>
        <v>0</v>
      </c>
      <c r="AM66" s="11" t="n">
        <f aca="false">AM19-AM4</f>
        <v>0</v>
      </c>
      <c r="AN66" s="11" t="n">
        <f aca="false">AN19-AN4</f>
        <v>0</v>
      </c>
      <c r="AO66" s="11" t="n">
        <f aca="false">AO19-AO4</f>
        <v>0</v>
      </c>
      <c r="AP66" s="11" t="n">
        <f aca="false">AP19-AP4</f>
        <v>0</v>
      </c>
      <c r="AQ66" s="11" t="n">
        <f aca="false">AQ19-AQ4</f>
        <v>0</v>
      </c>
      <c r="AR66" s="11" t="n">
        <f aca="false">AR19-AR4</f>
        <v>0</v>
      </c>
      <c r="AS66" s="11" t="n">
        <f aca="false">AS19-AS4</f>
        <v>0</v>
      </c>
      <c r="AT66" s="11" t="n">
        <f aca="false">AT19-AT4</f>
        <v>0</v>
      </c>
      <c r="AU66" s="11" t="n">
        <f aca="false">AU19-AU4</f>
        <v>0</v>
      </c>
      <c r="AV66" s="11" t="n">
        <f aca="false">AV19-AV4</f>
        <v>0</v>
      </c>
      <c r="AW66" s="11" t="n">
        <f aca="false">AW19-AW4</f>
        <v>0</v>
      </c>
      <c r="AX66" s="11" t="n">
        <f aca="false">AX19-AX4</f>
        <v>0</v>
      </c>
      <c r="AY66" s="11" t="n">
        <f aca="false">AY19-AY4</f>
        <v>0</v>
      </c>
      <c r="AZ66" s="11" t="n">
        <f aca="false">AZ19-AZ4</f>
        <v>0</v>
      </c>
      <c r="BA66" s="11" t="n">
        <f aca="false">BA19-BA4</f>
        <v>0</v>
      </c>
      <c r="BB66" s="11" t="n">
        <f aca="false">BB19-BB4</f>
        <v>0</v>
      </c>
      <c r="BC66" s="11" t="n">
        <f aca="false">BC19-BC4</f>
        <v>0</v>
      </c>
      <c r="BD66" s="11" t="n">
        <f aca="false">BD19-BD4</f>
        <v>0</v>
      </c>
      <c r="BE66" s="11" t="n">
        <f aca="false">BE19-BE4</f>
        <v>0</v>
      </c>
      <c r="BF66" s="11" t="n">
        <f aca="false">BF19-BF4</f>
        <v>0</v>
      </c>
      <c r="BG66" s="11" t="n">
        <f aca="false">BG19-BG4</f>
        <v>0</v>
      </c>
      <c r="BH66" s="11" t="n">
        <f aca="false">BH19-BH4</f>
        <v>0</v>
      </c>
      <c r="BI66" s="11" t="n">
        <f aca="false">BI19-BI4</f>
        <v>0</v>
      </c>
      <c r="BJ66" s="11" t="n">
        <f aca="false">BJ19-BJ4</f>
        <v>0</v>
      </c>
      <c r="BK66" s="11" t="n">
        <f aca="false">BK19-BK4</f>
        <v>0</v>
      </c>
      <c r="BL66" s="11" t="n">
        <f aca="false">BL19-BL4</f>
        <v>0</v>
      </c>
      <c r="BM66" s="11" t="n">
        <f aca="false">BM19-BM4</f>
        <v>0</v>
      </c>
      <c r="BN66" s="11" t="n">
        <f aca="false">BN19-BN4</f>
        <v>0</v>
      </c>
      <c r="BO66" s="11" t="n">
        <f aca="false">BO19-BO4</f>
        <v>0</v>
      </c>
      <c r="BP66" s="11" t="n">
        <f aca="false">BP19-BP4</f>
        <v>0</v>
      </c>
      <c r="BQ66" s="11" t="n">
        <f aca="false">BQ19-BQ4</f>
        <v>0</v>
      </c>
      <c r="BR66" s="11" t="n">
        <f aca="false">BR19-BR4</f>
        <v>0</v>
      </c>
      <c r="BS66" s="11" t="n">
        <f aca="false">BS19-BS4</f>
        <v>0</v>
      </c>
      <c r="BT66" s="11" t="n">
        <f aca="false">BT19-BT4</f>
        <v>0</v>
      </c>
      <c r="BU66" s="11" t="n">
        <f aca="false">BU19-BU4</f>
        <v>0</v>
      </c>
      <c r="BV66" s="11" t="n">
        <f aca="false">BV19-BV4</f>
        <v>0</v>
      </c>
      <c r="BW66" s="11" t="n">
        <f aca="false">BW19-BW4</f>
        <v>0</v>
      </c>
      <c r="BX66" s="11" t="n">
        <f aca="false">BX19-BX4</f>
        <v>0</v>
      </c>
      <c r="BY66" s="11" t="n">
        <f aca="false">BY19-BY4</f>
        <v>0</v>
      </c>
      <c r="BZ66" s="11" t="n">
        <f aca="false">BZ19-BZ4</f>
        <v>0</v>
      </c>
      <c r="CA66" s="11" t="n">
        <f aca="false">CA19-CA4</f>
        <v>0</v>
      </c>
      <c r="CB66" s="11" t="n">
        <f aca="false">CB19-CB4</f>
        <v>0</v>
      </c>
      <c r="CC66" s="11" t="n">
        <f aca="false">CC19-CC4</f>
        <v>0</v>
      </c>
      <c r="CD66" s="11" t="n">
        <f aca="false">CD19-CD4</f>
        <v>0</v>
      </c>
      <c r="CE66" s="11" t="n">
        <f aca="false">CE19-CE4</f>
        <v>0</v>
      </c>
      <c r="CF66" s="11" t="n">
        <f aca="false">CF19-CF4</f>
        <v>0</v>
      </c>
      <c r="CG66" s="11" t="n">
        <f aca="false">CG19-CG4</f>
        <v>0</v>
      </c>
      <c r="CH66" s="11" t="n">
        <f aca="false">CH19-CH4</f>
        <v>0</v>
      </c>
      <c r="CI66" s="11" t="n">
        <f aca="false">CI19-CI4</f>
        <v>0</v>
      </c>
      <c r="CJ66" s="11" t="n">
        <f aca="false">CJ19-CJ4</f>
        <v>0</v>
      </c>
      <c r="CK66" s="11" t="n">
        <f aca="false">CK19-CK4</f>
        <v>0</v>
      </c>
      <c r="CL66" s="11" t="n">
        <f aca="false">CL19-CL4</f>
        <v>0</v>
      </c>
      <c r="CM66" s="11" t="n">
        <f aca="false">CM19-CM4</f>
        <v>0</v>
      </c>
      <c r="CN66" s="11" t="n">
        <f aca="false">CN19-CN4</f>
        <v>0</v>
      </c>
      <c r="CO66" s="11" t="n">
        <f aca="false">CO19-CO4</f>
        <v>0</v>
      </c>
      <c r="CP66" s="11" t="n">
        <f aca="false">CP19-CP4</f>
        <v>0</v>
      </c>
      <c r="CQ66" s="11" t="n">
        <f aca="false">CQ19-CQ4</f>
        <v>0</v>
      </c>
      <c r="CR66" s="11" t="n">
        <f aca="false">CR19-CR4</f>
        <v>0</v>
      </c>
      <c r="CS66" s="11" t="n">
        <f aca="false">CS19-CS4</f>
        <v>0</v>
      </c>
      <c r="CT66" s="11" t="n">
        <f aca="false">CT19-CT4</f>
        <v>0</v>
      </c>
      <c r="CU66" s="11" t="n">
        <f aca="false">CU19-CU4</f>
        <v>0</v>
      </c>
      <c r="CV66" s="11" t="n">
        <f aca="false">CV19-CV4</f>
        <v>0</v>
      </c>
      <c r="CW66" s="11" t="n">
        <f aca="false">CW19-CW4</f>
        <v>0</v>
      </c>
      <c r="CX66" s="11" t="n">
        <f aca="false">CX19-CX4</f>
        <v>0</v>
      </c>
      <c r="CY66" s="11" t="n">
        <f aca="false">CY19-CY4</f>
        <v>0</v>
      </c>
      <c r="CZ66" s="11" t="n">
        <f aca="false">CZ19-CZ4</f>
        <v>0</v>
      </c>
      <c r="DA66" s="11" t="n">
        <f aca="false">DA19-DA4</f>
        <v>0</v>
      </c>
      <c r="DB66" s="11" t="n">
        <f aca="false">DB19-DB4</f>
        <v>0</v>
      </c>
      <c r="DC66" s="11" t="n">
        <f aca="false">DC19-DC4</f>
        <v>0</v>
      </c>
      <c r="DD66" s="11" t="n">
        <f aca="false">DD19-DD4</f>
        <v>0</v>
      </c>
      <c r="DE66" s="11" t="n">
        <f aca="false">DE19-DE4</f>
        <v>0</v>
      </c>
      <c r="DF66" s="11" t="n">
        <f aca="false">DF19-DF4</f>
        <v>0</v>
      </c>
      <c r="DG66" s="11" t="n">
        <f aca="false">DG19-DG4</f>
        <v>0</v>
      </c>
      <c r="DH66" s="11" t="n">
        <f aca="false">DH19-DH4</f>
        <v>0</v>
      </c>
      <c r="DI66" s="11" t="n">
        <f aca="false">DI19-DI4</f>
        <v>0</v>
      </c>
      <c r="DJ66" s="11" t="n">
        <f aca="false">DJ19-DJ4</f>
        <v>0</v>
      </c>
      <c r="DK66" s="11" t="n">
        <f aca="false">DK19-DK4</f>
        <v>0</v>
      </c>
      <c r="DL66" s="11" t="n">
        <f aca="false">DL19-DL4</f>
        <v>0</v>
      </c>
      <c r="DM66" s="11" t="n">
        <f aca="false">DM19-DM4</f>
        <v>0</v>
      </c>
      <c r="DN66" s="11" t="n">
        <f aca="false">DN19-DN4</f>
        <v>0</v>
      </c>
      <c r="DO66" s="11" t="n">
        <f aca="false">DO19-DO4</f>
        <v>0</v>
      </c>
      <c r="DP66" s="11" t="n">
        <f aca="false">DP19-DP4</f>
        <v>0</v>
      </c>
      <c r="DQ66" s="11" t="n">
        <f aca="false">DQ19-DQ4</f>
        <v>0</v>
      </c>
      <c r="DR66" s="11" t="n">
        <f aca="false">DR19-DR4</f>
        <v>0</v>
      </c>
    </row>
    <row r="67" customFormat="false" ht="15" hidden="false" customHeight="false" outlineLevel="0" collapsed="false">
      <c r="A67" s="12" t="s">
        <v>235</v>
      </c>
      <c r="B67" s="13" t="n">
        <f aca="false">B64-SUM($B$47:$DR$47)</f>
        <v>-50</v>
      </c>
      <c r="C67" s="13" t="n">
        <f aca="false">C64-SUM($B$47:$DR$47)</f>
        <v>-46.5</v>
      </c>
      <c r="D67" s="13" t="n">
        <f aca="false">D64-SUM($B$47:$DR$47)</f>
        <v>-43</v>
      </c>
      <c r="E67" s="13" t="n">
        <f aca="false">E64-SUM($B$47:$DR$47)</f>
        <v>-39.5</v>
      </c>
      <c r="F67" s="13" t="n">
        <f aca="false">F64-SUM($B$47:$DR$47)</f>
        <v>-36</v>
      </c>
      <c r="G67" s="13" t="n">
        <f aca="false">G64-SUM($B$47:$DR$47)</f>
        <v>-32.5</v>
      </c>
      <c r="H67" s="13" t="n">
        <f aca="false">H64-SUM($B$47:$DR$47)</f>
        <v>-29</v>
      </c>
      <c r="I67" s="13" t="n">
        <f aca="false">I64-SUM($B$47:$DR$47)</f>
        <v>-25.5</v>
      </c>
      <c r="J67" s="13" t="n">
        <f aca="false">J64-SUM($B$47:$DR$47)</f>
        <v>-22</v>
      </c>
      <c r="K67" s="13" t="n">
        <f aca="false">K64-SUM($B$47:$DR$47)</f>
        <v>-18.5</v>
      </c>
      <c r="L67" s="13" t="n">
        <f aca="false">L64-SUM($B$47:$DR$47)</f>
        <v>-15</v>
      </c>
      <c r="M67" s="13" t="n">
        <f aca="false">M64-SUM($B$47:$DR$47)</f>
        <v>-11.5</v>
      </c>
      <c r="N67" s="13" t="n">
        <f aca="false">N64-SUM($B$47:$DR$47)</f>
        <v>-8</v>
      </c>
      <c r="O67" s="13" t="n">
        <f aca="false">O64-SUM($B$47:$DR$47)</f>
        <v>-4.5</v>
      </c>
      <c r="P67" s="13" t="n">
        <f aca="false">P64-SUM($B$47:$DR$47)</f>
        <v>-1</v>
      </c>
      <c r="Q67" s="13" t="n">
        <f aca="false">Q64-SUM($B$47:$DR$47)</f>
        <v>2.5</v>
      </c>
      <c r="R67" s="13" t="n">
        <f aca="false">R64-SUM($B$47:$DR$47)</f>
        <v>6</v>
      </c>
      <c r="S67" s="13" t="n">
        <f aca="false">S64-SUM($B$47:$DR$47)</f>
        <v>9.5</v>
      </c>
      <c r="T67" s="13" t="n">
        <f aca="false">T64-SUM($B$47:$DR$47)</f>
        <v>13</v>
      </c>
      <c r="U67" s="13" t="n">
        <f aca="false">U64-SUM($B$47:$DR$47)</f>
        <v>16.5</v>
      </c>
      <c r="V67" s="13" t="n">
        <f aca="false">V64-SUM($B$47:$DR$47)</f>
        <v>20</v>
      </c>
      <c r="W67" s="13" t="n">
        <f aca="false">W64-SUM($B$47:$DR$47)</f>
        <v>23.5</v>
      </c>
      <c r="X67" s="13" t="n">
        <f aca="false">X64-SUM($B$47:$DR$47)</f>
        <v>27</v>
      </c>
      <c r="Y67" s="13" t="n">
        <f aca="false">Y64-SUM($B$47:$DR$47)</f>
        <v>30.5</v>
      </c>
      <c r="Z67" s="13" t="n">
        <f aca="false">Z64-SUM($B$47:$DR$47)</f>
        <v>34</v>
      </c>
      <c r="AA67" s="13" t="n">
        <f aca="false">AA64-SUM($B$47:$DR$47)</f>
        <v>37.5</v>
      </c>
      <c r="AB67" s="13" t="n">
        <f aca="false">AB64-SUM($B$47:$DR$47)</f>
        <v>41</v>
      </c>
      <c r="AC67" s="13" t="n">
        <f aca="false">AC64-SUM($B$47:$DR$47)</f>
        <v>44.5</v>
      </c>
      <c r="AD67" s="13" t="n">
        <f aca="false">AD64-SUM($B$47:$DR$47)</f>
        <v>48</v>
      </c>
      <c r="AE67" s="13" t="n">
        <f aca="false">AE64-SUM($B$47:$DR$47)</f>
        <v>51.5</v>
      </c>
      <c r="AF67" s="13" t="n">
        <f aca="false">AF64-SUM($B$47:$DR$47)</f>
        <v>55</v>
      </c>
      <c r="AG67" s="13" t="n">
        <f aca="false">AG64-SUM($B$47:$DR$47)</f>
        <v>58.5</v>
      </c>
      <c r="AH67" s="13" t="n">
        <f aca="false">AH64-SUM($B$47:$DR$47)</f>
        <v>62</v>
      </c>
      <c r="AI67" s="13" t="n">
        <f aca="false">AI64-SUM($B$47:$DR$47)</f>
        <v>65.5</v>
      </c>
      <c r="AJ67" s="13" t="n">
        <f aca="false">AJ64-SUM($B$47:$DR$47)</f>
        <v>69</v>
      </c>
      <c r="AK67" s="13" t="n">
        <f aca="false">AK64-SUM($B$47:$DR$47)</f>
        <v>72.5</v>
      </c>
      <c r="AL67" s="13" t="n">
        <f aca="false">AL64-SUM($B$47:$DR$47)</f>
        <v>76</v>
      </c>
      <c r="AM67" s="13" t="n">
        <f aca="false">AM64-SUM($B$47:$DR$47)</f>
        <v>79.5</v>
      </c>
      <c r="AN67" s="13" t="n">
        <f aca="false">AN64-SUM($B$47:$DR$47)</f>
        <v>83</v>
      </c>
      <c r="AO67" s="13" t="n">
        <f aca="false">AO64-SUM($B$47:$DR$47)</f>
        <v>86.5</v>
      </c>
      <c r="AP67" s="13" t="n">
        <f aca="false">AP64-SUM($B$47:$DR$47)</f>
        <v>90</v>
      </c>
      <c r="AQ67" s="13" t="n">
        <f aca="false">AQ64-SUM($B$47:$DR$47)</f>
        <v>93.5</v>
      </c>
      <c r="AR67" s="13" t="n">
        <f aca="false">AR64-SUM($B$47:$DR$47)</f>
        <v>97</v>
      </c>
      <c r="AS67" s="13" t="n">
        <f aca="false">AS64-SUM($B$47:$DR$47)</f>
        <v>100.5</v>
      </c>
      <c r="AT67" s="13" t="n">
        <f aca="false">AT64-SUM($B$47:$DR$47)</f>
        <v>104</v>
      </c>
      <c r="AU67" s="13" t="n">
        <f aca="false">AU64-SUM($B$47:$DR$47)</f>
        <v>107.5</v>
      </c>
      <c r="AV67" s="13" t="n">
        <f aca="false">AV64-SUM($B$47:$DR$47)</f>
        <v>111</v>
      </c>
      <c r="AW67" s="13" t="n">
        <f aca="false">AW64-SUM($B$47:$DR$47)</f>
        <v>114.5</v>
      </c>
      <c r="AX67" s="13" t="n">
        <f aca="false">AX64-SUM($B$47:$DR$47)</f>
        <v>118</v>
      </c>
      <c r="AY67" s="13" t="n">
        <f aca="false">AY64-SUM($B$47:$DR$47)</f>
        <v>121.5</v>
      </c>
      <c r="AZ67" s="13" t="n">
        <f aca="false">AZ64-SUM($B$47:$DR$47)</f>
        <v>125</v>
      </c>
      <c r="BA67" s="13" t="n">
        <f aca="false">BA64-SUM($B$47:$DR$47)</f>
        <v>128.5</v>
      </c>
      <c r="BB67" s="13" t="n">
        <f aca="false">BB64-SUM($B$47:$DR$47)</f>
        <v>132</v>
      </c>
      <c r="BC67" s="13" t="n">
        <f aca="false">BC64-SUM($B$47:$DR$47)</f>
        <v>135.5</v>
      </c>
      <c r="BD67" s="13" t="n">
        <f aca="false">BD64-SUM($B$47:$DR$47)</f>
        <v>139</v>
      </c>
      <c r="BE67" s="13" t="n">
        <f aca="false">BE64-SUM($B$47:$DR$47)</f>
        <v>142.5</v>
      </c>
      <c r="BF67" s="13" t="n">
        <f aca="false">BF64-SUM($B$47:$DR$47)</f>
        <v>146</v>
      </c>
      <c r="BG67" s="13" t="n">
        <f aca="false">BG64-SUM($B$47:$DR$47)</f>
        <v>149.5</v>
      </c>
      <c r="BH67" s="13" t="n">
        <f aca="false">BH64-SUM($B$47:$DR$47)</f>
        <v>153</v>
      </c>
      <c r="BI67" s="13" t="n">
        <f aca="false">BI64-SUM($B$47:$DR$47)</f>
        <v>156.5</v>
      </c>
      <c r="BJ67" s="13" t="n">
        <f aca="false">BJ64-SUM($B$47:$DR$47)</f>
        <v>160</v>
      </c>
      <c r="BK67" s="13" t="n">
        <f aca="false">BK64-SUM($B$47:$DR$47)</f>
        <v>163.5</v>
      </c>
      <c r="BL67" s="13" t="n">
        <f aca="false">BL64-SUM($B$47:$DR$47)</f>
        <v>167</v>
      </c>
      <c r="BM67" s="13" t="n">
        <f aca="false">BM64-SUM($B$47:$DR$47)</f>
        <v>170.5</v>
      </c>
      <c r="BN67" s="13" t="n">
        <f aca="false">BN64-SUM($B$47:$DR$47)</f>
        <v>174</v>
      </c>
      <c r="BO67" s="13" t="n">
        <f aca="false">BO64-SUM($B$47:$DR$47)</f>
        <v>177.5</v>
      </c>
      <c r="BP67" s="13" t="n">
        <f aca="false">BP64-SUM($B$47:$DR$47)</f>
        <v>181</v>
      </c>
      <c r="BQ67" s="13" t="n">
        <f aca="false">BQ64-SUM($B$47:$DR$47)</f>
        <v>184.5</v>
      </c>
      <c r="BR67" s="13" t="n">
        <f aca="false">BR64-SUM($B$47:$DR$47)</f>
        <v>188</v>
      </c>
      <c r="BS67" s="13" t="n">
        <f aca="false">BS64-SUM($B$47:$DR$47)</f>
        <v>191.5</v>
      </c>
      <c r="BT67" s="13" t="n">
        <f aca="false">BT64-SUM($B$47:$DR$47)</f>
        <v>195</v>
      </c>
      <c r="BU67" s="13" t="n">
        <f aca="false">BU64-SUM($B$47:$DR$47)</f>
        <v>198.5</v>
      </c>
      <c r="BV67" s="13" t="n">
        <f aca="false">BV64-SUM($B$47:$DR$47)</f>
        <v>202</v>
      </c>
      <c r="BW67" s="13" t="n">
        <f aca="false">BW64-SUM($B$47:$DR$47)</f>
        <v>205.5</v>
      </c>
      <c r="BX67" s="13" t="n">
        <f aca="false">BX64-SUM($B$47:$DR$47)</f>
        <v>209</v>
      </c>
      <c r="BY67" s="13" t="n">
        <f aca="false">BY64-SUM($B$47:$DR$47)</f>
        <v>212.5</v>
      </c>
      <c r="BZ67" s="13" t="n">
        <f aca="false">BZ64-SUM($B$47:$DR$47)</f>
        <v>216</v>
      </c>
      <c r="CA67" s="13" t="n">
        <f aca="false">CA64-SUM($B$47:$DR$47)</f>
        <v>219.5</v>
      </c>
      <c r="CB67" s="13" t="n">
        <f aca="false">CB64-SUM($B$47:$DR$47)</f>
        <v>223</v>
      </c>
      <c r="CC67" s="13" t="n">
        <f aca="false">CC64-SUM($B$47:$DR$47)</f>
        <v>226.5</v>
      </c>
      <c r="CD67" s="13" t="n">
        <f aca="false">CD64-SUM($B$47:$DR$47)</f>
        <v>230</v>
      </c>
      <c r="CE67" s="13" t="n">
        <f aca="false">CE64-SUM($B$47:$DR$47)</f>
        <v>233.5</v>
      </c>
      <c r="CF67" s="13" t="n">
        <f aca="false">CF64-SUM($B$47:$DR$47)</f>
        <v>237</v>
      </c>
      <c r="CG67" s="13" t="n">
        <f aca="false">CG64-SUM($B$47:$DR$47)</f>
        <v>240.5</v>
      </c>
      <c r="CH67" s="13" t="n">
        <f aca="false">CH64-SUM($B$47:$DR$47)</f>
        <v>244</v>
      </c>
      <c r="CI67" s="13" t="n">
        <f aca="false">CI64-SUM($B$47:$DR$47)</f>
        <v>247.5</v>
      </c>
      <c r="CJ67" s="13" t="n">
        <f aca="false">CJ64-SUM($B$47:$DR$47)</f>
        <v>251</v>
      </c>
      <c r="CK67" s="13" t="n">
        <f aca="false">CK64-SUM($B$47:$DR$47)</f>
        <v>254.5</v>
      </c>
      <c r="CL67" s="13" t="n">
        <f aca="false">CL64-SUM($B$47:$DR$47)</f>
        <v>258</v>
      </c>
      <c r="CM67" s="13" t="n">
        <f aca="false">CM64-SUM($B$47:$DR$47)</f>
        <v>261.5</v>
      </c>
      <c r="CN67" s="13" t="n">
        <f aca="false">CN64-SUM($B$47:$DR$47)</f>
        <v>265</v>
      </c>
      <c r="CO67" s="13" t="n">
        <f aca="false">CO64-SUM($B$47:$DR$47)</f>
        <v>268.5</v>
      </c>
      <c r="CP67" s="13" t="n">
        <f aca="false">CP64-SUM($B$47:$DR$47)</f>
        <v>272</v>
      </c>
      <c r="CQ67" s="13" t="n">
        <f aca="false">CQ64-SUM($B$47:$DR$47)</f>
        <v>275.5</v>
      </c>
      <c r="CR67" s="13" t="n">
        <f aca="false">CR64-SUM($B$47:$DR$47)</f>
        <v>279</v>
      </c>
      <c r="CS67" s="13" t="n">
        <f aca="false">CS64-SUM($B$47:$DR$47)</f>
        <v>282.5</v>
      </c>
      <c r="CT67" s="13" t="n">
        <f aca="false">CT64-SUM($B$47:$DR$47)</f>
        <v>286</v>
      </c>
      <c r="CU67" s="13" t="n">
        <f aca="false">CU64-SUM($B$47:$DR$47)</f>
        <v>289.5</v>
      </c>
      <c r="CV67" s="13" t="n">
        <f aca="false">CV64-SUM($B$47:$DR$47)</f>
        <v>293</v>
      </c>
      <c r="CW67" s="13" t="n">
        <f aca="false">CW64-SUM($B$47:$DR$47)</f>
        <v>296.5</v>
      </c>
      <c r="CX67" s="13" t="n">
        <f aca="false">CX64-SUM($B$47:$DR$47)</f>
        <v>300</v>
      </c>
      <c r="CY67" s="13" t="n">
        <f aca="false">CY64-SUM($B$47:$DR$47)</f>
        <v>303.5</v>
      </c>
      <c r="CZ67" s="13" t="n">
        <f aca="false">CZ64-SUM($B$47:$DR$47)</f>
        <v>307</v>
      </c>
      <c r="DA67" s="13" t="n">
        <f aca="false">DA64-SUM($B$47:$DR$47)</f>
        <v>310.5</v>
      </c>
      <c r="DB67" s="13" t="n">
        <f aca="false">DB64-SUM($B$47:$DR$47)</f>
        <v>314</v>
      </c>
      <c r="DC67" s="13" t="n">
        <f aca="false">DC64-SUM($B$47:$DR$47)</f>
        <v>317.5</v>
      </c>
      <c r="DD67" s="13" t="n">
        <f aca="false">DD64-SUM($B$47:$DR$47)</f>
        <v>321</v>
      </c>
      <c r="DE67" s="13" t="n">
        <f aca="false">DE64-SUM($B$47:$DR$47)</f>
        <v>324.5</v>
      </c>
      <c r="DF67" s="13" t="n">
        <f aca="false">DF64-SUM($B$47:$DR$47)</f>
        <v>328</v>
      </c>
      <c r="DG67" s="13" t="n">
        <f aca="false">DG64-SUM($B$47:$DR$47)</f>
        <v>331.5</v>
      </c>
      <c r="DH67" s="13" t="n">
        <f aca="false">DH64-SUM($B$47:$DR$47)</f>
        <v>335</v>
      </c>
      <c r="DI67" s="13" t="n">
        <f aca="false">DI64-SUM($B$47:$DR$47)</f>
        <v>338.5</v>
      </c>
      <c r="DJ67" s="13" t="n">
        <f aca="false">DJ64-SUM($B$47:$DR$47)</f>
        <v>342</v>
      </c>
      <c r="DK67" s="13" t="n">
        <f aca="false">DK64-SUM($B$47:$DR$47)</f>
        <v>345.5</v>
      </c>
      <c r="DL67" s="13" t="n">
        <f aca="false">DL64-SUM($B$47:$DR$47)</f>
        <v>349</v>
      </c>
      <c r="DM67" s="13" t="n">
        <f aca="false">DM64-SUM($B$47:$DR$47)</f>
        <v>352.5</v>
      </c>
      <c r="DN67" s="13" t="n">
        <f aca="false">DN64-SUM($B$47:$DR$47)</f>
        <v>356</v>
      </c>
      <c r="DO67" s="13" t="n">
        <f aca="false">DO64-SUM($B$47:$DR$47)</f>
        <v>359.5</v>
      </c>
      <c r="DP67" s="13" t="n">
        <f aca="false">DP64-SUM($B$47:$DR$47)</f>
        <v>363</v>
      </c>
      <c r="DQ67" s="13" t="n">
        <f aca="false">DQ64-SUM($B$47:$DR$47)</f>
        <v>366.5</v>
      </c>
      <c r="DR67" s="13" t="n">
        <f aca="false">DR64-SUM($B$47:$DR$47)</f>
        <v>370</v>
      </c>
    </row>
    <row r="68" customFormat="false" ht="15" hidden="false" customHeight="false" outlineLevel="0" collapsed="false">
      <c r="A68" s="9" t="s">
        <v>236</v>
      </c>
      <c r="B68" s="10" t="n">
        <f aca="false">IF(B22&lt;-Inputs!$B$33,Inputs!$B$35,Inputs!$B$34)</f>
        <v>0</v>
      </c>
      <c r="C68" s="10" t="n">
        <f aca="false">IF(C22&lt;-Inputs!$B$33,Inputs!$B$35,Inputs!$B$34)</f>
        <v>0</v>
      </c>
      <c r="D68" s="10" t="n">
        <f aca="false">IF(D22&lt;-Inputs!$B$33,Inputs!$B$35,Inputs!$B$34)</f>
        <v>0</v>
      </c>
      <c r="E68" s="10" t="n">
        <f aca="false">IF(E22&lt;-Inputs!$B$33,Inputs!$B$35,Inputs!$B$34)</f>
        <v>0</v>
      </c>
      <c r="F68" s="10" t="n">
        <f aca="false">IF(F22&lt;-Inputs!$B$33,Inputs!$B$35,Inputs!$B$34)</f>
        <v>0</v>
      </c>
      <c r="G68" s="10" t="n">
        <f aca="false">IF(G22&lt;-Inputs!$B$33,Inputs!$B$35,Inputs!$B$34)</f>
        <v>0</v>
      </c>
      <c r="H68" s="10" t="n">
        <f aca="false">IF(H22&lt;-Inputs!$B$33,Inputs!$B$35,Inputs!$B$34)</f>
        <v>0</v>
      </c>
      <c r="I68" s="10" t="n">
        <f aca="false">IF(I22&lt;-Inputs!$B$33,Inputs!$B$35,Inputs!$B$34)</f>
        <v>0</v>
      </c>
      <c r="J68" s="10" t="n">
        <f aca="false">IF(J22&lt;-Inputs!$B$33,Inputs!$B$35,Inputs!$B$34)</f>
        <v>0</v>
      </c>
      <c r="K68" s="10" t="n">
        <f aca="false">IF(K22&lt;-Inputs!$B$33,Inputs!$B$35,Inputs!$B$34)</f>
        <v>0</v>
      </c>
      <c r="L68" s="10" t="n">
        <f aca="false">IF(L22&lt;-Inputs!$B$33,Inputs!$B$35,Inputs!$B$34)</f>
        <v>0</v>
      </c>
      <c r="M68" s="10" t="n">
        <f aca="false">IF(M22&lt;-Inputs!$B$33,Inputs!$B$35,Inputs!$B$34)</f>
        <v>0</v>
      </c>
      <c r="N68" s="10" t="n">
        <f aca="false">IF(N22&lt;-Inputs!$B$33,Inputs!$B$35,Inputs!$B$34)</f>
        <v>0</v>
      </c>
      <c r="O68" s="10" t="n">
        <f aca="false">IF(O22&lt;-Inputs!$B$33,Inputs!$B$35,Inputs!$B$34)</f>
        <v>0</v>
      </c>
      <c r="P68" s="10" t="n">
        <f aca="false">IF(P22&lt;-Inputs!$B$33,Inputs!$B$35,Inputs!$B$34)</f>
        <v>0</v>
      </c>
      <c r="Q68" s="10" t="n">
        <f aca="false">IF(Q22&lt;-Inputs!$B$33,Inputs!$B$35,Inputs!$B$34)</f>
        <v>0</v>
      </c>
      <c r="R68" s="10" t="n">
        <f aca="false">IF(R22&lt;-Inputs!$B$33,Inputs!$B$35,Inputs!$B$34)</f>
        <v>0</v>
      </c>
      <c r="S68" s="10" t="n">
        <f aca="false">IF(S22&lt;-Inputs!$B$33,Inputs!$B$35,Inputs!$B$34)</f>
        <v>0</v>
      </c>
      <c r="T68" s="10" t="n">
        <f aca="false">IF(T22&lt;-Inputs!$B$33,Inputs!$B$35,Inputs!$B$34)</f>
        <v>0</v>
      </c>
      <c r="U68" s="10" t="n">
        <f aca="false">IF(U22&lt;-Inputs!$B$33,Inputs!$B$35,Inputs!$B$34)</f>
        <v>0</v>
      </c>
      <c r="V68" s="10" t="n">
        <f aca="false">IF(V22&lt;-Inputs!$B$33,Inputs!$B$35,Inputs!$B$34)</f>
        <v>0</v>
      </c>
      <c r="W68" s="10" t="n">
        <f aca="false">IF(W22&lt;-Inputs!$B$33,Inputs!$B$35,Inputs!$B$34)</f>
        <v>0</v>
      </c>
      <c r="X68" s="10" t="n">
        <f aca="false">IF(X22&lt;-Inputs!$B$33,Inputs!$B$35,Inputs!$B$34)</f>
        <v>0</v>
      </c>
      <c r="Y68" s="10" t="n">
        <f aca="false">IF(Y22&lt;-Inputs!$B$33,Inputs!$B$35,Inputs!$B$34)</f>
        <v>0</v>
      </c>
      <c r="Z68" s="10" t="n">
        <f aca="false">IF(Z22&lt;-Inputs!$B$33,Inputs!$B$35,Inputs!$B$34)</f>
        <v>0</v>
      </c>
      <c r="AA68" s="10" t="n">
        <f aca="false">IF(AA22&lt;-Inputs!$B$33,Inputs!$B$35,Inputs!$B$34)</f>
        <v>0</v>
      </c>
      <c r="AB68" s="10" t="n">
        <f aca="false">IF(AB22&lt;-Inputs!$B$33,Inputs!$B$35,Inputs!$B$34)</f>
        <v>0</v>
      </c>
      <c r="AC68" s="10" t="n">
        <f aca="false">IF(AC22&lt;-Inputs!$B$33,Inputs!$B$35,Inputs!$B$34)</f>
        <v>0</v>
      </c>
      <c r="AD68" s="10" t="n">
        <f aca="false">IF(AD22&lt;-Inputs!$B$33,Inputs!$B$35,Inputs!$B$34)</f>
        <v>0</v>
      </c>
      <c r="AE68" s="10" t="n">
        <f aca="false">IF(AE22&lt;-Inputs!$B$33,Inputs!$B$35,Inputs!$B$34)</f>
        <v>0</v>
      </c>
      <c r="AF68" s="10" t="n">
        <f aca="false">IF(AF22&lt;-Inputs!$B$33,Inputs!$B$35,Inputs!$B$34)</f>
        <v>0</v>
      </c>
      <c r="AG68" s="10" t="n">
        <f aca="false">IF(AG22&lt;-Inputs!$B$33,Inputs!$B$35,Inputs!$B$34)</f>
        <v>0</v>
      </c>
      <c r="AH68" s="10" t="n">
        <f aca="false">IF(AH22&lt;-Inputs!$B$33,Inputs!$B$35,Inputs!$B$34)</f>
        <v>0</v>
      </c>
      <c r="AI68" s="10" t="n">
        <f aca="false">IF(AI22&lt;-Inputs!$B$33,Inputs!$B$35,Inputs!$B$34)</f>
        <v>0</v>
      </c>
      <c r="AJ68" s="10" t="n">
        <f aca="false">IF(AJ22&lt;-Inputs!$B$33,Inputs!$B$35,Inputs!$B$34)</f>
        <v>0</v>
      </c>
      <c r="AK68" s="10" t="n">
        <f aca="false">IF(AK22&lt;-Inputs!$B$33,Inputs!$B$35,Inputs!$B$34)</f>
        <v>0</v>
      </c>
      <c r="AL68" s="10" t="n">
        <f aca="false">IF(AL22&lt;-Inputs!$B$33,Inputs!$B$35,Inputs!$B$34)</f>
        <v>0</v>
      </c>
      <c r="AM68" s="10" t="n">
        <f aca="false">IF(AM22&lt;-Inputs!$B$33,Inputs!$B$35,Inputs!$B$34)</f>
        <v>0</v>
      </c>
      <c r="AN68" s="10" t="n">
        <f aca="false">IF(AN22&lt;-Inputs!$B$33,Inputs!$B$35,Inputs!$B$34)</f>
        <v>0</v>
      </c>
      <c r="AO68" s="10" t="n">
        <f aca="false">IF(AO22&lt;-Inputs!$B$33,Inputs!$B$35,Inputs!$B$34)</f>
        <v>0</v>
      </c>
      <c r="AP68" s="10" t="n">
        <f aca="false">IF(AP22&lt;-Inputs!$B$33,Inputs!$B$35,Inputs!$B$34)</f>
        <v>0</v>
      </c>
      <c r="AQ68" s="10" t="n">
        <f aca="false">IF(AQ22&lt;-Inputs!$B$33,Inputs!$B$35,Inputs!$B$34)</f>
        <v>0</v>
      </c>
      <c r="AR68" s="10" t="n">
        <f aca="false">IF(AR22&lt;-Inputs!$B$33,Inputs!$B$35,Inputs!$B$34)</f>
        <v>0</v>
      </c>
      <c r="AS68" s="10" t="n">
        <f aca="false">IF(AS22&lt;-Inputs!$B$33,Inputs!$B$35,Inputs!$B$34)</f>
        <v>0</v>
      </c>
      <c r="AT68" s="10" t="n">
        <f aca="false">IF(AT22&lt;-Inputs!$B$33,Inputs!$B$35,Inputs!$B$34)</f>
        <v>0</v>
      </c>
      <c r="AU68" s="10" t="n">
        <f aca="false">IF(AU22&lt;-Inputs!$B$33,Inputs!$B$35,Inputs!$B$34)</f>
        <v>0</v>
      </c>
      <c r="AV68" s="10" t="n">
        <f aca="false">IF(AV22&lt;-Inputs!$B$33,Inputs!$B$35,Inputs!$B$34)</f>
        <v>0</v>
      </c>
      <c r="AW68" s="10" t="n">
        <f aca="false">IF(AW22&lt;-Inputs!$B$33,Inputs!$B$35,Inputs!$B$34)</f>
        <v>0</v>
      </c>
      <c r="AX68" s="10" t="n">
        <f aca="false">IF(AX22&lt;-Inputs!$B$33,Inputs!$B$35,Inputs!$B$34)</f>
        <v>0</v>
      </c>
      <c r="AY68" s="10" t="n">
        <f aca="false">IF(AY22&lt;-Inputs!$B$33,Inputs!$B$35,Inputs!$B$34)</f>
        <v>0</v>
      </c>
      <c r="AZ68" s="10" t="n">
        <f aca="false">IF(AZ22&lt;-Inputs!$B$33,Inputs!$B$35,Inputs!$B$34)</f>
        <v>0</v>
      </c>
      <c r="BA68" s="10" t="n">
        <f aca="false">IF(BA22&lt;-Inputs!$B$33,Inputs!$B$35,Inputs!$B$34)</f>
        <v>0</v>
      </c>
      <c r="BB68" s="10" t="n">
        <f aca="false">IF(BB22&lt;-Inputs!$B$33,Inputs!$B$35,Inputs!$B$34)</f>
        <v>0</v>
      </c>
      <c r="BC68" s="10" t="n">
        <f aca="false">IF(BC22&lt;-Inputs!$B$33,Inputs!$B$35,Inputs!$B$34)</f>
        <v>0</v>
      </c>
      <c r="BD68" s="10" t="n">
        <f aca="false">IF(BD22&lt;-Inputs!$B$33,Inputs!$B$35,Inputs!$B$34)</f>
        <v>0</v>
      </c>
      <c r="BE68" s="10" t="n">
        <f aca="false">IF(BE22&lt;-Inputs!$B$33,Inputs!$B$35,Inputs!$B$34)</f>
        <v>0</v>
      </c>
      <c r="BF68" s="10" t="n">
        <f aca="false">IF(BF22&lt;-Inputs!$B$33,Inputs!$B$35,Inputs!$B$34)</f>
        <v>0</v>
      </c>
      <c r="BG68" s="10" t="n">
        <f aca="false">IF(BG22&lt;-Inputs!$B$33,Inputs!$B$35,Inputs!$B$34)</f>
        <v>0</v>
      </c>
      <c r="BH68" s="10" t="n">
        <f aca="false">IF(BH22&lt;-Inputs!$B$33,Inputs!$B$35,Inputs!$B$34)</f>
        <v>0</v>
      </c>
      <c r="BI68" s="10" t="n">
        <f aca="false">IF(BI22&lt;-Inputs!$B$33,Inputs!$B$35,Inputs!$B$34)</f>
        <v>0</v>
      </c>
      <c r="BJ68" s="10" t="n">
        <f aca="false">IF(BJ22&lt;-Inputs!$B$33,Inputs!$B$35,Inputs!$B$34)</f>
        <v>0</v>
      </c>
      <c r="BK68" s="10" t="n">
        <f aca="false">IF(BK22&lt;-Inputs!$B$33,Inputs!$B$35,Inputs!$B$34)</f>
        <v>0</v>
      </c>
      <c r="BL68" s="10" t="n">
        <f aca="false">IF(BL22&lt;-Inputs!$B$33,Inputs!$B$35,Inputs!$B$34)</f>
        <v>0</v>
      </c>
      <c r="BM68" s="10" t="n">
        <f aca="false">IF(BM22&lt;-Inputs!$B$33,Inputs!$B$35,Inputs!$B$34)</f>
        <v>0</v>
      </c>
      <c r="BN68" s="10" t="n">
        <f aca="false">IF(BN22&lt;-Inputs!$B$33,Inputs!$B$35,Inputs!$B$34)</f>
        <v>0</v>
      </c>
      <c r="BO68" s="10" t="n">
        <f aca="false">IF(BO22&lt;-Inputs!$B$33,Inputs!$B$35,Inputs!$B$34)</f>
        <v>0</v>
      </c>
      <c r="BP68" s="10" t="n">
        <f aca="false">IF(BP22&lt;-Inputs!$B$33,Inputs!$B$35,Inputs!$B$34)</f>
        <v>0</v>
      </c>
      <c r="BQ68" s="10" t="n">
        <f aca="false">IF(BQ22&lt;-Inputs!$B$33,Inputs!$B$35,Inputs!$B$34)</f>
        <v>0</v>
      </c>
      <c r="BR68" s="10" t="n">
        <f aca="false">IF(BR22&lt;-Inputs!$B$33,Inputs!$B$35,Inputs!$B$34)</f>
        <v>0</v>
      </c>
      <c r="BS68" s="10" t="n">
        <f aca="false">IF(BS22&lt;-Inputs!$B$33,Inputs!$B$35,Inputs!$B$34)</f>
        <v>0</v>
      </c>
      <c r="BT68" s="10" t="n">
        <f aca="false">IF(BT22&lt;-Inputs!$B$33,Inputs!$B$35,Inputs!$B$34)</f>
        <v>0</v>
      </c>
      <c r="BU68" s="10" t="n">
        <f aca="false">IF(BU22&lt;-Inputs!$B$33,Inputs!$B$35,Inputs!$B$34)</f>
        <v>0</v>
      </c>
      <c r="BV68" s="10" t="n">
        <f aca="false">IF(BV22&lt;-Inputs!$B$33,Inputs!$B$35,Inputs!$B$34)</f>
        <v>0</v>
      </c>
      <c r="BW68" s="10" t="n">
        <f aca="false">IF(BW22&lt;-Inputs!$B$33,Inputs!$B$35,Inputs!$B$34)</f>
        <v>0</v>
      </c>
      <c r="BX68" s="10" t="n">
        <f aca="false">IF(BX22&lt;-Inputs!$B$33,Inputs!$B$35,Inputs!$B$34)</f>
        <v>0</v>
      </c>
      <c r="BY68" s="10" t="n">
        <f aca="false">IF(BY22&lt;-Inputs!$B$33,Inputs!$B$35,Inputs!$B$34)</f>
        <v>0</v>
      </c>
      <c r="BZ68" s="10" t="n">
        <f aca="false">IF(BZ22&lt;-Inputs!$B$33,Inputs!$B$35,Inputs!$B$34)</f>
        <v>0</v>
      </c>
      <c r="CA68" s="10" t="n">
        <f aca="false">IF(CA22&lt;-Inputs!$B$33,Inputs!$B$35,Inputs!$B$34)</f>
        <v>0</v>
      </c>
      <c r="CB68" s="10" t="n">
        <f aca="false">IF(CB22&lt;-Inputs!$B$33,Inputs!$B$35,Inputs!$B$34)</f>
        <v>0</v>
      </c>
      <c r="CC68" s="10" t="n">
        <f aca="false">IF(CC22&lt;-Inputs!$B$33,Inputs!$B$35,Inputs!$B$34)</f>
        <v>0</v>
      </c>
      <c r="CD68" s="10" t="n">
        <f aca="false">IF(CD22&lt;-Inputs!$B$33,Inputs!$B$35,Inputs!$B$34)</f>
        <v>0</v>
      </c>
      <c r="CE68" s="10" t="n">
        <f aca="false">IF(CE22&lt;-Inputs!$B$33,Inputs!$B$35,Inputs!$B$34)</f>
        <v>0</v>
      </c>
      <c r="CF68" s="10" t="n">
        <f aca="false">IF(CF22&lt;-Inputs!$B$33,Inputs!$B$35,Inputs!$B$34)</f>
        <v>0</v>
      </c>
      <c r="CG68" s="10" t="n">
        <f aca="false">IF(CG22&lt;-Inputs!$B$33,Inputs!$B$35,Inputs!$B$34)</f>
        <v>0</v>
      </c>
      <c r="CH68" s="10" t="n">
        <f aca="false">IF(CH22&lt;-Inputs!$B$33,Inputs!$B$35,Inputs!$B$34)</f>
        <v>0</v>
      </c>
      <c r="CI68" s="10" t="n">
        <f aca="false">IF(CI22&lt;-Inputs!$B$33,Inputs!$B$35,Inputs!$B$34)</f>
        <v>0</v>
      </c>
      <c r="CJ68" s="10" t="n">
        <f aca="false">IF(CJ22&lt;-Inputs!$B$33,Inputs!$B$35,Inputs!$B$34)</f>
        <v>0</v>
      </c>
      <c r="CK68" s="10" t="n">
        <f aca="false">IF(CK22&lt;-Inputs!$B$33,Inputs!$B$35,Inputs!$B$34)</f>
        <v>0</v>
      </c>
      <c r="CL68" s="10" t="n">
        <f aca="false">IF(CL22&lt;-Inputs!$B$33,Inputs!$B$35,Inputs!$B$34)</f>
        <v>0</v>
      </c>
      <c r="CM68" s="10" t="n">
        <f aca="false">IF(CM22&lt;-Inputs!$B$33,Inputs!$B$35,Inputs!$B$34)</f>
        <v>0</v>
      </c>
      <c r="CN68" s="10" t="n">
        <f aca="false">IF(CN22&lt;-Inputs!$B$33,Inputs!$B$35,Inputs!$B$34)</f>
        <v>0</v>
      </c>
      <c r="CO68" s="10" t="n">
        <f aca="false">IF(CO22&lt;-Inputs!$B$33,Inputs!$B$35,Inputs!$B$34)</f>
        <v>0</v>
      </c>
      <c r="CP68" s="10" t="n">
        <f aca="false">IF(CP22&lt;-Inputs!$B$33,Inputs!$B$35,Inputs!$B$34)</f>
        <v>0</v>
      </c>
      <c r="CQ68" s="10" t="n">
        <f aca="false">IF(CQ22&lt;-Inputs!$B$33,Inputs!$B$35,Inputs!$B$34)</f>
        <v>0</v>
      </c>
      <c r="CR68" s="10" t="n">
        <f aca="false">IF(CR22&lt;-Inputs!$B$33,Inputs!$B$35,Inputs!$B$34)</f>
        <v>0</v>
      </c>
      <c r="CS68" s="10" t="n">
        <f aca="false">IF(CS22&lt;-Inputs!$B$33,Inputs!$B$35,Inputs!$B$34)</f>
        <v>0</v>
      </c>
      <c r="CT68" s="10" t="n">
        <f aca="false">IF(CT22&lt;-Inputs!$B$33,Inputs!$B$35,Inputs!$B$34)</f>
        <v>0</v>
      </c>
      <c r="CU68" s="10" t="n">
        <f aca="false">IF(CU22&lt;-Inputs!$B$33,Inputs!$B$35,Inputs!$B$34)</f>
        <v>0</v>
      </c>
      <c r="CV68" s="10" t="n">
        <f aca="false">IF(CV22&lt;-Inputs!$B$33,Inputs!$B$35,Inputs!$B$34)</f>
        <v>0</v>
      </c>
      <c r="CW68" s="10" t="n">
        <f aca="false">IF(CW22&lt;-Inputs!$B$33,Inputs!$B$35,Inputs!$B$34)</f>
        <v>0</v>
      </c>
      <c r="CX68" s="10" t="n">
        <f aca="false">IF(CX22&lt;-Inputs!$B$33,Inputs!$B$35,Inputs!$B$34)</f>
        <v>0</v>
      </c>
      <c r="CY68" s="10" t="n">
        <f aca="false">IF(CY22&lt;-Inputs!$B$33,Inputs!$B$35,Inputs!$B$34)</f>
        <v>0</v>
      </c>
      <c r="CZ68" s="10" t="n">
        <f aca="false">IF(CZ22&lt;-Inputs!$B$33,Inputs!$B$35,Inputs!$B$34)</f>
        <v>0</v>
      </c>
      <c r="DA68" s="10" t="n">
        <f aca="false">IF(DA22&lt;-Inputs!$B$33,Inputs!$B$35,Inputs!$B$34)</f>
        <v>0</v>
      </c>
      <c r="DB68" s="10" t="n">
        <f aca="false">IF(DB22&lt;-Inputs!$B$33,Inputs!$B$35,Inputs!$B$34)</f>
        <v>0</v>
      </c>
      <c r="DC68" s="10" t="n">
        <f aca="false">IF(DC22&lt;-Inputs!$B$33,Inputs!$B$35,Inputs!$B$34)</f>
        <v>0</v>
      </c>
      <c r="DD68" s="10" t="n">
        <f aca="false">IF(DD22&lt;-Inputs!$B$33,Inputs!$B$35,Inputs!$B$34)</f>
        <v>0</v>
      </c>
      <c r="DE68" s="10" t="n">
        <f aca="false">IF(DE22&lt;-Inputs!$B$33,Inputs!$B$35,Inputs!$B$34)</f>
        <v>0</v>
      </c>
      <c r="DF68" s="10" t="n">
        <f aca="false">IF(DF22&lt;-Inputs!$B$33,Inputs!$B$35,Inputs!$B$34)</f>
        <v>0</v>
      </c>
      <c r="DG68" s="10" t="n">
        <f aca="false">IF(DG22&lt;-Inputs!$B$33,Inputs!$B$35,Inputs!$B$34)</f>
        <v>0</v>
      </c>
      <c r="DH68" s="10" t="n">
        <f aca="false">IF(DH22&lt;-Inputs!$B$33,Inputs!$B$35,Inputs!$B$34)</f>
        <v>0</v>
      </c>
      <c r="DI68" s="10" t="n">
        <f aca="false">IF(DI22&lt;-Inputs!$B$33,Inputs!$B$35,Inputs!$B$34)</f>
        <v>0</v>
      </c>
      <c r="DJ68" s="10" t="n">
        <f aca="false">IF(DJ22&lt;-Inputs!$B$33,Inputs!$B$35,Inputs!$B$34)</f>
        <v>0</v>
      </c>
      <c r="DK68" s="10" t="n">
        <f aca="false">IF(DK22&lt;-Inputs!$B$33,Inputs!$B$35,Inputs!$B$34)</f>
        <v>0</v>
      </c>
      <c r="DL68" s="10" t="n">
        <f aca="false">IF(DL22&lt;-Inputs!$B$33,Inputs!$B$35,Inputs!$B$34)</f>
        <v>0</v>
      </c>
      <c r="DM68" s="10" t="n">
        <f aca="false">IF(DM22&lt;-Inputs!$B$33,Inputs!$B$35,Inputs!$B$34)</f>
        <v>0</v>
      </c>
      <c r="DN68" s="10" t="n">
        <f aca="false">IF(DN22&lt;-Inputs!$B$33,Inputs!$B$35,Inputs!$B$34)</f>
        <v>0</v>
      </c>
      <c r="DO68" s="10" t="n">
        <f aca="false">IF(DO22&lt;-Inputs!$B$33,Inputs!$B$35,Inputs!$B$34)</f>
        <v>0</v>
      </c>
      <c r="DP68" s="10" t="n">
        <f aca="false">IF(DP22&lt;-Inputs!$B$33,Inputs!$B$35,Inputs!$B$34)</f>
        <v>0</v>
      </c>
      <c r="DQ68" s="10" t="n">
        <f aca="false">IF(DQ22&lt;-Inputs!$B$33,Inputs!$B$35,Inputs!$B$34)</f>
        <v>0</v>
      </c>
      <c r="DR68" s="10" t="n">
        <f aca="false">IF(DR22&lt;-Inputs!$B$33,Inputs!$B$35,Inputs!$B$34)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12" min="2" style="0" width="16"/>
  </cols>
  <sheetData>
    <row r="1" customFormat="false" ht="31.5" hidden="false" customHeight="true" outlineLevel="0" collapsed="false">
      <c r="A1" s="1" t="s">
        <v>170</v>
      </c>
      <c r="B1" s="15" t="n">
        <f aca="false">Inputs!$B$34</f>
        <v>0</v>
      </c>
      <c r="C1" s="15" t="n">
        <f aca="false">B1+Inputs!$B$35</f>
        <v>1</v>
      </c>
      <c r="D1" s="15" t="n">
        <f aca="false">C1+Inputs!$B$35</f>
        <v>2</v>
      </c>
      <c r="E1" s="15" t="n">
        <f aca="false">D1+Inputs!$B$35</f>
        <v>3</v>
      </c>
      <c r="F1" s="15" t="n">
        <f aca="false">E1+Inputs!$B$35</f>
        <v>4</v>
      </c>
      <c r="G1" s="15" t="n">
        <f aca="false">F1+Inputs!$B$35</f>
        <v>5</v>
      </c>
      <c r="H1" s="15" t="n">
        <f aca="false">G1+Inputs!$B$35</f>
        <v>6</v>
      </c>
      <c r="I1" s="15" t="n">
        <f aca="false">H1+Inputs!$B$35</f>
        <v>7</v>
      </c>
      <c r="J1" s="15" t="n">
        <f aca="false">I1+Inputs!$B$35</f>
        <v>8</v>
      </c>
      <c r="K1" s="15" t="n">
        <f aca="false">J1+Inputs!$B$35</f>
        <v>9</v>
      </c>
      <c r="L1" s="15" t="n">
        <f aca="false">K1+Inputs!$B$35</f>
        <v>10</v>
      </c>
    </row>
    <row r="2" customFormat="false" ht="15" hidden="false" customHeight="false" outlineLevel="0" collapsed="false">
      <c r="A2" s="2" t="s">
        <v>171</v>
      </c>
      <c r="B2" s="5" t="n">
        <f aca="false">B1</f>
        <v>0</v>
      </c>
      <c r="C2" s="5" t="n">
        <f aca="false">C1</f>
        <v>1</v>
      </c>
      <c r="D2" s="5" t="n">
        <f aca="false">D1</f>
        <v>2</v>
      </c>
      <c r="E2" s="5" t="n">
        <f aca="false">E1</f>
        <v>3</v>
      </c>
      <c r="F2" s="5" t="n">
        <f aca="false">F1</f>
        <v>4</v>
      </c>
      <c r="G2" s="5" t="n">
        <f aca="false">G1</f>
        <v>5</v>
      </c>
      <c r="H2" s="5" t="n">
        <f aca="false">H1</f>
        <v>6</v>
      </c>
      <c r="I2" s="5" t="n">
        <f aca="false">I1</f>
        <v>7</v>
      </c>
      <c r="J2" s="5" t="n">
        <f aca="false">J1</f>
        <v>8</v>
      </c>
      <c r="K2" s="5" t="n">
        <f aca="false">K1</f>
        <v>9</v>
      </c>
      <c r="L2" s="5" t="n">
        <f aca="false">L1</f>
        <v>10</v>
      </c>
    </row>
    <row r="3" customFormat="false" ht="15" hidden="false" customHeight="false" outlineLevel="0" collapsed="false">
      <c r="A3" s="2" t="s">
        <v>172</v>
      </c>
      <c r="B3" s="6" t="n">
        <f aca="false">Headline!B3</f>
        <v>0</v>
      </c>
      <c r="C3" s="6" t="n">
        <f aca="false">SUM(Headline!C3:N3)</f>
        <v>420</v>
      </c>
      <c r="D3" s="6" t="n">
        <f aca="false">SUM(Headline!O3:Z3)</f>
        <v>420</v>
      </c>
      <c r="E3" s="6" t="n">
        <f aca="false">SUM(Headline!AA3:AL3)</f>
        <v>420</v>
      </c>
      <c r="F3" s="6" t="n">
        <f aca="false">SUM(Headline!AM3:AX3)</f>
        <v>420</v>
      </c>
      <c r="G3" s="6" t="n">
        <f aca="false">SUM(Headline!AY3:BJ3)</f>
        <v>420</v>
      </c>
      <c r="H3" s="6" t="n">
        <f aca="false">SUM(Headline!BK3:BV3)</f>
        <v>420</v>
      </c>
      <c r="I3" s="6" t="n">
        <f aca="false">SUM(Headline!BW3:CH3)</f>
        <v>420</v>
      </c>
      <c r="J3" s="6" t="n">
        <f aca="false">SUM(Headline!CI3:CT3)</f>
        <v>420</v>
      </c>
      <c r="K3" s="6" t="n">
        <f aca="false">SUM(Headline!CU3:DF3)</f>
        <v>420</v>
      </c>
      <c r="L3" s="6" t="n">
        <f aca="false">SUM(Headline!DG3:DR3)</f>
        <v>420</v>
      </c>
    </row>
    <row r="4" customFormat="false" ht="15" hidden="false" customHeight="false" outlineLevel="0" collapsed="false">
      <c r="A4" s="2" t="s">
        <v>173</v>
      </c>
      <c r="B4" s="6" t="n">
        <f aca="false">Headline!B4</f>
        <v>0</v>
      </c>
      <c r="C4" s="6" t="n">
        <f aca="false">SUM(Headline!C4:N4)</f>
        <v>420</v>
      </c>
      <c r="D4" s="6" t="n">
        <f aca="false">SUM(Headline!O4:Z4)</f>
        <v>420</v>
      </c>
      <c r="E4" s="6" t="n">
        <f aca="false">SUM(Headline!AA4:AL4)</f>
        <v>420</v>
      </c>
      <c r="F4" s="6" t="n">
        <f aca="false">SUM(Headline!AM4:AX4)</f>
        <v>420</v>
      </c>
      <c r="G4" s="6" t="n">
        <f aca="false">SUM(Headline!AY4:BJ4)</f>
        <v>420</v>
      </c>
      <c r="H4" s="6" t="n">
        <f aca="false">SUM(Headline!BK4:BV4)</f>
        <v>420</v>
      </c>
      <c r="I4" s="6" t="n">
        <f aca="false">SUM(Headline!BW4:CH4)</f>
        <v>420</v>
      </c>
      <c r="J4" s="6" t="n">
        <f aca="false">SUM(Headline!CI4:CT4)</f>
        <v>420</v>
      </c>
      <c r="K4" s="6" t="n">
        <f aca="false">SUM(Headline!CU4:DF4)</f>
        <v>420</v>
      </c>
      <c r="L4" s="6" t="n">
        <f aca="false">SUM(Headline!DG4:DR4)</f>
        <v>420</v>
      </c>
    </row>
    <row r="5" customFormat="false" ht="15" hidden="false" customHeight="false" outlineLevel="0" collapsed="false">
      <c r="A5" s="2" t="s">
        <v>174</v>
      </c>
      <c r="B5" s="6" t="n">
        <f aca="false">Headline!B5</f>
        <v>0</v>
      </c>
      <c r="C5" s="6" t="n">
        <f aca="false">SUM(Headline!C5:N5)</f>
        <v>0</v>
      </c>
      <c r="D5" s="6" t="n">
        <f aca="false">SUM(Headline!O5:Z5)</f>
        <v>0</v>
      </c>
      <c r="E5" s="6" t="n">
        <f aca="false">SUM(Headline!AA5:AL5)</f>
        <v>0</v>
      </c>
      <c r="F5" s="6" t="n">
        <f aca="false">SUM(Headline!AM5:AX5)</f>
        <v>0</v>
      </c>
      <c r="G5" s="6" t="n">
        <f aca="false">SUM(Headline!AY5:BJ5)</f>
        <v>0</v>
      </c>
      <c r="H5" s="6" t="n">
        <f aca="false">SUM(Headline!BK5:BV5)</f>
        <v>0</v>
      </c>
      <c r="I5" s="6" t="n">
        <f aca="false">SUM(Headline!BW5:CH5)</f>
        <v>0</v>
      </c>
      <c r="J5" s="6" t="n">
        <f aca="false">SUM(Headline!CI5:CT5)</f>
        <v>0</v>
      </c>
      <c r="K5" s="6" t="n">
        <f aca="false">SUM(Headline!CU5:DF5)</f>
        <v>0</v>
      </c>
      <c r="L5" s="6" t="n">
        <f aca="false">SUM(Headline!DG5:DR5)</f>
        <v>0</v>
      </c>
    </row>
    <row r="6" customFormat="false" ht="15" hidden="false" customHeight="false" outlineLevel="0" collapsed="false">
      <c r="A6" s="2" t="s">
        <v>175</v>
      </c>
      <c r="B6" s="6" t="n">
        <f aca="false">Headline!B6</f>
        <v>0</v>
      </c>
      <c r="C6" s="6" t="n">
        <f aca="false">SUM(Headline!C6:N6)</f>
        <v>96</v>
      </c>
      <c r="D6" s="6" t="n">
        <f aca="false">SUM(Headline!O6:Z6)</f>
        <v>96</v>
      </c>
      <c r="E6" s="6" t="n">
        <f aca="false">SUM(Headline!AA6:AL6)</f>
        <v>96</v>
      </c>
      <c r="F6" s="6" t="n">
        <f aca="false">SUM(Headline!AM6:AX6)</f>
        <v>96</v>
      </c>
      <c r="G6" s="6" t="n">
        <f aca="false">SUM(Headline!AY6:BJ6)</f>
        <v>96</v>
      </c>
      <c r="H6" s="6" t="n">
        <f aca="false">SUM(Headline!BK6:BV6)</f>
        <v>96</v>
      </c>
      <c r="I6" s="6" t="n">
        <f aca="false">SUM(Headline!BW6:CH6)</f>
        <v>96</v>
      </c>
      <c r="J6" s="6" t="n">
        <f aca="false">SUM(Headline!CI6:CT6)</f>
        <v>96</v>
      </c>
      <c r="K6" s="6" t="n">
        <f aca="false">SUM(Headline!CU6:DF6)</f>
        <v>96</v>
      </c>
      <c r="L6" s="6" t="n">
        <f aca="false">SUM(Headline!DG6:DR6)</f>
        <v>96</v>
      </c>
    </row>
    <row r="7" customFormat="false" ht="15" hidden="false" customHeight="false" outlineLevel="0" collapsed="false">
      <c r="A7" s="2" t="s">
        <v>176</v>
      </c>
      <c r="B7" s="6" t="n">
        <f aca="false">Headline!B7</f>
        <v>0</v>
      </c>
      <c r="C7" s="6" t="n">
        <f aca="false">SUM(Headline!C7:N7)</f>
        <v>36</v>
      </c>
      <c r="D7" s="6" t="n">
        <f aca="false">SUM(Headline!O7:Z7)</f>
        <v>36</v>
      </c>
      <c r="E7" s="6" t="n">
        <f aca="false">SUM(Headline!AA7:AL7)</f>
        <v>36</v>
      </c>
      <c r="F7" s="6" t="n">
        <f aca="false">SUM(Headline!AM7:AX7)</f>
        <v>36</v>
      </c>
      <c r="G7" s="6" t="n">
        <f aca="false">SUM(Headline!AY7:BJ7)</f>
        <v>36</v>
      </c>
      <c r="H7" s="6" t="n">
        <f aca="false">SUM(Headline!BK7:BV7)</f>
        <v>36</v>
      </c>
      <c r="I7" s="6" t="n">
        <f aca="false">SUM(Headline!BW7:CH7)</f>
        <v>36</v>
      </c>
      <c r="J7" s="6" t="n">
        <f aca="false">SUM(Headline!CI7:CT7)</f>
        <v>36</v>
      </c>
      <c r="K7" s="6" t="n">
        <f aca="false">SUM(Headline!CU7:DF7)</f>
        <v>36</v>
      </c>
      <c r="L7" s="6" t="n">
        <f aca="false">SUM(Headline!DG7:DR7)</f>
        <v>36</v>
      </c>
    </row>
    <row r="8" customFormat="false" ht="15" hidden="false" customHeight="false" outlineLevel="0" collapsed="false">
      <c r="A8" s="2" t="s">
        <v>177</v>
      </c>
      <c r="B8" s="6" t="n">
        <f aca="false">Headline!B8</f>
        <v>0</v>
      </c>
      <c r="C8" s="6" t="n">
        <f aca="false">SUM(Headline!C8:N8)</f>
        <v>12</v>
      </c>
      <c r="D8" s="6" t="n">
        <f aca="false">SUM(Headline!O8:Z8)</f>
        <v>12</v>
      </c>
      <c r="E8" s="6" t="n">
        <f aca="false">SUM(Headline!AA8:AL8)</f>
        <v>12</v>
      </c>
      <c r="F8" s="6" t="n">
        <f aca="false">SUM(Headline!AM8:AX8)</f>
        <v>12</v>
      </c>
      <c r="G8" s="6" t="n">
        <f aca="false">SUM(Headline!AY8:BJ8)</f>
        <v>12</v>
      </c>
      <c r="H8" s="6" t="n">
        <f aca="false">SUM(Headline!BK8:BV8)</f>
        <v>12</v>
      </c>
      <c r="I8" s="6" t="n">
        <f aca="false">SUM(Headline!BW8:CH8)</f>
        <v>12</v>
      </c>
      <c r="J8" s="6" t="n">
        <f aca="false">SUM(Headline!CI8:CT8)</f>
        <v>12</v>
      </c>
      <c r="K8" s="6" t="n">
        <f aca="false">SUM(Headline!CU8:DF8)</f>
        <v>12</v>
      </c>
      <c r="L8" s="6" t="n">
        <f aca="false">SUM(Headline!DG8:DR8)</f>
        <v>12</v>
      </c>
    </row>
    <row r="9" customFormat="false" ht="15" hidden="false" customHeight="false" outlineLevel="0" collapsed="false">
      <c r="A9" s="2" t="s">
        <v>178</v>
      </c>
      <c r="B9" s="6" t="n">
        <f aca="false">Headline!B9</f>
        <v>0</v>
      </c>
      <c r="C9" s="6" t="n">
        <f aca="false">SUM(Headline!C9:N9)</f>
        <v>54</v>
      </c>
      <c r="D9" s="6" t="n">
        <f aca="false">SUM(Headline!O9:Z9)</f>
        <v>54</v>
      </c>
      <c r="E9" s="6" t="n">
        <f aca="false">SUM(Headline!AA9:AL9)</f>
        <v>54</v>
      </c>
      <c r="F9" s="6" t="n">
        <f aca="false">SUM(Headline!AM9:AX9)</f>
        <v>54</v>
      </c>
      <c r="G9" s="6" t="n">
        <f aca="false">SUM(Headline!AY9:BJ9)</f>
        <v>54</v>
      </c>
      <c r="H9" s="6" t="n">
        <f aca="false">SUM(Headline!BK9:BV9)</f>
        <v>54</v>
      </c>
      <c r="I9" s="6" t="n">
        <f aca="false">SUM(Headline!BW9:CH9)</f>
        <v>54</v>
      </c>
      <c r="J9" s="6" t="n">
        <f aca="false">SUM(Headline!CI9:CT9)</f>
        <v>54</v>
      </c>
      <c r="K9" s="6" t="n">
        <f aca="false">SUM(Headline!CU9:DF9)</f>
        <v>54</v>
      </c>
      <c r="L9" s="6" t="n">
        <f aca="false">SUM(Headline!DG9:DR9)</f>
        <v>54</v>
      </c>
    </row>
    <row r="10" customFormat="false" ht="15" hidden="false" customHeight="false" outlineLevel="0" collapsed="false">
      <c r="A10" s="2" t="s">
        <v>179</v>
      </c>
      <c r="B10" s="6" t="n">
        <f aca="false">Headline!B10</f>
        <v>0</v>
      </c>
      <c r="C10" s="6" t="n">
        <f aca="false">SUM(Headline!C10:N10)</f>
        <v>18</v>
      </c>
      <c r="D10" s="6" t="n">
        <f aca="false">SUM(Headline!O10:Z10)</f>
        <v>18</v>
      </c>
      <c r="E10" s="6" t="n">
        <f aca="false">SUM(Headline!AA10:AL10)</f>
        <v>18</v>
      </c>
      <c r="F10" s="6" t="n">
        <f aca="false">SUM(Headline!AM10:AX10)</f>
        <v>18</v>
      </c>
      <c r="G10" s="6" t="n">
        <f aca="false">SUM(Headline!AY10:BJ10)</f>
        <v>18</v>
      </c>
      <c r="H10" s="6" t="n">
        <f aca="false">SUM(Headline!BK10:BV10)</f>
        <v>18</v>
      </c>
      <c r="I10" s="6" t="n">
        <f aca="false">SUM(Headline!BW10:CH10)</f>
        <v>18</v>
      </c>
      <c r="J10" s="6" t="n">
        <f aca="false">SUM(Headline!CI10:CT10)</f>
        <v>18</v>
      </c>
      <c r="K10" s="6" t="n">
        <f aca="false">SUM(Headline!CU10:DF10)</f>
        <v>18</v>
      </c>
      <c r="L10" s="6" t="n">
        <f aca="false">SUM(Headline!DG10:DR10)</f>
        <v>18</v>
      </c>
    </row>
    <row r="11" customFormat="false" ht="15" hidden="false" customHeight="false" outlineLevel="0" collapsed="false">
      <c r="A11" s="2" t="s">
        <v>180</v>
      </c>
      <c r="B11" s="6" t="n">
        <f aca="false">Headline!B11</f>
        <v>0</v>
      </c>
      <c r="C11" s="6" t="n">
        <f aca="false">SUM(Headline!C11:N11)</f>
        <v>60</v>
      </c>
      <c r="D11" s="6" t="n">
        <f aca="false">SUM(Headline!O11:Z11)</f>
        <v>60</v>
      </c>
      <c r="E11" s="6" t="n">
        <f aca="false">SUM(Headline!AA11:AL11)</f>
        <v>60</v>
      </c>
      <c r="F11" s="6" t="n">
        <f aca="false">SUM(Headline!AM11:AX11)</f>
        <v>60</v>
      </c>
      <c r="G11" s="6" t="n">
        <f aca="false">SUM(Headline!AY11:BJ11)</f>
        <v>60</v>
      </c>
      <c r="H11" s="6" t="n">
        <f aca="false">SUM(Headline!BK11:BV11)</f>
        <v>60</v>
      </c>
      <c r="I11" s="6" t="n">
        <f aca="false">SUM(Headline!BW11:CH11)</f>
        <v>60</v>
      </c>
      <c r="J11" s="6" t="n">
        <f aca="false">SUM(Headline!CI11:CT11)</f>
        <v>60</v>
      </c>
      <c r="K11" s="6" t="n">
        <f aca="false">SUM(Headline!CU11:DF11)</f>
        <v>60</v>
      </c>
      <c r="L11" s="6" t="n">
        <f aca="false">SUM(Headline!DG11:DR11)</f>
        <v>60</v>
      </c>
    </row>
    <row r="12" customFormat="false" ht="15" hidden="false" customHeight="false" outlineLevel="0" collapsed="false">
      <c r="A12" s="2" t="s">
        <v>181</v>
      </c>
      <c r="B12" s="6" t="n">
        <f aca="false">Headline!B12</f>
        <v>0</v>
      </c>
      <c r="C12" s="6" t="n">
        <f aca="false">SUM(Headline!C12:N12)</f>
        <v>30</v>
      </c>
      <c r="D12" s="6" t="n">
        <f aca="false">SUM(Headline!O12:Z12)</f>
        <v>30</v>
      </c>
      <c r="E12" s="6" t="n">
        <f aca="false">SUM(Headline!AA12:AL12)</f>
        <v>30</v>
      </c>
      <c r="F12" s="6" t="n">
        <f aca="false">SUM(Headline!AM12:AX12)</f>
        <v>30</v>
      </c>
      <c r="G12" s="6" t="n">
        <f aca="false">SUM(Headline!AY12:BJ12)</f>
        <v>30</v>
      </c>
      <c r="H12" s="6" t="n">
        <f aca="false">SUM(Headline!BK12:BV12)</f>
        <v>30</v>
      </c>
      <c r="I12" s="6" t="n">
        <f aca="false">SUM(Headline!BW12:CH12)</f>
        <v>30</v>
      </c>
      <c r="J12" s="6" t="n">
        <f aca="false">SUM(Headline!CI12:CT12)</f>
        <v>30</v>
      </c>
      <c r="K12" s="6" t="n">
        <f aca="false">SUM(Headline!CU12:DF12)</f>
        <v>30</v>
      </c>
      <c r="L12" s="6" t="n">
        <f aca="false">SUM(Headline!DG12:DR12)</f>
        <v>30</v>
      </c>
    </row>
    <row r="13" customFormat="false" ht="15" hidden="false" customHeight="false" outlineLevel="0" collapsed="false">
      <c r="A13" s="2" t="s">
        <v>182</v>
      </c>
      <c r="B13" s="6" t="n">
        <f aca="false">Headline!B13</f>
        <v>0</v>
      </c>
      <c r="C13" s="6" t="n">
        <f aca="false">SUM(Headline!C13:N13)</f>
        <v>18</v>
      </c>
      <c r="D13" s="6" t="n">
        <f aca="false">SUM(Headline!O13:Z13)</f>
        <v>18</v>
      </c>
      <c r="E13" s="6" t="n">
        <f aca="false">SUM(Headline!AA13:AL13)</f>
        <v>18</v>
      </c>
      <c r="F13" s="6" t="n">
        <f aca="false">SUM(Headline!AM13:AX13)</f>
        <v>18</v>
      </c>
      <c r="G13" s="6" t="n">
        <f aca="false">SUM(Headline!AY13:BJ13)</f>
        <v>18</v>
      </c>
      <c r="H13" s="6" t="n">
        <f aca="false">SUM(Headline!BK13:BV13)</f>
        <v>18</v>
      </c>
      <c r="I13" s="6" t="n">
        <f aca="false">SUM(Headline!BW13:CH13)</f>
        <v>18</v>
      </c>
      <c r="J13" s="6" t="n">
        <f aca="false">SUM(Headline!CI13:CT13)</f>
        <v>18</v>
      </c>
      <c r="K13" s="6" t="n">
        <f aca="false">SUM(Headline!CU13:DF13)</f>
        <v>18</v>
      </c>
      <c r="L13" s="6" t="n">
        <f aca="false">SUM(Headline!DG13:DR13)</f>
        <v>18</v>
      </c>
    </row>
    <row r="14" customFormat="false" ht="15" hidden="false" customHeight="false" outlineLevel="0" collapsed="false">
      <c r="A14" s="2" t="s">
        <v>183</v>
      </c>
      <c r="B14" s="6" t="n">
        <f aca="false">Headline!B14</f>
        <v>0</v>
      </c>
      <c r="C14" s="6" t="n">
        <f aca="false">SUM(Headline!C14:N14)</f>
        <v>36</v>
      </c>
      <c r="D14" s="6" t="n">
        <f aca="false">SUM(Headline!O14:Z14)</f>
        <v>36</v>
      </c>
      <c r="E14" s="6" t="n">
        <f aca="false">SUM(Headline!AA14:AL14)</f>
        <v>36</v>
      </c>
      <c r="F14" s="6" t="n">
        <f aca="false">SUM(Headline!AM14:AX14)</f>
        <v>36</v>
      </c>
      <c r="G14" s="6" t="n">
        <f aca="false">SUM(Headline!AY14:BJ14)</f>
        <v>36</v>
      </c>
      <c r="H14" s="6" t="n">
        <f aca="false">SUM(Headline!BK14:BV14)</f>
        <v>36</v>
      </c>
      <c r="I14" s="6" t="n">
        <f aca="false">SUM(Headline!BW14:CH14)</f>
        <v>36</v>
      </c>
      <c r="J14" s="6" t="n">
        <f aca="false">SUM(Headline!CI14:CT14)</f>
        <v>36</v>
      </c>
      <c r="K14" s="6" t="n">
        <f aca="false">SUM(Headline!CU14:DF14)</f>
        <v>36</v>
      </c>
      <c r="L14" s="6" t="n">
        <f aca="false">SUM(Headline!DG14:DR14)</f>
        <v>36</v>
      </c>
    </row>
    <row r="15" customFormat="false" ht="15" hidden="false" customHeight="false" outlineLevel="0" collapsed="false">
      <c r="A15" s="2" t="s">
        <v>184</v>
      </c>
      <c r="B15" s="6" t="n">
        <f aca="false">Headline!B15</f>
        <v>0</v>
      </c>
      <c r="C15" s="6" t="n">
        <f aca="false">SUM(Headline!C15:N15)</f>
        <v>12</v>
      </c>
      <c r="D15" s="6" t="n">
        <f aca="false">SUM(Headline!O15:Z15)</f>
        <v>12</v>
      </c>
      <c r="E15" s="6" t="n">
        <f aca="false">SUM(Headline!AA15:AL15)</f>
        <v>12</v>
      </c>
      <c r="F15" s="6" t="n">
        <f aca="false">SUM(Headline!AM15:AX15)</f>
        <v>12</v>
      </c>
      <c r="G15" s="6" t="n">
        <f aca="false">SUM(Headline!AY15:BJ15)</f>
        <v>12</v>
      </c>
      <c r="H15" s="6" t="n">
        <f aca="false">SUM(Headline!BK15:BV15)</f>
        <v>12</v>
      </c>
      <c r="I15" s="6" t="n">
        <f aca="false">SUM(Headline!BW15:CH15)</f>
        <v>12</v>
      </c>
      <c r="J15" s="6" t="n">
        <f aca="false">SUM(Headline!CI15:CT15)</f>
        <v>12</v>
      </c>
      <c r="K15" s="6" t="n">
        <f aca="false">SUM(Headline!CU15:DF15)</f>
        <v>12</v>
      </c>
      <c r="L15" s="6" t="n">
        <f aca="false">SUM(Headline!DG15:DR15)</f>
        <v>12</v>
      </c>
    </row>
    <row r="16" customFormat="false" ht="15" hidden="false" customHeight="false" outlineLevel="0" collapsed="false">
      <c r="A16" s="2" t="s">
        <v>185</v>
      </c>
      <c r="B16" s="6" t="n">
        <f aca="false">Headline!B16</f>
        <v>0</v>
      </c>
      <c r="C16" s="6" t="n">
        <f aca="false">SUM(Headline!C16:N16)</f>
        <v>12</v>
      </c>
      <c r="D16" s="6" t="n">
        <f aca="false">SUM(Headline!O16:Z16)</f>
        <v>12</v>
      </c>
      <c r="E16" s="6" t="n">
        <f aca="false">SUM(Headline!AA16:AL16)</f>
        <v>12</v>
      </c>
      <c r="F16" s="6" t="n">
        <f aca="false">SUM(Headline!AM16:AX16)</f>
        <v>12</v>
      </c>
      <c r="G16" s="6" t="n">
        <f aca="false">SUM(Headline!AY16:BJ16)</f>
        <v>12</v>
      </c>
      <c r="H16" s="6" t="n">
        <f aca="false">SUM(Headline!BK16:BV16)</f>
        <v>12</v>
      </c>
      <c r="I16" s="6" t="n">
        <f aca="false">SUM(Headline!BW16:CH16)</f>
        <v>12</v>
      </c>
      <c r="J16" s="6" t="n">
        <f aca="false">SUM(Headline!CI16:CT16)</f>
        <v>12</v>
      </c>
      <c r="K16" s="6" t="n">
        <f aca="false">SUM(Headline!CU16:DF16)</f>
        <v>12</v>
      </c>
      <c r="L16" s="6" t="n">
        <f aca="false">SUM(Headline!DG16:DR16)</f>
        <v>12</v>
      </c>
    </row>
    <row r="17" customFormat="false" ht="15" hidden="false" customHeight="false" outlineLevel="0" collapsed="false">
      <c r="A17" s="2" t="s">
        <v>186</v>
      </c>
      <c r="B17" s="6" t="n">
        <f aca="false">Headline!B17</f>
        <v>0</v>
      </c>
      <c r="C17" s="6" t="n">
        <f aca="false">SUM(Headline!C17:N17)</f>
        <v>24</v>
      </c>
      <c r="D17" s="6" t="n">
        <f aca="false">SUM(Headline!O17:Z17)</f>
        <v>24</v>
      </c>
      <c r="E17" s="6" t="n">
        <f aca="false">SUM(Headline!AA17:AL17)</f>
        <v>24</v>
      </c>
      <c r="F17" s="6" t="n">
        <f aca="false">SUM(Headline!AM17:AX17)</f>
        <v>24</v>
      </c>
      <c r="G17" s="6" t="n">
        <f aca="false">SUM(Headline!AY17:BJ17)</f>
        <v>24</v>
      </c>
      <c r="H17" s="6" t="n">
        <f aca="false">SUM(Headline!BK17:BV17)</f>
        <v>24</v>
      </c>
      <c r="I17" s="6" t="n">
        <f aca="false">SUM(Headline!BW17:CH17)</f>
        <v>24</v>
      </c>
      <c r="J17" s="6" t="n">
        <f aca="false">SUM(Headline!CI17:CT17)</f>
        <v>24</v>
      </c>
      <c r="K17" s="6" t="n">
        <f aca="false">SUM(Headline!CU17:DF17)</f>
        <v>24</v>
      </c>
      <c r="L17" s="6" t="n">
        <f aca="false">SUM(Headline!DG17:DR17)</f>
        <v>24</v>
      </c>
    </row>
    <row r="18" customFormat="false" ht="15" hidden="false" customHeight="false" outlineLevel="0" collapsed="false">
      <c r="A18" s="2" t="s">
        <v>187</v>
      </c>
      <c r="B18" s="6" t="n">
        <f aca="false">Headline!B18</f>
        <v>0</v>
      </c>
      <c r="C18" s="6" t="n">
        <f aca="false">SUM(Headline!C18:N18)</f>
        <v>12</v>
      </c>
      <c r="D18" s="6" t="n">
        <f aca="false">SUM(Headline!O18:Z18)</f>
        <v>12</v>
      </c>
      <c r="E18" s="6" t="n">
        <f aca="false">SUM(Headline!AA18:AL18)</f>
        <v>12</v>
      </c>
      <c r="F18" s="6" t="n">
        <f aca="false">SUM(Headline!AM18:AX18)</f>
        <v>12</v>
      </c>
      <c r="G18" s="6" t="n">
        <f aca="false">SUM(Headline!AY18:BJ18)</f>
        <v>12</v>
      </c>
      <c r="H18" s="6" t="n">
        <f aca="false">SUM(Headline!BK18:BV18)</f>
        <v>12</v>
      </c>
      <c r="I18" s="6" t="n">
        <f aca="false">SUM(Headline!BW18:CH18)</f>
        <v>12</v>
      </c>
      <c r="J18" s="6" t="n">
        <f aca="false">SUM(Headline!CI18:CT18)</f>
        <v>12</v>
      </c>
      <c r="K18" s="6" t="n">
        <f aca="false">SUM(Headline!CU18:DF18)</f>
        <v>12</v>
      </c>
      <c r="L18" s="6" t="n">
        <f aca="false">SUM(Headline!DG18:DR18)</f>
        <v>12</v>
      </c>
    </row>
    <row r="19" customFormat="false" ht="15" hidden="false" customHeight="false" outlineLevel="0" collapsed="false">
      <c r="A19" s="16" t="s">
        <v>188</v>
      </c>
      <c r="B19" s="17" t="n">
        <f aca="false">Headline!B19</f>
        <v>0</v>
      </c>
      <c r="C19" s="17" t="n">
        <f aca="false">SUM(Headline!C19:N19)</f>
        <v>420</v>
      </c>
      <c r="D19" s="17" t="n">
        <f aca="false">SUM(Headline!O19:Z19)</f>
        <v>420</v>
      </c>
      <c r="E19" s="17" t="n">
        <f aca="false">SUM(Headline!AA19:AL19)</f>
        <v>420</v>
      </c>
      <c r="F19" s="17" t="n">
        <f aca="false">SUM(Headline!AM19:AX19)</f>
        <v>420</v>
      </c>
      <c r="G19" s="17" t="n">
        <f aca="false">SUM(Headline!AY19:BJ19)</f>
        <v>420</v>
      </c>
      <c r="H19" s="17" t="n">
        <f aca="false">SUM(Headline!BK19:BV19)</f>
        <v>420</v>
      </c>
      <c r="I19" s="17" t="n">
        <f aca="false">SUM(Headline!BW19:CH19)</f>
        <v>420</v>
      </c>
      <c r="J19" s="17" t="n">
        <f aca="false">SUM(Headline!CI19:CT19)</f>
        <v>420</v>
      </c>
      <c r="K19" s="17" t="n">
        <f aca="false">SUM(Headline!CU19:DF19)</f>
        <v>420</v>
      </c>
      <c r="L19" s="17" t="n">
        <f aca="false">SUM(Headline!DG19:DR19)</f>
        <v>420</v>
      </c>
    </row>
    <row r="20" customFormat="false" ht="15" hidden="false" customHeight="false" outlineLevel="0" collapsed="false">
      <c r="A20" s="2" t="s">
        <v>189</v>
      </c>
      <c r="B20" s="6" t="n">
        <f aca="false">Headline!B20</f>
        <v>0</v>
      </c>
      <c r="C20" s="6" t="n">
        <f aca="false">Headline!N20</f>
        <v>0</v>
      </c>
      <c r="D20" s="6" t="n">
        <f aca="false">Headline!Z20</f>
        <v>0</v>
      </c>
      <c r="E20" s="6" t="n">
        <f aca="false">Headline!AL20</f>
        <v>0</v>
      </c>
      <c r="F20" s="6" t="n">
        <f aca="false">Headline!AX20</f>
        <v>0</v>
      </c>
      <c r="G20" s="6" t="n">
        <f aca="false">Headline!BJ20</f>
        <v>0</v>
      </c>
      <c r="H20" s="6" t="n">
        <f aca="false">Headline!BV20</f>
        <v>0</v>
      </c>
      <c r="I20" s="6" t="n">
        <f aca="false">Headline!CH20</f>
        <v>0</v>
      </c>
      <c r="J20" s="6" t="n">
        <f aca="false">Headline!CT20</f>
        <v>0</v>
      </c>
      <c r="K20" s="6" t="n">
        <f aca="false">Headline!DF20</f>
        <v>0</v>
      </c>
      <c r="L20" s="6" t="n">
        <f aca="false">Headline!DR20</f>
        <v>0</v>
      </c>
    </row>
    <row r="21" customFormat="false" ht="15" hidden="false" customHeight="false" outlineLevel="0" collapsed="false">
      <c r="A21" s="2" t="s">
        <v>190</v>
      </c>
      <c r="B21" s="6" t="n">
        <f aca="false">Headline!B21</f>
        <v>0</v>
      </c>
      <c r="C21" s="6" t="n">
        <f aca="false">SUM(Headline!C21:N21)</f>
        <v>0</v>
      </c>
      <c r="D21" s="6" t="n">
        <f aca="false">SUM(Headline!O21:Z21)</f>
        <v>0</v>
      </c>
      <c r="E21" s="6" t="n">
        <f aca="false">SUM(Headline!AA21:AL21)</f>
        <v>0</v>
      </c>
      <c r="F21" s="6" t="n">
        <f aca="false">SUM(Headline!AM21:AX21)</f>
        <v>0</v>
      </c>
      <c r="G21" s="6" t="n">
        <f aca="false">SUM(Headline!AY21:BJ21)</f>
        <v>0</v>
      </c>
      <c r="H21" s="6" t="n">
        <f aca="false">SUM(Headline!BK21:BV21)</f>
        <v>0</v>
      </c>
      <c r="I21" s="6" t="n">
        <f aca="false">SUM(Headline!BW21:CH21)</f>
        <v>0</v>
      </c>
      <c r="J21" s="6" t="n">
        <f aca="false">SUM(Headline!CI21:CT21)</f>
        <v>0</v>
      </c>
      <c r="K21" s="6" t="n">
        <f aca="false">SUM(Headline!CU21:DF21)</f>
        <v>0</v>
      </c>
      <c r="L21" s="6" t="n">
        <f aca="false">SUM(Headline!DG21:DR21)</f>
        <v>0</v>
      </c>
    </row>
    <row r="22" customFormat="false" ht="15" hidden="false" customHeight="false" outlineLevel="0" collapsed="false">
      <c r="A22" s="2" t="s">
        <v>191</v>
      </c>
      <c r="B22" s="6" t="n">
        <f aca="false">Headline!B22</f>
        <v>0</v>
      </c>
      <c r="C22" s="6" t="n">
        <f aca="false">SUM(Headline!C22:N22)</f>
        <v>420</v>
      </c>
      <c r="D22" s="6" t="n">
        <f aca="false">SUM(Headline!O22:Z22)</f>
        <v>420</v>
      </c>
      <c r="E22" s="6" t="n">
        <f aca="false">SUM(Headline!AA22:AL22)</f>
        <v>420</v>
      </c>
      <c r="F22" s="6" t="n">
        <f aca="false">SUM(Headline!AM22:AX22)</f>
        <v>420</v>
      </c>
      <c r="G22" s="6" t="n">
        <f aca="false">SUM(Headline!AY22:BJ22)</f>
        <v>420</v>
      </c>
      <c r="H22" s="6" t="n">
        <f aca="false">SUM(Headline!BK22:BV22)</f>
        <v>420</v>
      </c>
      <c r="I22" s="6" t="n">
        <f aca="false">SUM(Headline!BW22:CH22)</f>
        <v>420</v>
      </c>
      <c r="J22" s="6" t="n">
        <f aca="false">SUM(Headline!CI22:CT22)</f>
        <v>420</v>
      </c>
      <c r="K22" s="6" t="n">
        <f aca="false">SUM(Headline!CU22:DF22)</f>
        <v>420</v>
      </c>
      <c r="L22" s="6" t="n">
        <f aca="false">SUM(Headline!DG22:DR22)</f>
        <v>420</v>
      </c>
    </row>
    <row r="23" customFormat="false" ht="15" hidden="false" customHeight="false" outlineLevel="0" collapsed="false">
      <c r="A23" s="2" t="s">
        <v>192</v>
      </c>
      <c r="B23" s="6" t="n">
        <f aca="false">Headline!B23</f>
        <v>0</v>
      </c>
      <c r="C23" s="6" t="n">
        <f aca="false">SUM(Headline!C23:N23)</f>
        <v>168</v>
      </c>
      <c r="D23" s="6" t="n">
        <f aca="false">SUM(Headline!O23:Z23)</f>
        <v>168</v>
      </c>
      <c r="E23" s="6" t="n">
        <f aca="false">SUM(Headline!AA23:AL23)</f>
        <v>168</v>
      </c>
      <c r="F23" s="6" t="n">
        <f aca="false">SUM(Headline!AM23:AX23)</f>
        <v>168</v>
      </c>
      <c r="G23" s="6" t="n">
        <f aca="false">SUM(Headline!AY23:BJ23)</f>
        <v>168</v>
      </c>
      <c r="H23" s="6" t="n">
        <f aca="false">SUM(Headline!BK23:BV23)</f>
        <v>168</v>
      </c>
      <c r="I23" s="6" t="n">
        <f aca="false">SUM(Headline!BW23:CH23)</f>
        <v>168</v>
      </c>
      <c r="J23" s="6" t="n">
        <f aca="false">SUM(Headline!CI23:CT23)</f>
        <v>168</v>
      </c>
      <c r="K23" s="6" t="n">
        <f aca="false">SUM(Headline!CU23:DF23)</f>
        <v>168</v>
      </c>
      <c r="L23" s="6" t="n">
        <f aca="false">SUM(Headline!DG23:DR23)</f>
        <v>168</v>
      </c>
    </row>
    <row r="24" customFormat="false" ht="15" hidden="false" customHeight="false" outlineLevel="0" collapsed="false">
      <c r="A24" s="2" t="s">
        <v>193</v>
      </c>
      <c r="B24" s="6" t="n">
        <f aca="false">Headline!B24</f>
        <v>0</v>
      </c>
      <c r="C24" s="6" t="n">
        <f aca="false">SUM(Headline!C24:N24)</f>
        <v>42</v>
      </c>
      <c r="D24" s="6" t="n">
        <f aca="false">SUM(Headline!O24:Z24)</f>
        <v>42</v>
      </c>
      <c r="E24" s="6" t="n">
        <f aca="false">SUM(Headline!AA24:AL24)</f>
        <v>42</v>
      </c>
      <c r="F24" s="6" t="n">
        <f aca="false">SUM(Headline!AM24:AX24)</f>
        <v>42</v>
      </c>
      <c r="G24" s="6" t="n">
        <f aca="false">SUM(Headline!AY24:BJ24)</f>
        <v>42</v>
      </c>
      <c r="H24" s="6" t="n">
        <f aca="false">SUM(Headline!BK24:BV24)</f>
        <v>42</v>
      </c>
      <c r="I24" s="6" t="n">
        <f aca="false">SUM(Headline!BW24:CH24)</f>
        <v>42</v>
      </c>
      <c r="J24" s="6" t="n">
        <f aca="false">SUM(Headline!CI24:CT24)</f>
        <v>42</v>
      </c>
      <c r="K24" s="6" t="n">
        <f aca="false">SUM(Headline!CU24:DF24)</f>
        <v>42</v>
      </c>
      <c r="L24" s="6" t="n">
        <f aca="false">SUM(Headline!DG24:DR24)</f>
        <v>42</v>
      </c>
    </row>
    <row r="25" customFormat="false" ht="15" hidden="false" customHeight="false" outlineLevel="0" collapsed="false">
      <c r="A25" s="2" t="s">
        <v>194</v>
      </c>
      <c r="B25" s="6" t="n">
        <f aca="false">Headline!B25</f>
        <v>0</v>
      </c>
      <c r="C25" s="6" t="n">
        <f aca="false">SUM(Headline!C25:N25)</f>
        <v>210</v>
      </c>
      <c r="D25" s="6" t="n">
        <f aca="false">SUM(Headline!O25:Z25)</f>
        <v>210</v>
      </c>
      <c r="E25" s="6" t="n">
        <f aca="false">SUM(Headline!AA25:AL25)</f>
        <v>210</v>
      </c>
      <c r="F25" s="6" t="n">
        <f aca="false">SUM(Headline!AM25:AX25)</f>
        <v>210</v>
      </c>
      <c r="G25" s="6" t="n">
        <f aca="false">SUM(Headline!AY25:BJ25)</f>
        <v>210</v>
      </c>
      <c r="H25" s="6" t="n">
        <f aca="false">SUM(Headline!BK25:BV25)</f>
        <v>210</v>
      </c>
      <c r="I25" s="6" t="n">
        <f aca="false">SUM(Headline!BW25:CH25)</f>
        <v>210</v>
      </c>
      <c r="J25" s="6" t="n">
        <f aca="false">SUM(Headline!CI25:CT25)</f>
        <v>210</v>
      </c>
      <c r="K25" s="6" t="n">
        <f aca="false">SUM(Headline!CU25:DF25)</f>
        <v>210</v>
      </c>
      <c r="L25" s="6" t="n">
        <f aca="false">SUM(Headline!DG25:DR25)</f>
        <v>210</v>
      </c>
    </row>
    <row r="26" customFormat="false" ht="15" hidden="false" customHeight="false" outlineLevel="0" collapsed="false">
      <c r="A26" s="2" t="s">
        <v>195</v>
      </c>
      <c r="B26" s="6" t="n">
        <f aca="false">Headline!B26</f>
        <v>0</v>
      </c>
      <c r="C26" s="6" t="n">
        <f aca="false">SUM(Headline!C26:N26)</f>
        <v>84</v>
      </c>
      <c r="D26" s="6" t="n">
        <f aca="false">SUM(Headline!O26:Z26)</f>
        <v>84</v>
      </c>
      <c r="E26" s="6" t="n">
        <f aca="false">SUM(Headline!AA26:AL26)</f>
        <v>84</v>
      </c>
      <c r="F26" s="6" t="n">
        <f aca="false">SUM(Headline!AM26:AX26)</f>
        <v>84</v>
      </c>
      <c r="G26" s="6" t="n">
        <f aca="false">SUM(Headline!AY26:BJ26)</f>
        <v>84</v>
      </c>
      <c r="H26" s="6" t="n">
        <f aca="false">SUM(Headline!BK26:BV26)</f>
        <v>84</v>
      </c>
      <c r="I26" s="6" t="n">
        <f aca="false">SUM(Headline!BW26:CH26)</f>
        <v>84</v>
      </c>
      <c r="J26" s="6" t="n">
        <f aca="false">SUM(Headline!CI26:CT26)</f>
        <v>84</v>
      </c>
      <c r="K26" s="6" t="n">
        <f aca="false">SUM(Headline!CU26:DF26)</f>
        <v>84</v>
      </c>
      <c r="L26" s="6" t="n">
        <f aca="false">SUM(Headline!DG26:DR26)</f>
        <v>84</v>
      </c>
    </row>
    <row r="27" customFormat="false" ht="15" hidden="false" customHeight="false" outlineLevel="0" collapsed="false">
      <c r="A27" s="2" t="s">
        <v>196</v>
      </c>
      <c r="B27" s="6" t="n">
        <f aca="false">Headline!B27</f>
        <v>0</v>
      </c>
      <c r="C27" s="6" t="n">
        <f aca="false">SUM(Headline!C27:N27)</f>
        <v>126</v>
      </c>
      <c r="D27" s="6" t="n">
        <f aca="false">SUM(Headline!O27:Z27)</f>
        <v>126</v>
      </c>
      <c r="E27" s="6" t="n">
        <f aca="false">SUM(Headline!AA27:AL27)</f>
        <v>126</v>
      </c>
      <c r="F27" s="6" t="n">
        <f aca="false">SUM(Headline!AM27:AX27)</f>
        <v>126</v>
      </c>
      <c r="G27" s="6" t="n">
        <f aca="false">SUM(Headline!AY27:BJ27)</f>
        <v>126</v>
      </c>
      <c r="H27" s="6" t="n">
        <f aca="false">SUM(Headline!BK27:BV27)</f>
        <v>126</v>
      </c>
      <c r="I27" s="6" t="n">
        <f aca="false">SUM(Headline!BW27:CH27)</f>
        <v>126</v>
      </c>
      <c r="J27" s="6" t="n">
        <f aca="false">SUM(Headline!CI27:CT27)</f>
        <v>126</v>
      </c>
      <c r="K27" s="6" t="n">
        <f aca="false">SUM(Headline!CU27:DF27)</f>
        <v>126</v>
      </c>
      <c r="L27" s="6" t="n">
        <f aca="false">SUM(Headline!DG27:DR27)</f>
        <v>126</v>
      </c>
    </row>
    <row r="28" customFormat="false" ht="15" hidden="false" customHeight="false" outlineLevel="0" collapsed="false">
      <c r="A28" s="2" t="s">
        <v>197</v>
      </c>
      <c r="B28" s="6" t="n">
        <f aca="false">Headline!B28</f>
        <v>0</v>
      </c>
      <c r="C28" s="6" t="n">
        <f aca="false">SUM(Headline!C28:N28)</f>
        <v>4.8</v>
      </c>
      <c r="D28" s="6" t="n">
        <f aca="false">SUM(Headline!O28:Z28)</f>
        <v>4.8</v>
      </c>
      <c r="E28" s="6" t="n">
        <f aca="false">SUM(Headline!AA28:AL28)</f>
        <v>4.8</v>
      </c>
      <c r="F28" s="6" t="n">
        <f aca="false">SUM(Headline!AM28:AX28)</f>
        <v>4.8</v>
      </c>
      <c r="G28" s="6" t="n">
        <f aca="false">SUM(Headline!AY28:BJ28)</f>
        <v>4.8</v>
      </c>
      <c r="H28" s="6" t="n">
        <f aca="false">SUM(Headline!BK28:BV28)</f>
        <v>4.8</v>
      </c>
      <c r="I28" s="6" t="n">
        <f aca="false">SUM(Headline!BW28:CH28)</f>
        <v>4.8</v>
      </c>
      <c r="J28" s="6" t="n">
        <f aca="false">SUM(Headline!CI28:CT28)</f>
        <v>4.8</v>
      </c>
      <c r="K28" s="6" t="n">
        <f aca="false">SUM(Headline!CU28:DF28)</f>
        <v>4.8</v>
      </c>
      <c r="L28" s="6" t="n">
        <f aca="false">SUM(Headline!DG28:DR28)</f>
        <v>4.8</v>
      </c>
    </row>
    <row r="29" customFormat="false" ht="15" hidden="false" customHeight="false" outlineLevel="0" collapsed="false">
      <c r="A29" s="2" t="s">
        <v>198</v>
      </c>
      <c r="B29" s="6" t="n">
        <f aca="false">Headline!B29</f>
        <v>0</v>
      </c>
      <c r="C29" s="6" t="n">
        <f aca="false">SUM(Headline!C29:N29)</f>
        <v>1.8</v>
      </c>
      <c r="D29" s="6" t="n">
        <f aca="false">SUM(Headline!O29:Z29)</f>
        <v>1.8</v>
      </c>
      <c r="E29" s="6" t="n">
        <f aca="false">SUM(Headline!AA29:AL29)</f>
        <v>1.8</v>
      </c>
      <c r="F29" s="6" t="n">
        <f aca="false">SUM(Headline!AM29:AX29)</f>
        <v>1.8</v>
      </c>
      <c r="G29" s="6" t="n">
        <f aca="false">SUM(Headline!AY29:BJ29)</f>
        <v>1.8</v>
      </c>
      <c r="H29" s="6" t="n">
        <f aca="false">SUM(Headline!BK29:BV29)</f>
        <v>1.8</v>
      </c>
      <c r="I29" s="6" t="n">
        <f aca="false">SUM(Headline!BW29:CH29)</f>
        <v>1.8</v>
      </c>
      <c r="J29" s="6" t="n">
        <f aca="false">SUM(Headline!CI29:CT29)</f>
        <v>1.8</v>
      </c>
      <c r="K29" s="6" t="n">
        <f aca="false">SUM(Headline!CU29:DF29)</f>
        <v>1.8</v>
      </c>
      <c r="L29" s="6" t="n">
        <f aca="false">SUM(Headline!DG29:DR29)</f>
        <v>1.8</v>
      </c>
    </row>
    <row r="30" customFormat="false" ht="15" hidden="false" customHeight="false" outlineLevel="0" collapsed="false">
      <c r="A30" s="2" t="s">
        <v>199</v>
      </c>
      <c r="B30" s="6" t="n">
        <f aca="false">Headline!B30</f>
        <v>0</v>
      </c>
      <c r="C30" s="6" t="n">
        <f aca="false">SUM(Headline!C30:N30)</f>
        <v>33.6</v>
      </c>
      <c r="D30" s="6" t="n">
        <f aca="false">SUM(Headline!O30:Z30)</f>
        <v>33.6</v>
      </c>
      <c r="E30" s="6" t="n">
        <f aca="false">SUM(Headline!AA30:AL30)</f>
        <v>33.6</v>
      </c>
      <c r="F30" s="6" t="n">
        <f aca="false">SUM(Headline!AM30:AX30)</f>
        <v>33.6</v>
      </c>
      <c r="G30" s="6" t="n">
        <f aca="false">SUM(Headline!AY30:BJ30)</f>
        <v>33.6</v>
      </c>
      <c r="H30" s="6" t="n">
        <f aca="false">SUM(Headline!BK30:BV30)</f>
        <v>33.6</v>
      </c>
      <c r="I30" s="6" t="n">
        <f aca="false">SUM(Headline!BW30:CH30)</f>
        <v>33.6</v>
      </c>
      <c r="J30" s="6" t="n">
        <f aca="false">SUM(Headline!CI30:CT30)</f>
        <v>33.6</v>
      </c>
      <c r="K30" s="6" t="n">
        <f aca="false">SUM(Headline!CU30:DF30)</f>
        <v>33.6</v>
      </c>
      <c r="L30" s="6" t="n">
        <f aca="false">SUM(Headline!DG30:DR30)</f>
        <v>33.6</v>
      </c>
    </row>
    <row r="31" customFormat="false" ht="15" hidden="false" customHeight="false" outlineLevel="0" collapsed="false">
      <c r="A31" s="2" t="s">
        <v>200</v>
      </c>
      <c r="B31" s="6" t="n">
        <f aca="false">Headline!B31</f>
        <v>0</v>
      </c>
      <c r="C31" s="6" t="n">
        <f aca="false">SUM(Headline!C31:N31)</f>
        <v>40.2</v>
      </c>
      <c r="D31" s="6" t="n">
        <f aca="false">SUM(Headline!O31:Z31)</f>
        <v>40.2</v>
      </c>
      <c r="E31" s="6" t="n">
        <f aca="false">SUM(Headline!AA31:AL31)</f>
        <v>40.2</v>
      </c>
      <c r="F31" s="6" t="n">
        <f aca="false">SUM(Headline!AM31:AX31)</f>
        <v>40.2</v>
      </c>
      <c r="G31" s="6" t="n">
        <f aca="false">SUM(Headline!AY31:BJ31)</f>
        <v>40.2</v>
      </c>
      <c r="H31" s="6" t="n">
        <f aca="false">SUM(Headline!BK31:BV31)</f>
        <v>40.2</v>
      </c>
      <c r="I31" s="6" t="n">
        <f aca="false">SUM(Headline!BW31:CH31)</f>
        <v>40.2</v>
      </c>
      <c r="J31" s="6" t="n">
        <f aca="false">SUM(Headline!CI31:CT31)</f>
        <v>40.2</v>
      </c>
      <c r="K31" s="6" t="n">
        <f aca="false">SUM(Headline!CU31:DF31)</f>
        <v>40.2</v>
      </c>
      <c r="L31" s="6" t="n">
        <f aca="false">SUM(Headline!DG31:DR31)</f>
        <v>40.2</v>
      </c>
    </row>
    <row r="32" customFormat="false" ht="15" hidden="false" customHeight="false" outlineLevel="0" collapsed="false">
      <c r="A32" s="2" t="s">
        <v>201</v>
      </c>
      <c r="B32" s="6" t="n">
        <f aca="false">Headline!B32</f>
        <v>0</v>
      </c>
      <c r="C32" s="6" t="n">
        <f aca="false">SUM(Headline!C32:N32)</f>
        <v>7</v>
      </c>
      <c r="D32" s="6" t="n">
        <f aca="false">SUM(Headline!O32:Z32)</f>
        <v>0</v>
      </c>
      <c r="E32" s="6" t="n">
        <f aca="false">SUM(Headline!AA32:AL32)</f>
        <v>0</v>
      </c>
      <c r="F32" s="6" t="n">
        <f aca="false">SUM(Headline!AM32:AX32)</f>
        <v>0</v>
      </c>
      <c r="G32" s="6" t="n">
        <f aca="false">SUM(Headline!AY32:BJ32)</f>
        <v>0</v>
      </c>
      <c r="H32" s="6" t="n">
        <f aca="false">SUM(Headline!BK32:BV32)</f>
        <v>0</v>
      </c>
      <c r="I32" s="6" t="n">
        <f aca="false">SUM(Headline!BW32:CH32)</f>
        <v>0</v>
      </c>
      <c r="J32" s="6" t="n">
        <f aca="false">SUM(Headline!CI32:CT32)</f>
        <v>0</v>
      </c>
      <c r="K32" s="6" t="n">
        <f aca="false">SUM(Headline!CU32:DF32)</f>
        <v>0</v>
      </c>
      <c r="L32" s="6" t="n">
        <f aca="false">SUM(Headline!DG32:DR32)</f>
        <v>0</v>
      </c>
    </row>
    <row r="33" customFormat="false" ht="15" hidden="false" customHeight="false" outlineLevel="0" collapsed="false">
      <c r="A33" s="2" t="s">
        <v>202</v>
      </c>
      <c r="B33" s="6" t="n">
        <f aca="false">Headline!B33</f>
        <v>0</v>
      </c>
      <c r="C33" s="6" t="n">
        <f aca="false">SUM(Headline!C33:N33)</f>
        <v>47.2</v>
      </c>
      <c r="D33" s="6" t="n">
        <f aca="false">SUM(Headline!O33:Z33)</f>
        <v>40.2</v>
      </c>
      <c r="E33" s="6" t="n">
        <f aca="false">SUM(Headline!AA33:AL33)</f>
        <v>40.2</v>
      </c>
      <c r="F33" s="6" t="n">
        <f aca="false">SUM(Headline!AM33:AX33)</f>
        <v>40.2</v>
      </c>
      <c r="G33" s="6" t="n">
        <f aca="false">SUM(Headline!AY33:BJ33)</f>
        <v>40.2</v>
      </c>
      <c r="H33" s="6" t="n">
        <f aca="false">SUM(Headline!BK33:BV33)</f>
        <v>40.2</v>
      </c>
      <c r="I33" s="6" t="n">
        <f aca="false">SUM(Headline!BW33:CH33)</f>
        <v>40.2</v>
      </c>
      <c r="J33" s="6" t="n">
        <f aca="false">SUM(Headline!CI33:CT33)</f>
        <v>40.2</v>
      </c>
      <c r="K33" s="6" t="n">
        <f aca="false">SUM(Headline!CU33:DF33)</f>
        <v>40.2</v>
      </c>
      <c r="L33" s="6" t="n">
        <f aca="false">SUM(Headline!DG33:DR33)</f>
        <v>40.2</v>
      </c>
    </row>
    <row r="34" customFormat="false" ht="15" hidden="false" customHeight="false" outlineLevel="0" collapsed="false">
      <c r="A34" s="2" t="s">
        <v>203</v>
      </c>
      <c r="B34" s="6" t="n">
        <f aca="false">Headline!B34</f>
        <v>0</v>
      </c>
      <c r="C34" s="6" t="n">
        <f aca="false">SUM(Headline!C34:N34)</f>
        <v>36.8</v>
      </c>
      <c r="D34" s="6" t="n">
        <f aca="false">SUM(Headline!O34:Z34)</f>
        <v>43.8</v>
      </c>
      <c r="E34" s="6" t="n">
        <f aca="false">SUM(Headline!AA34:AL34)</f>
        <v>43.8</v>
      </c>
      <c r="F34" s="6" t="n">
        <f aca="false">SUM(Headline!AM34:AX34)</f>
        <v>43.8</v>
      </c>
      <c r="G34" s="6" t="n">
        <f aca="false">SUM(Headline!AY34:BJ34)</f>
        <v>43.8</v>
      </c>
      <c r="H34" s="6" t="n">
        <f aca="false">SUM(Headline!BK34:BV34)</f>
        <v>43.8</v>
      </c>
      <c r="I34" s="6" t="n">
        <f aca="false">SUM(Headline!BW34:CH34)</f>
        <v>43.8</v>
      </c>
      <c r="J34" s="6" t="n">
        <f aca="false">SUM(Headline!CI34:CT34)</f>
        <v>43.8</v>
      </c>
      <c r="K34" s="6" t="n">
        <f aca="false">SUM(Headline!CU34:DF34)</f>
        <v>43.8</v>
      </c>
      <c r="L34" s="6" t="n">
        <f aca="false">SUM(Headline!DG34:DR34)</f>
        <v>43.8</v>
      </c>
    </row>
    <row r="35" customFormat="false" ht="15" hidden="false" customHeight="false" outlineLevel="0" collapsed="false">
      <c r="A35" s="16" t="s">
        <v>204</v>
      </c>
      <c r="B35" s="17" t="n">
        <f aca="false">Headline!B35</f>
        <v>0</v>
      </c>
      <c r="C35" s="17" t="n">
        <f aca="false">SUM(Headline!C35:N35)</f>
        <v>204.8</v>
      </c>
      <c r="D35" s="17" t="n">
        <f aca="false">SUM(Headline!O35:Z35)</f>
        <v>211.8</v>
      </c>
      <c r="E35" s="17" t="n">
        <f aca="false">SUM(Headline!AA35:AL35)</f>
        <v>211.8</v>
      </c>
      <c r="F35" s="17" t="n">
        <f aca="false">SUM(Headline!AM35:AX35)</f>
        <v>211.8</v>
      </c>
      <c r="G35" s="17" t="n">
        <f aca="false">SUM(Headline!AY35:BJ35)</f>
        <v>211.8</v>
      </c>
      <c r="H35" s="17" t="n">
        <f aca="false">SUM(Headline!BK35:BV35)</f>
        <v>211.8</v>
      </c>
      <c r="I35" s="17" t="n">
        <f aca="false">SUM(Headline!BW35:CH35)</f>
        <v>211.8</v>
      </c>
      <c r="J35" s="17" t="n">
        <f aca="false">SUM(Headline!CI35:CT35)</f>
        <v>211.8</v>
      </c>
      <c r="K35" s="17" t="n">
        <f aca="false">SUM(Headline!CU35:DF35)</f>
        <v>211.8</v>
      </c>
      <c r="L35" s="17" t="n">
        <f aca="false">SUM(Headline!DG35:DR35)</f>
        <v>211.8</v>
      </c>
    </row>
    <row r="36" customFormat="false" ht="15" hidden="false" customHeight="false" outlineLevel="0" collapsed="false">
      <c r="A36" s="2" t="s">
        <v>205</v>
      </c>
      <c r="B36" s="6" t="n">
        <f aca="false">Headline!B36</f>
        <v>0</v>
      </c>
      <c r="C36" s="6" t="n">
        <f aca="false">SUM(Headline!C36:N36)</f>
        <v>43</v>
      </c>
      <c r="D36" s="6" t="n">
        <f aca="false">SUM(Headline!O36:Z36)</f>
        <v>0</v>
      </c>
      <c r="E36" s="6" t="n">
        <f aca="false">SUM(Headline!AA36:AL36)</f>
        <v>0</v>
      </c>
      <c r="F36" s="6" t="n">
        <f aca="false">SUM(Headline!AM36:AX36)</f>
        <v>0</v>
      </c>
      <c r="G36" s="6" t="n">
        <f aca="false">SUM(Headline!AY36:BJ36)</f>
        <v>0</v>
      </c>
      <c r="H36" s="6" t="n">
        <f aca="false">SUM(Headline!BK36:BV36)</f>
        <v>0</v>
      </c>
      <c r="I36" s="6" t="n">
        <f aca="false">SUM(Headline!BW36:CH36)</f>
        <v>0</v>
      </c>
      <c r="J36" s="6" t="n">
        <f aca="false">SUM(Headline!CI36:CT36)</f>
        <v>0</v>
      </c>
      <c r="K36" s="6" t="n">
        <f aca="false">SUM(Headline!CU36:DF36)</f>
        <v>0</v>
      </c>
      <c r="L36" s="6" t="n">
        <f aca="false">SUM(Headline!DG36:DR36)</f>
        <v>0</v>
      </c>
    </row>
    <row r="37" customFormat="false" ht="15" hidden="false" customHeight="false" outlineLevel="0" collapsed="false">
      <c r="A37" s="2" t="s">
        <v>206</v>
      </c>
      <c r="B37" s="6" t="n">
        <f aca="false">Headline!B37</f>
        <v>0</v>
      </c>
      <c r="C37" s="6" t="n">
        <f aca="false">SUM(Headline!C37:N37)</f>
        <v>0</v>
      </c>
      <c r="D37" s="6" t="n">
        <f aca="false">SUM(Headline!O37:Z37)</f>
        <v>4.2</v>
      </c>
      <c r="E37" s="6" t="n">
        <f aca="false">SUM(Headline!AA37:AL37)</f>
        <v>4.2</v>
      </c>
      <c r="F37" s="6" t="n">
        <f aca="false">SUM(Headline!AM37:AX37)</f>
        <v>4.2</v>
      </c>
      <c r="G37" s="6" t="n">
        <f aca="false">SUM(Headline!AY37:BJ37)</f>
        <v>4.2</v>
      </c>
      <c r="H37" s="6" t="n">
        <f aca="false">SUM(Headline!BK37:BV37)</f>
        <v>4.2</v>
      </c>
      <c r="I37" s="6" t="n">
        <f aca="false">SUM(Headline!BW37:CH37)</f>
        <v>4.2</v>
      </c>
      <c r="J37" s="6" t="n">
        <f aca="false">SUM(Headline!CI37:CT37)</f>
        <v>4.2</v>
      </c>
      <c r="K37" s="6" t="n">
        <f aca="false">SUM(Headline!CU37:DF37)</f>
        <v>4.2</v>
      </c>
      <c r="L37" s="6" t="n">
        <f aca="false">SUM(Headline!DG37:DR37)</f>
        <v>4.2</v>
      </c>
    </row>
    <row r="38" customFormat="false" ht="15" hidden="false" customHeight="false" outlineLevel="0" collapsed="false">
      <c r="A38" s="2" t="s">
        <v>207</v>
      </c>
      <c r="B38" s="6" t="n">
        <f aca="false">Headline!B38</f>
        <v>0</v>
      </c>
      <c r="C38" s="6" t="n">
        <f aca="false">SUM(Headline!C38:N38)</f>
        <v>43</v>
      </c>
      <c r="D38" s="6" t="n">
        <f aca="false">SUM(Headline!O38:Z38)</f>
        <v>4.2</v>
      </c>
      <c r="E38" s="6" t="n">
        <f aca="false">SUM(Headline!AA38:AL38)</f>
        <v>4.2</v>
      </c>
      <c r="F38" s="6" t="n">
        <f aca="false">SUM(Headline!AM38:AX38)</f>
        <v>4.2</v>
      </c>
      <c r="G38" s="6" t="n">
        <f aca="false">SUM(Headline!AY38:BJ38)</f>
        <v>4.2</v>
      </c>
      <c r="H38" s="6" t="n">
        <f aca="false">SUM(Headline!BK38:BV38)</f>
        <v>4.2</v>
      </c>
      <c r="I38" s="6" t="n">
        <f aca="false">SUM(Headline!BW38:CH38)</f>
        <v>4.2</v>
      </c>
      <c r="J38" s="6" t="n">
        <f aca="false">SUM(Headline!CI38:CT38)</f>
        <v>4.2</v>
      </c>
      <c r="K38" s="6" t="n">
        <f aca="false">SUM(Headline!CU38:DF38)</f>
        <v>4.2</v>
      </c>
      <c r="L38" s="6" t="n">
        <f aca="false">SUM(Headline!DG38:DR38)</f>
        <v>4.2</v>
      </c>
    </row>
    <row r="39" customFormat="false" ht="15" hidden="false" customHeight="false" outlineLevel="0" collapsed="false">
      <c r="A39" s="2" t="s">
        <v>40</v>
      </c>
      <c r="B39" s="6" t="n">
        <f aca="false">Headline!B39</f>
        <v>0</v>
      </c>
      <c r="C39" s="6" t="n">
        <f aca="false">SUM(Headline!C39:N39)</f>
        <v>4.65833333333333</v>
      </c>
      <c r="D39" s="6" t="n">
        <f aca="false">SUM(Headline!O39:Z39)</f>
        <v>9.055</v>
      </c>
      <c r="E39" s="6" t="n">
        <f aca="false">SUM(Headline!AA39:AL39)</f>
        <v>9.895</v>
      </c>
      <c r="F39" s="6" t="n">
        <f aca="false">SUM(Headline!AM39:AX39)</f>
        <v>10.735</v>
      </c>
      <c r="G39" s="6" t="n">
        <f aca="false">SUM(Headline!AY39:BJ39)</f>
        <v>11.575</v>
      </c>
      <c r="H39" s="6" t="n">
        <f aca="false">SUM(Headline!BK39:BV39)</f>
        <v>7.75666666666667</v>
      </c>
      <c r="I39" s="6" t="n">
        <f aca="false">SUM(Headline!BW39:CH39)</f>
        <v>4.2</v>
      </c>
      <c r="J39" s="6" t="n">
        <f aca="false">SUM(Headline!CI39:CT39)</f>
        <v>4.2</v>
      </c>
      <c r="K39" s="6" t="n">
        <f aca="false">SUM(Headline!CU39:DF39)</f>
        <v>4.2</v>
      </c>
      <c r="L39" s="6" t="n">
        <f aca="false">SUM(Headline!DG39:DR39)</f>
        <v>4.2</v>
      </c>
    </row>
    <row r="40" customFormat="false" ht="15" hidden="false" customHeight="false" outlineLevel="0" collapsed="false">
      <c r="A40" s="2" t="s">
        <v>208</v>
      </c>
      <c r="B40" s="6" t="n">
        <f aca="false">Headline!B40</f>
        <v>0</v>
      </c>
      <c r="C40" s="6" t="n">
        <f aca="false">SUM(Headline!C40:N40)</f>
        <v>200.141666666667</v>
      </c>
      <c r="D40" s="6" t="n">
        <f aca="false">SUM(Headline!O40:Z40)</f>
        <v>202.745</v>
      </c>
      <c r="E40" s="6" t="n">
        <f aca="false">SUM(Headline!AA40:AL40)</f>
        <v>201.905</v>
      </c>
      <c r="F40" s="6" t="n">
        <f aca="false">SUM(Headline!AM40:AX40)</f>
        <v>201.065</v>
      </c>
      <c r="G40" s="6" t="n">
        <f aca="false">SUM(Headline!AY40:BJ40)</f>
        <v>200.225</v>
      </c>
      <c r="H40" s="6" t="n">
        <f aca="false">SUM(Headline!BK40:BV40)</f>
        <v>204.043333333333</v>
      </c>
      <c r="I40" s="6" t="n">
        <f aca="false">SUM(Headline!BW40:CH40)</f>
        <v>207.6</v>
      </c>
      <c r="J40" s="6" t="n">
        <f aca="false">SUM(Headline!CI40:CT40)</f>
        <v>207.6</v>
      </c>
      <c r="K40" s="6" t="n">
        <f aca="false">SUM(Headline!CU40:DF40)</f>
        <v>207.6</v>
      </c>
      <c r="L40" s="6" t="n">
        <f aca="false">SUM(Headline!DG40:DR40)</f>
        <v>207.6</v>
      </c>
    </row>
    <row r="41" customFormat="false" ht="15" hidden="false" customHeight="false" outlineLevel="0" collapsed="false">
      <c r="A41" s="2" t="s">
        <v>209</v>
      </c>
      <c r="B41" s="6" t="n">
        <f aca="false">Headline!B41</f>
        <v>0</v>
      </c>
      <c r="C41" s="6" t="n">
        <f aca="false">SUM(Headline!C41:N41)</f>
        <v>60.0425</v>
      </c>
      <c r="D41" s="6" t="n">
        <f aca="false">SUM(Headline!O41:Z41)</f>
        <v>60.8235</v>
      </c>
      <c r="E41" s="6" t="n">
        <f aca="false">SUM(Headline!AA41:AL41)</f>
        <v>60.5715</v>
      </c>
      <c r="F41" s="6" t="n">
        <f aca="false">SUM(Headline!AM41:AX41)</f>
        <v>60.3195</v>
      </c>
      <c r="G41" s="6" t="n">
        <f aca="false">SUM(Headline!AY41:BJ41)</f>
        <v>60.0675</v>
      </c>
      <c r="H41" s="6" t="n">
        <f aca="false">SUM(Headline!BK41:BV41)</f>
        <v>61.213</v>
      </c>
      <c r="I41" s="6" t="n">
        <f aca="false">SUM(Headline!BW41:CH41)</f>
        <v>62.28</v>
      </c>
      <c r="J41" s="6" t="n">
        <f aca="false">SUM(Headline!CI41:CT41)</f>
        <v>62.28</v>
      </c>
      <c r="K41" s="6" t="n">
        <f aca="false">SUM(Headline!CU41:DF41)</f>
        <v>62.28</v>
      </c>
      <c r="L41" s="6" t="n">
        <f aca="false">SUM(Headline!DG41:DR41)</f>
        <v>62.28</v>
      </c>
    </row>
    <row r="42" customFormat="false" ht="15" hidden="false" customHeight="false" outlineLevel="0" collapsed="false">
      <c r="A42" s="16" t="s">
        <v>210</v>
      </c>
      <c r="B42" s="17" t="n">
        <f aca="false">Headline!B42</f>
        <v>0</v>
      </c>
      <c r="C42" s="17" t="n">
        <f aca="false">SUM(Headline!C42:N42)</f>
        <v>140.099166666667</v>
      </c>
      <c r="D42" s="17" t="n">
        <f aca="false">SUM(Headline!O42:Z42)</f>
        <v>141.9215</v>
      </c>
      <c r="E42" s="17" t="n">
        <f aca="false">SUM(Headline!AA42:AL42)</f>
        <v>141.3335</v>
      </c>
      <c r="F42" s="17" t="n">
        <f aca="false">SUM(Headline!AM42:AX42)</f>
        <v>140.7455</v>
      </c>
      <c r="G42" s="17" t="n">
        <f aca="false">SUM(Headline!AY42:BJ42)</f>
        <v>140.1575</v>
      </c>
      <c r="H42" s="17" t="n">
        <f aca="false">SUM(Headline!BK42:BV42)</f>
        <v>142.830333333333</v>
      </c>
      <c r="I42" s="17" t="n">
        <f aca="false">SUM(Headline!BW42:CH42)</f>
        <v>145.32</v>
      </c>
      <c r="J42" s="17" t="n">
        <f aca="false">SUM(Headline!CI42:CT42)</f>
        <v>145.32</v>
      </c>
      <c r="K42" s="17" t="n">
        <f aca="false">SUM(Headline!CU42:DF42)</f>
        <v>145.32</v>
      </c>
      <c r="L42" s="17" t="n">
        <f aca="false">SUM(Headline!DG42:DR42)</f>
        <v>145.32</v>
      </c>
    </row>
    <row r="43" customFormat="false" ht="15" hidden="false" customHeight="false" outlineLevel="0" collapsed="false">
      <c r="A43" s="2" t="s">
        <v>211</v>
      </c>
      <c r="B43" s="6" t="n">
        <f aca="false">Headline!B43</f>
        <v>0</v>
      </c>
      <c r="C43" s="6" t="n">
        <f aca="false">Headline!N43</f>
        <v>0</v>
      </c>
      <c r="D43" s="6" t="n">
        <f aca="false">Headline!Z43</f>
        <v>0</v>
      </c>
      <c r="E43" s="6" t="n">
        <f aca="false">Headline!AL43</f>
        <v>0</v>
      </c>
      <c r="F43" s="6" t="n">
        <f aca="false">Headline!AX43</f>
        <v>0</v>
      </c>
      <c r="G43" s="6" t="n">
        <f aca="false">Headline!BJ43</f>
        <v>0</v>
      </c>
      <c r="H43" s="6" t="n">
        <f aca="false">Headline!BV43</f>
        <v>0</v>
      </c>
      <c r="I43" s="6" t="n">
        <f aca="false">Headline!CH43</f>
        <v>0</v>
      </c>
      <c r="J43" s="6" t="n">
        <f aca="false">Headline!CT43</f>
        <v>0</v>
      </c>
      <c r="K43" s="6" t="n">
        <f aca="false">Headline!DF43</f>
        <v>0</v>
      </c>
      <c r="L43" s="6" t="n">
        <f aca="false">Headline!DR43</f>
        <v>0</v>
      </c>
    </row>
    <row r="44" customFormat="false" ht="15" hidden="false" customHeight="false" outlineLevel="0" collapsed="false">
      <c r="A44" s="2" t="s">
        <v>212</v>
      </c>
      <c r="B44" s="6" t="n">
        <f aca="false">Headline!B44</f>
        <v>0</v>
      </c>
      <c r="C44" s="6" t="n">
        <f aca="false">SUM(Headline!C44:N44)</f>
        <v>0</v>
      </c>
      <c r="D44" s="6" t="n">
        <f aca="false">SUM(Headline!O44:Z44)</f>
        <v>0</v>
      </c>
      <c r="E44" s="6" t="n">
        <f aca="false">SUM(Headline!AA44:AL44)</f>
        <v>0</v>
      </c>
      <c r="F44" s="6" t="n">
        <f aca="false">SUM(Headline!AM44:AX44)</f>
        <v>0</v>
      </c>
      <c r="G44" s="6" t="n">
        <f aca="false">SUM(Headline!AY44:BJ44)</f>
        <v>0</v>
      </c>
      <c r="H44" s="6" t="n">
        <f aca="false">SUM(Headline!BK44:BV44)</f>
        <v>0</v>
      </c>
      <c r="I44" s="6" t="n">
        <f aca="false">SUM(Headline!BW44:CH44)</f>
        <v>0</v>
      </c>
      <c r="J44" s="6" t="n">
        <f aca="false">SUM(Headline!CI44:CT44)</f>
        <v>0</v>
      </c>
      <c r="K44" s="6" t="n">
        <f aca="false">SUM(Headline!CU44:DF44)</f>
        <v>0</v>
      </c>
      <c r="L44" s="6" t="n">
        <f aca="false">SUM(Headline!DG44:DR44)</f>
        <v>0</v>
      </c>
    </row>
    <row r="45" customFormat="false" ht="15" hidden="false" customHeight="false" outlineLevel="0" collapsed="false">
      <c r="A45" s="16" t="s">
        <v>213</v>
      </c>
      <c r="B45" s="17" t="n">
        <f aca="false">Headline!B45</f>
        <v>0</v>
      </c>
      <c r="C45" s="17" t="n">
        <f aca="false">SUM(Headline!C45:N45)</f>
        <v>144.7575</v>
      </c>
      <c r="D45" s="17" t="n">
        <f aca="false">SUM(Headline!O45:Z45)</f>
        <v>150.9765</v>
      </c>
      <c r="E45" s="17" t="n">
        <f aca="false">SUM(Headline!AA45:AL45)</f>
        <v>151.2285</v>
      </c>
      <c r="F45" s="17" t="n">
        <f aca="false">SUM(Headline!AM45:AX45)</f>
        <v>151.4805</v>
      </c>
      <c r="G45" s="17" t="n">
        <f aca="false">SUM(Headline!AY45:BJ45)</f>
        <v>151.7325</v>
      </c>
      <c r="H45" s="17" t="n">
        <f aca="false">SUM(Headline!BK45:BV45)</f>
        <v>150.587</v>
      </c>
      <c r="I45" s="17" t="n">
        <f aca="false">SUM(Headline!BW45:CH45)</f>
        <v>149.52</v>
      </c>
      <c r="J45" s="17" t="n">
        <f aca="false">SUM(Headline!CI45:CT45)</f>
        <v>149.52</v>
      </c>
      <c r="K45" s="17" t="n">
        <f aca="false">SUM(Headline!CU45:DF45)</f>
        <v>149.52</v>
      </c>
      <c r="L45" s="17" t="n">
        <f aca="false">SUM(Headline!DG45:DR45)</f>
        <v>149.52</v>
      </c>
    </row>
    <row r="46" customFormat="false" ht="15" hidden="false" customHeight="false" outlineLevel="0" collapsed="false">
      <c r="A46" s="2" t="s">
        <v>214</v>
      </c>
      <c r="B46" s="6" t="n">
        <f aca="false">Headline!B46</f>
        <v>-0</v>
      </c>
      <c r="C46" s="6" t="n">
        <f aca="false">SUM(Headline!C46:N46)</f>
        <v>-43</v>
      </c>
      <c r="D46" s="6" t="n">
        <f aca="false">SUM(Headline!O46:Z46)</f>
        <v>-4.2</v>
      </c>
      <c r="E46" s="6" t="n">
        <f aca="false">SUM(Headline!AA46:AL46)</f>
        <v>-4.2</v>
      </c>
      <c r="F46" s="6" t="n">
        <f aca="false">SUM(Headline!AM46:AX46)</f>
        <v>-4.2</v>
      </c>
      <c r="G46" s="6" t="n">
        <f aca="false">SUM(Headline!AY46:BJ46)</f>
        <v>-4.2</v>
      </c>
      <c r="H46" s="6" t="n">
        <f aca="false">SUM(Headline!BK46:BV46)</f>
        <v>-4.2</v>
      </c>
      <c r="I46" s="6" t="n">
        <f aca="false">SUM(Headline!BW46:CH46)</f>
        <v>-4.2</v>
      </c>
      <c r="J46" s="6" t="n">
        <f aca="false">SUM(Headline!CI46:CT46)</f>
        <v>-4.2</v>
      </c>
      <c r="K46" s="6" t="n">
        <f aca="false">SUM(Headline!CU46:DF46)</f>
        <v>-4.2</v>
      </c>
      <c r="L46" s="6" t="n">
        <f aca="false">SUM(Headline!DG46:DR46)</f>
        <v>-4.2</v>
      </c>
    </row>
    <row r="47" customFormat="false" ht="15" hidden="false" customHeight="false" outlineLevel="0" collapsed="false">
      <c r="A47" s="2" t="s">
        <v>215</v>
      </c>
      <c r="B47" s="6" t="n">
        <f aca="false">Headline!B47</f>
        <v>50</v>
      </c>
      <c r="C47" s="6" t="n">
        <f aca="false">SUM(Headline!C47:N47)</f>
        <v>0</v>
      </c>
      <c r="D47" s="6" t="n">
        <f aca="false">SUM(Headline!O47:Z47)</f>
        <v>0</v>
      </c>
      <c r="E47" s="6" t="n">
        <f aca="false">SUM(Headline!AA47:AL47)</f>
        <v>0</v>
      </c>
      <c r="F47" s="6" t="n">
        <f aca="false">SUM(Headline!AM47:AX47)</f>
        <v>0</v>
      </c>
      <c r="G47" s="6" t="n">
        <f aca="false">SUM(Headline!AY47:BJ47)</f>
        <v>0</v>
      </c>
      <c r="H47" s="6" t="n">
        <f aca="false">SUM(Headline!BK47:BV47)</f>
        <v>0</v>
      </c>
      <c r="I47" s="6" t="n">
        <f aca="false">SUM(Headline!BW47:CH47)</f>
        <v>0</v>
      </c>
      <c r="J47" s="6" t="n">
        <f aca="false">SUM(Headline!CI47:CT47)</f>
        <v>0</v>
      </c>
      <c r="K47" s="6" t="n">
        <f aca="false">SUM(Headline!CU47:DF47)</f>
        <v>0</v>
      </c>
      <c r="L47" s="6" t="n">
        <f aca="false">SUM(Headline!DG47:DR47)</f>
        <v>0</v>
      </c>
    </row>
    <row r="48" customFormat="false" ht="15" hidden="false" customHeight="false" outlineLevel="0" collapsed="false">
      <c r="A48" s="2" t="s">
        <v>216</v>
      </c>
      <c r="B48" s="6" t="n">
        <f aca="false">Headline!B48</f>
        <v>0</v>
      </c>
      <c r="C48" s="6" t="n">
        <f aca="false">SUM(Headline!C48:N48)</f>
        <v>168</v>
      </c>
      <c r="D48" s="6" t="n">
        <f aca="false">SUM(Headline!O48:Z48)</f>
        <v>168</v>
      </c>
      <c r="E48" s="6" t="n">
        <f aca="false">SUM(Headline!AA48:AL48)</f>
        <v>168</v>
      </c>
      <c r="F48" s="6" t="n">
        <f aca="false">SUM(Headline!AM48:AX48)</f>
        <v>168</v>
      </c>
      <c r="G48" s="6" t="n">
        <f aca="false">SUM(Headline!AY48:BJ48)</f>
        <v>168</v>
      </c>
      <c r="H48" s="6" t="n">
        <f aca="false">SUM(Headline!BK48:BV48)</f>
        <v>168</v>
      </c>
      <c r="I48" s="6" t="n">
        <f aca="false">SUM(Headline!BW48:CH48)</f>
        <v>168</v>
      </c>
      <c r="J48" s="6" t="n">
        <f aca="false">SUM(Headline!CI48:CT48)</f>
        <v>168</v>
      </c>
      <c r="K48" s="6" t="n">
        <f aca="false">SUM(Headline!CU48:DF48)</f>
        <v>168</v>
      </c>
      <c r="L48" s="6" t="n">
        <f aca="false">SUM(Headline!DG48:DR48)</f>
        <v>168</v>
      </c>
    </row>
    <row r="49" customFormat="false" ht="15" hidden="false" customHeight="false" outlineLevel="0" collapsed="false">
      <c r="A49" s="2" t="s">
        <v>217</v>
      </c>
      <c r="B49" s="6" t="n">
        <f aca="false">Headline!B49</f>
        <v>50</v>
      </c>
      <c r="C49" s="6" t="n">
        <f aca="false">SUM(Headline!C49:N49)</f>
        <v>-168</v>
      </c>
      <c r="D49" s="6" t="n">
        <f aca="false">SUM(Headline!O49:Z49)</f>
        <v>-168</v>
      </c>
      <c r="E49" s="6" t="n">
        <f aca="false">SUM(Headline!AA49:AL49)</f>
        <v>-168</v>
      </c>
      <c r="F49" s="6" t="n">
        <f aca="false">SUM(Headline!AM49:AX49)</f>
        <v>-168</v>
      </c>
      <c r="G49" s="6" t="n">
        <f aca="false">SUM(Headline!AY49:BJ49)</f>
        <v>-168</v>
      </c>
      <c r="H49" s="6" t="n">
        <f aca="false">SUM(Headline!BK49:BV49)</f>
        <v>-168</v>
      </c>
      <c r="I49" s="6" t="n">
        <f aca="false">SUM(Headline!BW49:CH49)</f>
        <v>-168</v>
      </c>
      <c r="J49" s="6" t="n">
        <f aca="false">SUM(Headline!CI49:CT49)</f>
        <v>-168</v>
      </c>
      <c r="K49" s="6" t="n">
        <f aca="false">SUM(Headline!CU49:DF49)</f>
        <v>-168</v>
      </c>
      <c r="L49" s="6" t="n">
        <f aca="false">SUM(Headline!DG49:DR49)</f>
        <v>-168</v>
      </c>
    </row>
    <row r="50" customFormat="false" ht="15" hidden="false" customHeight="false" outlineLevel="0" collapsed="false">
      <c r="A50" s="2" t="s">
        <v>218</v>
      </c>
      <c r="B50" s="6" t="n">
        <f aca="false">Headline!B50</f>
        <v>50</v>
      </c>
      <c r="C50" s="6" t="n">
        <f aca="false">SUM(Headline!C50:N50)</f>
        <v>-66.2425</v>
      </c>
      <c r="D50" s="6" t="n">
        <f aca="false">SUM(Headline!O50:Z50)</f>
        <v>-21.2235</v>
      </c>
      <c r="E50" s="6" t="n">
        <f aca="false">SUM(Headline!AA50:AL50)</f>
        <v>-20.9715</v>
      </c>
      <c r="F50" s="6" t="n">
        <f aca="false">SUM(Headline!AM50:AX50)</f>
        <v>-20.7195</v>
      </c>
      <c r="G50" s="6" t="n">
        <f aca="false">SUM(Headline!AY50:BJ50)</f>
        <v>-20.4675</v>
      </c>
      <c r="H50" s="6" t="n">
        <f aca="false">SUM(Headline!BK50:BV50)</f>
        <v>-21.613</v>
      </c>
      <c r="I50" s="6" t="n">
        <f aca="false">SUM(Headline!BW50:CH50)</f>
        <v>-22.68</v>
      </c>
      <c r="J50" s="6" t="n">
        <f aca="false">SUM(Headline!CI50:CT50)</f>
        <v>-22.68</v>
      </c>
      <c r="K50" s="6" t="n">
        <f aca="false">SUM(Headline!CU50:DF50)</f>
        <v>-22.68</v>
      </c>
      <c r="L50" s="6" t="n">
        <f aca="false">SUM(Headline!DG50:DR50)</f>
        <v>-22.68</v>
      </c>
    </row>
    <row r="51" customFormat="false" ht="15" hidden="false" customHeight="false" outlineLevel="0" collapsed="false">
      <c r="A51" s="2" t="s">
        <v>219</v>
      </c>
      <c r="B51" s="6" t="n">
        <f aca="false">Headline!B51</f>
        <v>0</v>
      </c>
      <c r="C51" s="6" t="n">
        <f aca="false">Headline!C51</f>
        <v>50</v>
      </c>
      <c r="D51" s="6" t="n">
        <f aca="false">Headline!O51</f>
        <v>-16.2425</v>
      </c>
      <c r="E51" s="6" t="n">
        <f aca="false">Headline!AA51</f>
        <v>-37.466</v>
      </c>
      <c r="F51" s="6" t="n">
        <f aca="false">Headline!AM51</f>
        <v>-58.4375</v>
      </c>
      <c r="G51" s="6" t="n">
        <f aca="false">Headline!AY51</f>
        <v>-79.157</v>
      </c>
      <c r="H51" s="6" t="n">
        <f aca="false">Headline!BK51</f>
        <v>-99.6245</v>
      </c>
      <c r="I51" s="6" t="n">
        <f aca="false">Headline!BW51</f>
        <v>-121.2375</v>
      </c>
      <c r="J51" s="6" t="n">
        <f aca="false">Headline!CI51</f>
        <v>-143.9175</v>
      </c>
      <c r="K51" s="6" t="n">
        <f aca="false">Headline!CU51</f>
        <v>-166.5975</v>
      </c>
      <c r="L51" s="6" t="n">
        <f aca="false">Headline!DG51</f>
        <v>-189.2775</v>
      </c>
    </row>
    <row r="52" customFormat="false" ht="15" hidden="false" customHeight="false" outlineLevel="0" collapsed="false">
      <c r="A52" s="16" t="s">
        <v>220</v>
      </c>
      <c r="B52" s="17" t="n">
        <f aca="false">Headline!B52</f>
        <v>50</v>
      </c>
      <c r="C52" s="17" t="n">
        <f aca="false">Headline!N52</f>
        <v>-16.2425</v>
      </c>
      <c r="D52" s="17" t="n">
        <f aca="false">Headline!Z52</f>
        <v>-37.466</v>
      </c>
      <c r="E52" s="17" t="n">
        <f aca="false">Headline!AL52</f>
        <v>-58.4375</v>
      </c>
      <c r="F52" s="17" t="n">
        <f aca="false">Headline!AX52</f>
        <v>-79.157</v>
      </c>
      <c r="G52" s="17" t="n">
        <f aca="false">Headline!BJ52</f>
        <v>-99.6245</v>
      </c>
      <c r="H52" s="17" t="n">
        <f aca="false">Headline!BV52</f>
        <v>-121.2375</v>
      </c>
      <c r="I52" s="17" t="n">
        <f aca="false">Headline!CH52</f>
        <v>-143.9175</v>
      </c>
      <c r="J52" s="17" t="n">
        <f aca="false">Headline!CT52</f>
        <v>-166.5975</v>
      </c>
      <c r="K52" s="17" t="n">
        <f aca="false">Headline!DF52</f>
        <v>-189.2775</v>
      </c>
      <c r="L52" s="17" t="n">
        <f aca="false">Headline!DR52</f>
        <v>-211.957499999999</v>
      </c>
    </row>
    <row r="53" customFormat="false" ht="15" hidden="false" customHeight="false" outlineLevel="0" collapsed="false">
      <c r="A53" s="16" t="s">
        <v>221</v>
      </c>
      <c r="B53" s="17" t="n">
        <f aca="false">Headline!B53</f>
        <v>0</v>
      </c>
      <c r="C53" s="17" t="n">
        <f aca="false">Headline!N53</f>
        <v>16.2425</v>
      </c>
      <c r="D53" s="17" t="n">
        <f aca="false">Headline!Z53</f>
        <v>37.466</v>
      </c>
      <c r="E53" s="17" t="n">
        <f aca="false">Headline!AL53</f>
        <v>58.4375</v>
      </c>
      <c r="F53" s="17" t="n">
        <f aca="false">Headline!AX53</f>
        <v>79.157</v>
      </c>
      <c r="G53" s="17" t="n">
        <f aca="false">Headline!BJ53</f>
        <v>99.6245</v>
      </c>
      <c r="H53" s="17" t="n">
        <f aca="false">Headline!BV53</f>
        <v>121.2375</v>
      </c>
      <c r="I53" s="17" t="n">
        <f aca="false">Headline!CH53</f>
        <v>143.9175</v>
      </c>
      <c r="J53" s="17" t="n">
        <f aca="false">Headline!CT53</f>
        <v>166.5975</v>
      </c>
      <c r="K53" s="17" t="n">
        <f aca="false">Headline!DF53</f>
        <v>189.2775</v>
      </c>
      <c r="L53" s="17" t="n">
        <f aca="false">Headline!DR53</f>
        <v>211.957499999999</v>
      </c>
    </row>
    <row r="54" customFormat="false" ht="15" hidden="false" customHeight="false" outlineLevel="0" collapsed="false">
      <c r="A54" s="2" t="s">
        <v>222</v>
      </c>
      <c r="B54" s="6" t="n">
        <f aca="false">Headline!B54</f>
        <v>0</v>
      </c>
      <c r="C54" s="6" t="n">
        <f aca="false">Headline!N54</f>
        <v>38.3416666666667</v>
      </c>
      <c r="D54" s="6" t="n">
        <f aca="false">Headline!Z54</f>
        <v>33.4866666666667</v>
      </c>
      <c r="E54" s="6" t="n">
        <f aca="false">Headline!AL54</f>
        <v>27.7916666666667</v>
      </c>
      <c r="F54" s="6" t="n">
        <f aca="false">Headline!AX54</f>
        <v>21.2566666666667</v>
      </c>
      <c r="G54" s="6" t="n">
        <f aca="false">Headline!BJ54</f>
        <v>13.8816666666667</v>
      </c>
      <c r="H54" s="6" t="n">
        <f aca="false">Headline!BV54</f>
        <v>10.3250000000001</v>
      </c>
      <c r="I54" s="6" t="n">
        <f aca="false">Headline!CH54</f>
        <v>10.3250000000001</v>
      </c>
      <c r="J54" s="6" t="n">
        <f aca="false">Headline!CT54</f>
        <v>10.3250000000001</v>
      </c>
      <c r="K54" s="6" t="n">
        <f aca="false">Headline!DF54</f>
        <v>10.3250000000001</v>
      </c>
      <c r="L54" s="6" t="n">
        <f aca="false">Headline!DR54</f>
        <v>10.3250000000001</v>
      </c>
    </row>
    <row r="55" customFormat="false" ht="15" hidden="false" customHeight="false" outlineLevel="0" collapsed="false">
      <c r="A55" s="2" t="s">
        <v>223</v>
      </c>
      <c r="B55" s="6" t="n">
        <f aca="false">Headline!B55</f>
        <v>50</v>
      </c>
      <c r="C55" s="6" t="n">
        <f aca="false">Headline!N55</f>
        <v>50</v>
      </c>
      <c r="D55" s="6" t="n">
        <f aca="false">Headline!Z55</f>
        <v>50</v>
      </c>
      <c r="E55" s="6" t="n">
        <f aca="false">Headline!AL55</f>
        <v>50</v>
      </c>
      <c r="F55" s="6" t="n">
        <f aca="false">Headline!AX55</f>
        <v>50</v>
      </c>
      <c r="G55" s="6" t="n">
        <f aca="false">Headline!BJ55</f>
        <v>50</v>
      </c>
      <c r="H55" s="6" t="n">
        <f aca="false">Headline!BV55</f>
        <v>50</v>
      </c>
      <c r="I55" s="6" t="n">
        <f aca="false">Headline!CH55</f>
        <v>50</v>
      </c>
      <c r="J55" s="6" t="n">
        <f aca="false">Headline!CT55</f>
        <v>50</v>
      </c>
      <c r="K55" s="6" t="n">
        <f aca="false">Headline!DF55</f>
        <v>50</v>
      </c>
      <c r="L55" s="6" t="n">
        <f aca="false">Headline!DR55</f>
        <v>50</v>
      </c>
    </row>
    <row r="56" customFormat="false" ht="15" hidden="false" customHeight="false" outlineLevel="0" collapsed="false">
      <c r="A56" s="2" t="s">
        <v>224</v>
      </c>
      <c r="B56" s="6" t="n">
        <f aca="false">Headline!B56</f>
        <v>0</v>
      </c>
      <c r="C56" s="6" t="n">
        <f aca="false">Headline!N56</f>
        <v>-27.9008333333333</v>
      </c>
      <c r="D56" s="6" t="n">
        <f aca="false">Headline!Z56</f>
        <v>-53.9793333333333</v>
      </c>
      <c r="E56" s="6" t="n">
        <f aca="false">Headline!AL56</f>
        <v>-80.6458333333333</v>
      </c>
      <c r="F56" s="6" t="n">
        <f aca="false">Headline!AX56</f>
        <v>-107.900333333333</v>
      </c>
      <c r="G56" s="6" t="n">
        <f aca="false">Headline!BJ56</f>
        <v>-135.742833333333</v>
      </c>
      <c r="H56" s="6" t="n">
        <f aca="false">Headline!BV56</f>
        <v>-160.9125</v>
      </c>
      <c r="I56" s="6" t="n">
        <f aca="false">Headline!CH56</f>
        <v>-183.5925</v>
      </c>
      <c r="J56" s="6" t="n">
        <f aca="false">Headline!CT56</f>
        <v>-206.2725</v>
      </c>
      <c r="K56" s="6" t="n">
        <f aca="false">Headline!DF56</f>
        <v>-228.9525</v>
      </c>
      <c r="L56" s="6" t="n">
        <f aca="false">Headline!DR56</f>
        <v>-251.632499999999</v>
      </c>
    </row>
    <row r="57" customFormat="false" ht="15" hidden="false" customHeight="false" outlineLevel="0" collapsed="false">
      <c r="A57" s="2" t="s">
        <v>225</v>
      </c>
      <c r="B57" s="6" t="n">
        <f aca="false">Headline!B57</f>
        <v>50</v>
      </c>
      <c r="C57" s="6" t="n">
        <f aca="false">Headline!N57</f>
        <v>22.0991666666667</v>
      </c>
      <c r="D57" s="6" t="n">
        <f aca="false">Headline!Z57</f>
        <v>-3.97933333333332</v>
      </c>
      <c r="E57" s="6" t="n">
        <f aca="false">Headline!AL57</f>
        <v>-30.6458333333333</v>
      </c>
      <c r="F57" s="6" t="n">
        <f aca="false">Headline!AX57</f>
        <v>-57.9003333333333</v>
      </c>
      <c r="G57" s="6" t="n">
        <f aca="false">Headline!BJ57</f>
        <v>-85.7428333333333</v>
      </c>
      <c r="H57" s="6" t="n">
        <f aca="false">Headline!BV57</f>
        <v>-110.9125</v>
      </c>
      <c r="I57" s="6" t="n">
        <f aca="false">Headline!CH57</f>
        <v>-133.5925</v>
      </c>
      <c r="J57" s="6" t="n">
        <f aca="false">Headline!CT57</f>
        <v>-156.2725</v>
      </c>
      <c r="K57" s="6" t="n">
        <f aca="false">Headline!DF57</f>
        <v>-178.9525</v>
      </c>
      <c r="L57" s="6" t="n">
        <f aca="false">Headline!DR57</f>
        <v>-201.632499999999</v>
      </c>
    </row>
    <row r="58" customFormat="false" ht="15" hidden="false" customHeight="false" outlineLevel="0" collapsed="false">
      <c r="A58" s="2" t="s">
        <v>226</v>
      </c>
      <c r="B58" s="6" t="n">
        <f aca="false">Headline!B58</f>
        <v>50</v>
      </c>
      <c r="C58" s="6" t="n">
        <f aca="false">Headline!N58</f>
        <v>22.0991666666667</v>
      </c>
      <c r="D58" s="6" t="n">
        <f aca="false">Headline!Z58</f>
        <v>-3.97933333333334</v>
      </c>
      <c r="E58" s="6" t="n">
        <f aca="false">Headline!AL58</f>
        <v>-30.6458333333333</v>
      </c>
      <c r="F58" s="6" t="n">
        <f aca="false">Headline!AX58</f>
        <v>-57.9003333333334</v>
      </c>
      <c r="G58" s="6" t="n">
        <f aca="false">Headline!BJ58</f>
        <v>-85.7428333333334</v>
      </c>
      <c r="H58" s="6" t="n">
        <f aca="false">Headline!BV58</f>
        <v>-110.9125</v>
      </c>
      <c r="I58" s="6" t="n">
        <f aca="false">Headline!CH58</f>
        <v>-133.5925</v>
      </c>
      <c r="J58" s="6" t="n">
        <f aca="false">Headline!CT58</f>
        <v>-156.2725</v>
      </c>
      <c r="K58" s="6" t="n">
        <f aca="false">Headline!DF58</f>
        <v>-178.9525</v>
      </c>
      <c r="L58" s="6" t="n">
        <f aca="false">Headline!DR58</f>
        <v>-201.632499999999</v>
      </c>
    </row>
    <row r="59" customFormat="false" ht="15" hidden="false" customHeight="false" outlineLevel="0" collapsed="false">
      <c r="A59" s="16" t="s">
        <v>227</v>
      </c>
      <c r="B59" s="17" t="n">
        <f aca="false">Headline!B59</f>
        <v>0</v>
      </c>
      <c r="C59" s="17" t="n">
        <f aca="false">SUM(Headline!C59:N59)</f>
        <v>0</v>
      </c>
      <c r="D59" s="17" t="n">
        <f aca="false">SUM(Headline!O59:Z59)</f>
        <v>1.35003119794419E-013</v>
      </c>
      <c r="E59" s="17" t="n">
        <f aca="false">SUM(Headline!AA59:AL59)</f>
        <v>7.105427357601E-014</v>
      </c>
      <c r="F59" s="17" t="n">
        <f aca="false">SUM(Headline!AM59:AX59)</f>
        <v>0</v>
      </c>
      <c r="G59" s="17" t="n">
        <f aca="false">SUM(Headline!AY59:BJ59)</f>
        <v>0</v>
      </c>
      <c r="H59" s="17" t="n">
        <f aca="false">SUM(Headline!BK59:BV59)</f>
        <v>0</v>
      </c>
      <c r="I59" s="17" t="n">
        <f aca="false">SUM(Headline!BW59:CH59)</f>
        <v>0</v>
      </c>
      <c r="J59" s="17" t="n">
        <f aca="false">SUM(Headline!CI59:CT59)</f>
        <v>0</v>
      </c>
      <c r="K59" s="17" t="n">
        <f aca="false">SUM(Headline!CU59:DF59)</f>
        <v>0</v>
      </c>
      <c r="L59" s="17" t="n">
        <f aca="false">SUM(Headline!DG59:DR59)</f>
        <v>0</v>
      </c>
    </row>
    <row r="60" customFormat="false" ht="15" hidden="false" customHeight="false" outlineLevel="0" collapsed="false">
      <c r="A60" s="2" t="s">
        <v>228</v>
      </c>
      <c r="B60" s="6" t="n">
        <f aca="false">Headline!B60</f>
        <v>0</v>
      </c>
      <c r="C60" s="6" t="n">
        <f aca="false">SUM(Headline!C60:N60)</f>
        <v>0</v>
      </c>
      <c r="D60" s="6" t="n">
        <f aca="false">SUM(Headline!O60:Z60)</f>
        <v>0</v>
      </c>
      <c r="E60" s="6" t="n">
        <f aca="false">SUM(Headline!AA60:AL60)</f>
        <v>0</v>
      </c>
      <c r="F60" s="6" t="n">
        <f aca="false">SUM(Headline!AM60:AX60)</f>
        <v>1.4210854715202E-014</v>
      </c>
      <c r="G60" s="6" t="n">
        <f aca="false">SUM(Headline!AY60:BJ60)</f>
        <v>0</v>
      </c>
      <c r="H60" s="6" t="n">
        <f aca="false">SUM(Headline!BK60:BV60)</f>
        <v>7.105427357601E-015</v>
      </c>
      <c r="I60" s="6" t="n">
        <f aca="false">SUM(Headline!BW60:CH60)</f>
        <v>1.13686837721616E-013</v>
      </c>
      <c r="J60" s="6" t="n">
        <f aca="false">SUM(Headline!CI60:CT60)</f>
        <v>1.70530256582424E-013</v>
      </c>
      <c r="K60" s="6" t="n">
        <f aca="false">SUM(Headline!CU60:DF60)</f>
        <v>1.70530256582424E-013</v>
      </c>
      <c r="L60" s="6" t="n">
        <f aca="false">SUM(Headline!DG60:DR60)</f>
        <v>1.70530256582424E-013</v>
      </c>
    </row>
    <row r="61" customFormat="false" ht="15" hidden="false" customHeight="false" outlineLevel="0" collapsed="false">
      <c r="A61" s="2" t="s">
        <v>229</v>
      </c>
      <c r="B61" s="6" t="n">
        <f aca="false">Headline!B61</f>
        <v>0</v>
      </c>
      <c r="C61" s="6" t="n">
        <f aca="false">SUM(Headline!C61:N61)</f>
        <v>0</v>
      </c>
      <c r="D61" s="6" t="n">
        <f aca="false">SUM(Headline!O61:Z61)</f>
        <v>0</v>
      </c>
      <c r="E61" s="6" t="n">
        <f aca="false">SUM(Headline!AA61:AL61)</f>
        <v>0</v>
      </c>
      <c r="F61" s="6" t="n">
        <f aca="false">SUM(Headline!AM61:AX61)</f>
        <v>0</v>
      </c>
      <c r="G61" s="6" t="n">
        <f aca="false">SUM(Headline!AY61:BJ61)</f>
        <v>0</v>
      </c>
      <c r="H61" s="6" t="n">
        <f aca="false">SUM(Headline!BK61:BV61)</f>
        <v>0</v>
      </c>
      <c r="I61" s="6" t="n">
        <f aca="false">SUM(Headline!BW61:CH61)</f>
        <v>0</v>
      </c>
      <c r="J61" s="6" t="n">
        <f aca="false">SUM(Headline!CI61:CT61)</f>
        <v>0</v>
      </c>
      <c r="K61" s="6" t="n">
        <f aca="false">SUM(Headline!CU61:DF61)</f>
        <v>0</v>
      </c>
      <c r="L61" s="6" t="n">
        <f aca="false">SUM(Headline!DG61:DR61)</f>
        <v>0</v>
      </c>
    </row>
    <row r="62" customFormat="false" ht="15" hidden="false" customHeight="false" outlineLevel="0" collapsed="false">
      <c r="A62" s="16" t="s">
        <v>230</v>
      </c>
      <c r="B62" s="17" t="n">
        <f aca="false">Headline!B62</f>
        <v>-50</v>
      </c>
      <c r="C62" s="17" t="n">
        <f aca="false">SUM(Headline!C62:N62)</f>
        <v>42</v>
      </c>
      <c r="D62" s="17" t="n">
        <f aca="false">SUM(Headline!O62:Z62)</f>
        <v>42</v>
      </c>
      <c r="E62" s="17" t="n">
        <f aca="false">SUM(Headline!AA62:AL62)</f>
        <v>42</v>
      </c>
      <c r="F62" s="17" t="n">
        <f aca="false">SUM(Headline!AM62:AX62)</f>
        <v>42</v>
      </c>
      <c r="G62" s="17" t="n">
        <f aca="false">SUM(Headline!AY62:BJ62)</f>
        <v>42</v>
      </c>
      <c r="H62" s="17" t="n">
        <f aca="false">SUM(Headline!BK62:BV62)</f>
        <v>42</v>
      </c>
      <c r="I62" s="17" t="n">
        <f aca="false">SUM(Headline!BW62:CH62)</f>
        <v>42</v>
      </c>
      <c r="J62" s="17" t="n">
        <f aca="false">SUM(Headline!CI62:CT62)</f>
        <v>42</v>
      </c>
      <c r="K62" s="17" t="n">
        <f aca="false">SUM(Headline!CU62:DF62)</f>
        <v>42</v>
      </c>
      <c r="L62" s="17" t="n">
        <f aca="false">SUM(Headline!DG62:DR62)</f>
        <v>42</v>
      </c>
    </row>
    <row r="63" customFormat="false" ht="15" hidden="false" customHeight="false" outlineLevel="0" collapsed="false">
      <c r="A63" s="2" t="s">
        <v>231</v>
      </c>
      <c r="B63" s="6" t="n">
        <f aca="false">Headline!B63</f>
        <v>-50</v>
      </c>
      <c r="C63" s="6" t="n">
        <f aca="false">Headline!N63</f>
        <v>-8</v>
      </c>
      <c r="D63" s="6" t="n">
        <f aca="false">Headline!Z63</f>
        <v>34</v>
      </c>
      <c r="E63" s="6" t="n">
        <f aca="false">Headline!AL63</f>
        <v>76</v>
      </c>
      <c r="F63" s="6" t="n">
        <f aca="false">Headline!AX63</f>
        <v>118</v>
      </c>
      <c r="G63" s="6" t="n">
        <f aca="false">Headline!BJ63</f>
        <v>160</v>
      </c>
      <c r="H63" s="6" t="n">
        <f aca="false">Headline!BV63</f>
        <v>202</v>
      </c>
      <c r="I63" s="6" t="n">
        <f aca="false">Headline!CH63</f>
        <v>244</v>
      </c>
      <c r="J63" s="6" t="n">
        <f aca="false">Headline!CT63</f>
        <v>286</v>
      </c>
      <c r="K63" s="6" t="n">
        <f aca="false">Headline!DF63</f>
        <v>328</v>
      </c>
      <c r="L63" s="6" t="n">
        <f aca="false">Headline!DR63</f>
        <v>370</v>
      </c>
    </row>
    <row r="64" customFormat="false" ht="15" hidden="false" customHeight="false" outlineLevel="0" collapsed="false">
      <c r="A64" s="2" t="s">
        <v>232</v>
      </c>
      <c r="B64" s="6" t="n">
        <f aca="false">Headline!B64</f>
        <v>0</v>
      </c>
      <c r="C64" s="6" t="n">
        <f aca="false">Headline!N64</f>
        <v>42</v>
      </c>
      <c r="D64" s="6" t="n">
        <f aca="false">Headline!Z64</f>
        <v>84</v>
      </c>
      <c r="E64" s="6" t="n">
        <f aca="false">Headline!AL64</f>
        <v>126</v>
      </c>
      <c r="F64" s="6" t="n">
        <f aca="false">Headline!AX64</f>
        <v>168</v>
      </c>
      <c r="G64" s="6" t="n">
        <f aca="false">Headline!BJ64</f>
        <v>210</v>
      </c>
      <c r="H64" s="6" t="n">
        <f aca="false">Headline!BV64</f>
        <v>252</v>
      </c>
      <c r="I64" s="6" t="n">
        <f aca="false">Headline!CH64</f>
        <v>294</v>
      </c>
      <c r="J64" s="6" t="n">
        <f aca="false">Headline!CT64</f>
        <v>336</v>
      </c>
      <c r="K64" s="6" t="n">
        <f aca="false">Headline!DF64</f>
        <v>378</v>
      </c>
      <c r="L64" s="6" t="n">
        <f aca="false">Headline!DR64</f>
        <v>420</v>
      </c>
    </row>
    <row r="65" customFormat="false" ht="15" hidden="false" customHeight="false" outlineLevel="0" collapsed="false">
      <c r="A65" s="2" t="s">
        <v>233</v>
      </c>
      <c r="B65" s="6" t="n">
        <f aca="false">Headline!B65</f>
        <v>0</v>
      </c>
      <c r="C65" s="6" t="n">
        <f aca="false">SUM(Headline!C65:N65)</f>
        <v>42</v>
      </c>
      <c r="D65" s="6" t="n">
        <f aca="false">SUM(Headline!O65:Z65)</f>
        <v>42</v>
      </c>
      <c r="E65" s="6" t="n">
        <f aca="false">SUM(Headline!AA65:AL65)</f>
        <v>42</v>
      </c>
      <c r="F65" s="6" t="n">
        <f aca="false">SUM(Headline!AM65:AX65)</f>
        <v>42</v>
      </c>
      <c r="G65" s="6" t="n">
        <f aca="false">SUM(Headline!AY65:BJ65)</f>
        <v>42</v>
      </c>
      <c r="H65" s="6" t="n">
        <f aca="false">SUM(Headline!BK65:BV65)</f>
        <v>42</v>
      </c>
      <c r="I65" s="6" t="n">
        <f aca="false">SUM(Headline!BW65:CH65)</f>
        <v>42</v>
      </c>
      <c r="J65" s="6" t="n">
        <f aca="false">SUM(Headline!CI65:CT65)</f>
        <v>42</v>
      </c>
      <c r="K65" s="6" t="n">
        <f aca="false">SUM(Headline!CU65:DF65)</f>
        <v>42</v>
      </c>
      <c r="L65" s="6" t="n">
        <f aca="false">SUM(Headline!DG65:DR65)</f>
        <v>42</v>
      </c>
    </row>
    <row r="66" customFormat="false" ht="15" hidden="false" customHeight="false" outlineLevel="0" collapsed="false">
      <c r="A66" s="2" t="s">
        <v>234</v>
      </c>
      <c r="B66" s="6" t="n">
        <f aca="false">Headline!B66</f>
        <v>0</v>
      </c>
      <c r="C66" s="6" t="n">
        <f aca="false">SUM(Headline!C66:N66)</f>
        <v>0</v>
      </c>
      <c r="D66" s="6" t="n">
        <f aca="false">SUM(Headline!O66:Z66)</f>
        <v>0</v>
      </c>
      <c r="E66" s="6" t="n">
        <f aca="false">SUM(Headline!AA66:AL66)</f>
        <v>0</v>
      </c>
      <c r="F66" s="6" t="n">
        <f aca="false">SUM(Headline!AM66:AX66)</f>
        <v>0</v>
      </c>
      <c r="G66" s="6" t="n">
        <f aca="false">SUM(Headline!AY66:BJ66)</f>
        <v>0</v>
      </c>
      <c r="H66" s="6" t="n">
        <f aca="false">SUM(Headline!BK66:BV66)</f>
        <v>0</v>
      </c>
      <c r="I66" s="6" t="n">
        <f aca="false">SUM(Headline!BW66:CH66)</f>
        <v>0</v>
      </c>
      <c r="J66" s="6" t="n">
        <f aca="false">SUM(Headline!CI66:CT66)</f>
        <v>0</v>
      </c>
      <c r="K66" s="6" t="n">
        <f aca="false">SUM(Headline!CU66:DF66)</f>
        <v>0</v>
      </c>
      <c r="L66" s="6" t="n">
        <f aca="false">SUM(Headline!DG66:DR66)</f>
        <v>0</v>
      </c>
    </row>
    <row r="67" customFormat="false" ht="15" hidden="false" customHeight="false" outlineLevel="0" collapsed="false">
      <c r="A67" s="16" t="s">
        <v>235</v>
      </c>
      <c r="B67" s="17" t="n">
        <f aca="false">Headline!B67</f>
        <v>-50</v>
      </c>
      <c r="C67" s="17" t="n">
        <f aca="false">Headline!N67</f>
        <v>-8</v>
      </c>
      <c r="D67" s="17" t="n">
        <f aca="false">Headline!Z67</f>
        <v>34</v>
      </c>
      <c r="E67" s="17" t="n">
        <f aca="false">Headline!AL67</f>
        <v>76</v>
      </c>
      <c r="F67" s="17" t="n">
        <f aca="false">Headline!AX67</f>
        <v>118</v>
      </c>
      <c r="G67" s="17" t="n">
        <f aca="false">Headline!BJ67</f>
        <v>160</v>
      </c>
      <c r="H67" s="17" t="n">
        <f aca="false">Headline!BV67</f>
        <v>202</v>
      </c>
      <c r="I67" s="17" t="n">
        <f aca="false">Headline!CH67</f>
        <v>244</v>
      </c>
      <c r="J67" s="17" t="n">
        <f aca="false">Headline!CT67</f>
        <v>286</v>
      </c>
      <c r="K67" s="17" t="n">
        <f aca="false">Headline!DF67</f>
        <v>328</v>
      </c>
      <c r="L67" s="17" t="n">
        <f aca="false">Headline!DR67</f>
        <v>370</v>
      </c>
    </row>
    <row r="68" customFormat="false" ht="15" hidden="false" customHeight="false" outlineLevel="0" collapsed="false">
      <c r="A68" s="2" t="s">
        <v>236</v>
      </c>
      <c r="B68" s="6" t="n">
        <f aca="false">Headline!B68</f>
        <v>0</v>
      </c>
      <c r="C68" s="6" t="n">
        <f aca="false">SUM(Headline!C68:N68)</f>
        <v>0</v>
      </c>
      <c r="D68" s="6" t="n">
        <f aca="false">SUM(Headline!O68:Z68)</f>
        <v>0</v>
      </c>
      <c r="E68" s="6" t="n">
        <f aca="false">SUM(Headline!AA68:AL68)</f>
        <v>0</v>
      </c>
      <c r="F68" s="6" t="n">
        <f aca="false">SUM(Headline!AM68:AX68)</f>
        <v>0</v>
      </c>
      <c r="G68" s="6" t="n">
        <f aca="false">SUM(Headline!AY68:BJ68)</f>
        <v>0</v>
      </c>
      <c r="H68" s="6" t="n">
        <f aca="false">SUM(Headline!BK68:BV68)</f>
        <v>0</v>
      </c>
      <c r="I68" s="6" t="n">
        <f aca="false">SUM(Headline!BW68:CH68)</f>
        <v>0</v>
      </c>
      <c r="J68" s="6" t="n">
        <f aca="false">SUM(Headline!CI68:CT68)</f>
        <v>0</v>
      </c>
      <c r="K68" s="6" t="n">
        <f aca="false">SUM(Headline!CU68:DF68)</f>
        <v>0</v>
      </c>
      <c r="L68" s="6" t="n">
        <f aca="false">SUM(Headline!DG68:DR68)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R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122" min="2" style="0" width="16"/>
  </cols>
  <sheetData>
    <row r="1" customFormat="false" ht="31.5" hidden="false" customHeight="true" outlineLevel="0" collapsed="false">
      <c r="A1" s="7" t="s">
        <v>170</v>
      </c>
      <c r="B1" s="8" t="n">
        <f aca="false">Inputs!$B$34</f>
        <v>0</v>
      </c>
      <c r="C1" s="8" t="n">
        <f aca="false">B1+Inputs!$B$35</f>
        <v>1</v>
      </c>
      <c r="D1" s="8" t="n">
        <f aca="false">C1+Inputs!$B$35</f>
        <v>2</v>
      </c>
      <c r="E1" s="8" t="n">
        <f aca="false">D1+Inputs!$B$35</f>
        <v>3</v>
      </c>
      <c r="F1" s="8" t="n">
        <f aca="false">E1+Inputs!$B$35</f>
        <v>4</v>
      </c>
      <c r="G1" s="8" t="n">
        <f aca="false">F1+Inputs!$B$35</f>
        <v>5</v>
      </c>
      <c r="H1" s="8" t="n">
        <f aca="false">G1+Inputs!$B$35</f>
        <v>6</v>
      </c>
      <c r="I1" s="8" t="n">
        <f aca="false">H1+Inputs!$B$35</f>
        <v>7</v>
      </c>
      <c r="J1" s="8" t="n">
        <f aca="false">I1+Inputs!$B$35</f>
        <v>8</v>
      </c>
      <c r="K1" s="8" t="n">
        <f aca="false">J1+Inputs!$B$35</f>
        <v>9</v>
      </c>
      <c r="L1" s="8" t="n">
        <f aca="false">K1+Inputs!$B$35</f>
        <v>10</v>
      </c>
      <c r="M1" s="8" t="n">
        <f aca="false">L1+Inputs!$B$35</f>
        <v>11</v>
      </c>
      <c r="N1" s="8" t="n">
        <f aca="false">M1+Inputs!$B$35</f>
        <v>12</v>
      </c>
      <c r="O1" s="8" t="n">
        <f aca="false">N1+Inputs!$B$35</f>
        <v>13</v>
      </c>
      <c r="P1" s="8" t="n">
        <f aca="false">O1+Inputs!$B$35</f>
        <v>14</v>
      </c>
      <c r="Q1" s="8" t="n">
        <f aca="false">P1+Inputs!$B$35</f>
        <v>15</v>
      </c>
      <c r="R1" s="8" t="n">
        <f aca="false">Q1+Inputs!$B$35</f>
        <v>16</v>
      </c>
      <c r="S1" s="8" t="n">
        <f aca="false">R1+Inputs!$B$35</f>
        <v>17</v>
      </c>
      <c r="T1" s="8" t="n">
        <f aca="false">S1+Inputs!$B$35</f>
        <v>18</v>
      </c>
      <c r="U1" s="8" t="n">
        <f aca="false">T1+Inputs!$B$35</f>
        <v>19</v>
      </c>
      <c r="V1" s="8" t="n">
        <f aca="false">U1+Inputs!$B$35</f>
        <v>20</v>
      </c>
      <c r="W1" s="8" t="n">
        <f aca="false">V1+Inputs!$B$35</f>
        <v>21</v>
      </c>
      <c r="X1" s="8" t="n">
        <f aca="false">W1+Inputs!$B$35</f>
        <v>22</v>
      </c>
      <c r="Y1" s="8" t="n">
        <f aca="false">X1+Inputs!$B$35</f>
        <v>23</v>
      </c>
      <c r="Z1" s="8" t="n">
        <f aca="false">Y1+Inputs!$B$35</f>
        <v>24</v>
      </c>
      <c r="AA1" s="8" t="n">
        <f aca="false">Z1+Inputs!$B$35</f>
        <v>25</v>
      </c>
      <c r="AB1" s="8" t="n">
        <f aca="false">AA1+Inputs!$B$35</f>
        <v>26</v>
      </c>
      <c r="AC1" s="8" t="n">
        <f aca="false">AB1+Inputs!$B$35</f>
        <v>27</v>
      </c>
      <c r="AD1" s="8" t="n">
        <f aca="false">AC1+Inputs!$B$35</f>
        <v>28</v>
      </c>
      <c r="AE1" s="8" t="n">
        <f aca="false">AD1+Inputs!$B$35</f>
        <v>29</v>
      </c>
      <c r="AF1" s="8" t="n">
        <f aca="false">AE1+Inputs!$B$35</f>
        <v>30</v>
      </c>
      <c r="AG1" s="8" t="n">
        <f aca="false">AF1+Inputs!$B$35</f>
        <v>31</v>
      </c>
      <c r="AH1" s="8" t="n">
        <f aca="false">AG1+Inputs!$B$35</f>
        <v>32</v>
      </c>
      <c r="AI1" s="8" t="n">
        <f aca="false">AH1+Inputs!$B$35</f>
        <v>33</v>
      </c>
      <c r="AJ1" s="8" t="n">
        <f aca="false">AI1+Inputs!$B$35</f>
        <v>34</v>
      </c>
      <c r="AK1" s="8" t="n">
        <f aca="false">AJ1+Inputs!$B$35</f>
        <v>35</v>
      </c>
      <c r="AL1" s="8" t="n">
        <f aca="false">AK1+Inputs!$B$35</f>
        <v>36</v>
      </c>
      <c r="AM1" s="8" t="n">
        <f aca="false">AL1+Inputs!$B$35</f>
        <v>37</v>
      </c>
      <c r="AN1" s="8" t="n">
        <f aca="false">AM1+Inputs!$B$35</f>
        <v>38</v>
      </c>
      <c r="AO1" s="8" t="n">
        <f aca="false">AN1+Inputs!$B$35</f>
        <v>39</v>
      </c>
      <c r="AP1" s="8" t="n">
        <f aca="false">AO1+Inputs!$B$35</f>
        <v>40</v>
      </c>
      <c r="AQ1" s="8" t="n">
        <f aca="false">AP1+Inputs!$B$35</f>
        <v>41</v>
      </c>
      <c r="AR1" s="8" t="n">
        <f aca="false">AQ1+Inputs!$B$35</f>
        <v>42</v>
      </c>
      <c r="AS1" s="8" t="n">
        <f aca="false">AR1+Inputs!$B$35</f>
        <v>43</v>
      </c>
      <c r="AT1" s="8" t="n">
        <f aca="false">AS1+Inputs!$B$35</f>
        <v>44</v>
      </c>
      <c r="AU1" s="8" t="n">
        <f aca="false">AT1+Inputs!$B$35</f>
        <v>45</v>
      </c>
      <c r="AV1" s="8" t="n">
        <f aca="false">AU1+Inputs!$B$35</f>
        <v>46</v>
      </c>
      <c r="AW1" s="8" t="n">
        <f aca="false">AV1+Inputs!$B$35</f>
        <v>47</v>
      </c>
      <c r="AX1" s="8" t="n">
        <f aca="false">AW1+Inputs!$B$35</f>
        <v>48</v>
      </c>
      <c r="AY1" s="8" t="n">
        <f aca="false">AX1+Inputs!$B$35</f>
        <v>49</v>
      </c>
      <c r="AZ1" s="8" t="n">
        <f aca="false">AY1+Inputs!$B$35</f>
        <v>50</v>
      </c>
      <c r="BA1" s="8" t="n">
        <f aca="false">AZ1+Inputs!$B$35</f>
        <v>51</v>
      </c>
      <c r="BB1" s="8" t="n">
        <f aca="false">BA1+Inputs!$B$35</f>
        <v>52</v>
      </c>
      <c r="BC1" s="8" t="n">
        <f aca="false">BB1+Inputs!$B$35</f>
        <v>53</v>
      </c>
      <c r="BD1" s="8" t="n">
        <f aca="false">BC1+Inputs!$B$35</f>
        <v>54</v>
      </c>
      <c r="BE1" s="8" t="n">
        <f aca="false">BD1+Inputs!$B$35</f>
        <v>55</v>
      </c>
      <c r="BF1" s="8" t="n">
        <f aca="false">BE1+Inputs!$B$35</f>
        <v>56</v>
      </c>
      <c r="BG1" s="8" t="n">
        <f aca="false">BF1+Inputs!$B$35</f>
        <v>57</v>
      </c>
      <c r="BH1" s="8" t="n">
        <f aca="false">BG1+Inputs!$B$35</f>
        <v>58</v>
      </c>
      <c r="BI1" s="8" t="n">
        <f aca="false">BH1+Inputs!$B$35</f>
        <v>59</v>
      </c>
      <c r="BJ1" s="8" t="n">
        <f aca="false">BI1+Inputs!$B$35</f>
        <v>60</v>
      </c>
      <c r="BK1" s="8" t="n">
        <f aca="false">BJ1+Inputs!$B$35</f>
        <v>61</v>
      </c>
      <c r="BL1" s="8" t="n">
        <f aca="false">BK1+Inputs!$B$35</f>
        <v>62</v>
      </c>
      <c r="BM1" s="8" t="n">
        <f aca="false">BL1+Inputs!$B$35</f>
        <v>63</v>
      </c>
      <c r="BN1" s="8" t="n">
        <f aca="false">BM1+Inputs!$B$35</f>
        <v>64</v>
      </c>
      <c r="BO1" s="8" t="n">
        <f aca="false">BN1+Inputs!$B$35</f>
        <v>65</v>
      </c>
      <c r="BP1" s="8" t="n">
        <f aca="false">BO1+Inputs!$B$35</f>
        <v>66</v>
      </c>
      <c r="BQ1" s="8" t="n">
        <f aca="false">BP1+Inputs!$B$35</f>
        <v>67</v>
      </c>
      <c r="BR1" s="8" t="n">
        <f aca="false">BQ1+Inputs!$B$35</f>
        <v>68</v>
      </c>
      <c r="BS1" s="8" t="n">
        <f aca="false">BR1+Inputs!$B$35</f>
        <v>69</v>
      </c>
      <c r="BT1" s="8" t="n">
        <f aca="false">BS1+Inputs!$B$35</f>
        <v>70</v>
      </c>
      <c r="BU1" s="8" t="n">
        <f aca="false">BT1+Inputs!$B$35</f>
        <v>71</v>
      </c>
      <c r="BV1" s="8" t="n">
        <f aca="false">BU1+Inputs!$B$35</f>
        <v>72</v>
      </c>
      <c r="BW1" s="8" t="n">
        <f aca="false">BV1+Inputs!$B$35</f>
        <v>73</v>
      </c>
      <c r="BX1" s="8" t="n">
        <f aca="false">BW1+Inputs!$B$35</f>
        <v>74</v>
      </c>
      <c r="BY1" s="8" t="n">
        <f aca="false">BX1+Inputs!$B$35</f>
        <v>75</v>
      </c>
      <c r="BZ1" s="8" t="n">
        <f aca="false">BY1+Inputs!$B$35</f>
        <v>76</v>
      </c>
      <c r="CA1" s="8" t="n">
        <f aca="false">BZ1+Inputs!$B$35</f>
        <v>77</v>
      </c>
      <c r="CB1" s="8" t="n">
        <f aca="false">CA1+Inputs!$B$35</f>
        <v>78</v>
      </c>
      <c r="CC1" s="8" t="n">
        <f aca="false">CB1+Inputs!$B$35</f>
        <v>79</v>
      </c>
      <c r="CD1" s="8" t="n">
        <f aca="false">CC1+Inputs!$B$35</f>
        <v>80</v>
      </c>
      <c r="CE1" s="8" t="n">
        <f aca="false">CD1+Inputs!$B$35</f>
        <v>81</v>
      </c>
      <c r="CF1" s="8" t="n">
        <f aca="false">CE1+Inputs!$B$35</f>
        <v>82</v>
      </c>
      <c r="CG1" s="8" t="n">
        <f aca="false">CF1+Inputs!$B$35</f>
        <v>83</v>
      </c>
      <c r="CH1" s="8" t="n">
        <f aca="false">CG1+Inputs!$B$35</f>
        <v>84</v>
      </c>
      <c r="CI1" s="8" t="n">
        <f aca="false">CH1+Inputs!$B$35</f>
        <v>85</v>
      </c>
      <c r="CJ1" s="8" t="n">
        <f aca="false">CI1+Inputs!$B$35</f>
        <v>86</v>
      </c>
      <c r="CK1" s="8" t="n">
        <f aca="false">CJ1+Inputs!$B$35</f>
        <v>87</v>
      </c>
      <c r="CL1" s="8" t="n">
        <f aca="false">CK1+Inputs!$B$35</f>
        <v>88</v>
      </c>
      <c r="CM1" s="8" t="n">
        <f aca="false">CL1+Inputs!$B$35</f>
        <v>89</v>
      </c>
      <c r="CN1" s="8" t="n">
        <f aca="false">CM1+Inputs!$B$35</f>
        <v>90</v>
      </c>
      <c r="CO1" s="8" t="n">
        <f aca="false">CN1+Inputs!$B$35</f>
        <v>91</v>
      </c>
      <c r="CP1" s="8" t="n">
        <f aca="false">CO1+Inputs!$B$35</f>
        <v>92</v>
      </c>
      <c r="CQ1" s="8" t="n">
        <f aca="false">CP1+Inputs!$B$35</f>
        <v>93</v>
      </c>
      <c r="CR1" s="8" t="n">
        <f aca="false">CQ1+Inputs!$B$35</f>
        <v>94</v>
      </c>
      <c r="CS1" s="8" t="n">
        <f aca="false">CR1+Inputs!$B$35</f>
        <v>95</v>
      </c>
      <c r="CT1" s="8" t="n">
        <f aca="false">CS1+Inputs!$B$35</f>
        <v>96</v>
      </c>
      <c r="CU1" s="8" t="n">
        <f aca="false">CT1+Inputs!$B$35</f>
        <v>97</v>
      </c>
      <c r="CV1" s="8" t="n">
        <f aca="false">CU1+Inputs!$B$35</f>
        <v>98</v>
      </c>
      <c r="CW1" s="8" t="n">
        <f aca="false">CV1+Inputs!$B$35</f>
        <v>99</v>
      </c>
      <c r="CX1" s="8" t="n">
        <f aca="false">CW1+Inputs!$B$35</f>
        <v>100</v>
      </c>
      <c r="CY1" s="8" t="n">
        <f aca="false">CX1+Inputs!$B$35</f>
        <v>101</v>
      </c>
      <c r="CZ1" s="8" t="n">
        <f aca="false">CY1+Inputs!$B$35</f>
        <v>102</v>
      </c>
      <c r="DA1" s="8" t="n">
        <f aca="false">CZ1+Inputs!$B$35</f>
        <v>103</v>
      </c>
      <c r="DB1" s="8" t="n">
        <f aca="false">DA1+Inputs!$B$35</f>
        <v>104</v>
      </c>
      <c r="DC1" s="8" t="n">
        <f aca="false">DB1+Inputs!$B$35</f>
        <v>105</v>
      </c>
      <c r="DD1" s="8" t="n">
        <f aca="false">DC1+Inputs!$B$35</f>
        <v>106</v>
      </c>
      <c r="DE1" s="8" t="n">
        <f aca="false">DD1+Inputs!$B$35</f>
        <v>107</v>
      </c>
      <c r="DF1" s="8" t="n">
        <f aca="false">DE1+Inputs!$B$35</f>
        <v>108</v>
      </c>
      <c r="DG1" s="8" t="n">
        <f aca="false">DF1+Inputs!$B$35</f>
        <v>109</v>
      </c>
      <c r="DH1" s="8" t="n">
        <f aca="false">DG1+Inputs!$B$35</f>
        <v>110</v>
      </c>
      <c r="DI1" s="8" t="n">
        <f aca="false">DH1+Inputs!$B$35</f>
        <v>111</v>
      </c>
      <c r="DJ1" s="8" t="n">
        <f aca="false">DI1+Inputs!$B$35</f>
        <v>112</v>
      </c>
      <c r="DK1" s="8" t="n">
        <f aca="false">DJ1+Inputs!$B$35</f>
        <v>113</v>
      </c>
      <c r="DL1" s="8" t="n">
        <f aca="false">DK1+Inputs!$B$35</f>
        <v>114</v>
      </c>
      <c r="DM1" s="8" t="n">
        <f aca="false">DL1+Inputs!$B$35</f>
        <v>115</v>
      </c>
      <c r="DN1" s="8" t="n">
        <f aca="false">DM1+Inputs!$B$35</f>
        <v>116</v>
      </c>
      <c r="DO1" s="8" t="n">
        <f aca="false">DN1+Inputs!$B$35</f>
        <v>117</v>
      </c>
      <c r="DP1" s="8" t="n">
        <f aca="false">DO1+Inputs!$B$35</f>
        <v>118</v>
      </c>
      <c r="DQ1" s="8" t="n">
        <f aca="false">DP1+Inputs!$B$35</f>
        <v>119</v>
      </c>
      <c r="DR1" s="8" t="n">
        <f aca="false">DQ1+Inputs!$B$35</f>
        <v>120</v>
      </c>
    </row>
    <row r="2" customFormat="false" ht="15" hidden="false" customHeight="false" outlineLevel="0" collapsed="false">
      <c r="A2" s="9" t="s">
        <v>171</v>
      </c>
      <c r="B2" s="10" t="n">
        <f aca="false">ROUNDUP(B$1/Inputs!$B$2,Inputs!$B$34)</f>
        <v>0</v>
      </c>
      <c r="C2" s="10" t="n">
        <f aca="false">ROUNDUP(C$1/Inputs!$B$2,Inputs!$B$34)</f>
        <v>1</v>
      </c>
      <c r="D2" s="10" t="n">
        <f aca="false">ROUNDUP(D$1/Inputs!$B$2,Inputs!$B$34)</f>
        <v>1</v>
      </c>
      <c r="E2" s="10" t="n">
        <f aca="false">ROUNDUP(E$1/Inputs!$B$2,Inputs!$B$34)</f>
        <v>1</v>
      </c>
      <c r="F2" s="10" t="n">
        <f aca="false">ROUNDUP(F$1/Inputs!$B$2,Inputs!$B$34)</f>
        <v>1</v>
      </c>
      <c r="G2" s="10" t="n">
        <f aca="false">ROUNDUP(G$1/Inputs!$B$2,Inputs!$B$34)</f>
        <v>1</v>
      </c>
      <c r="H2" s="10" t="n">
        <f aca="false">ROUNDUP(H$1/Inputs!$B$2,Inputs!$B$34)</f>
        <v>1</v>
      </c>
      <c r="I2" s="10" t="n">
        <f aca="false">ROUNDUP(I$1/Inputs!$B$2,Inputs!$B$34)</f>
        <v>1</v>
      </c>
      <c r="J2" s="10" t="n">
        <f aca="false">ROUNDUP(J$1/Inputs!$B$2,Inputs!$B$34)</f>
        <v>1</v>
      </c>
      <c r="K2" s="10" t="n">
        <f aca="false">ROUNDUP(K$1/Inputs!$B$2,Inputs!$B$34)</f>
        <v>1</v>
      </c>
      <c r="L2" s="10" t="n">
        <f aca="false">ROUNDUP(L$1/Inputs!$B$2,Inputs!$B$34)</f>
        <v>1</v>
      </c>
      <c r="M2" s="10" t="n">
        <f aca="false">ROUNDUP(M$1/Inputs!$B$2,Inputs!$B$34)</f>
        <v>1</v>
      </c>
      <c r="N2" s="10" t="n">
        <f aca="false">ROUNDUP(N$1/Inputs!$B$2,Inputs!$B$34)</f>
        <v>1</v>
      </c>
      <c r="O2" s="10" t="n">
        <f aca="false">ROUNDUP(O$1/Inputs!$B$2,Inputs!$B$34)</f>
        <v>2</v>
      </c>
      <c r="P2" s="10" t="n">
        <f aca="false">ROUNDUP(P$1/Inputs!$B$2,Inputs!$B$34)</f>
        <v>2</v>
      </c>
      <c r="Q2" s="10" t="n">
        <f aca="false">ROUNDUP(Q$1/Inputs!$B$2,Inputs!$B$34)</f>
        <v>2</v>
      </c>
      <c r="R2" s="10" t="n">
        <f aca="false">ROUNDUP(R$1/Inputs!$B$2,Inputs!$B$34)</f>
        <v>2</v>
      </c>
      <c r="S2" s="10" t="n">
        <f aca="false">ROUNDUP(S$1/Inputs!$B$2,Inputs!$B$34)</f>
        <v>2</v>
      </c>
      <c r="T2" s="10" t="n">
        <f aca="false">ROUNDUP(T$1/Inputs!$B$2,Inputs!$B$34)</f>
        <v>2</v>
      </c>
      <c r="U2" s="10" t="n">
        <f aca="false">ROUNDUP(U$1/Inputs!$B$2,Inputs!$B$34)</f>
        <v>2</v>
      </c>
      <c r="V2" s="10" t="n">
        <f aca="false">ROUNDUP(V$1/Inputs!$B$2,Inputs!$B$34)</f>
        <v>2</v>
      </c>
      <c r="W2" s="10" t="n">
        <f aca="false">ROUNDUP(W$1/Inputs!$B$2,Inputs!$B$34)</f>
        <v>2</v>
      </c>
      <c r="X2" s="10" t="n">
        <f aca="false">ROUNDUP(X$1/Inputs!$B$2,Inputs!$B$34)</f>
        <v>2</v>
      </c>
      <c r="Y2" s="10" t="n">
        <f aca="false">ROUNDUP(Y$1/Inputs!$B$2,Inputs!$B$34)</f>
        <v>2</v>
      </c>
      <c r="Z2" s="10" t="n">
        <f aca="false">ROUNDUP(Z$1/Inputs!$B$2,Inputs!$B$34)</f>
        <v>2</v>
      </c>
      <c r="AA2" s="10" t="n">
        <f aca="false">ROUNDUP(AA$1/Inputs!$B$2,Inputs!$B$34)</f>
        <v>3</v>
      </c>
      <c r="AB2" s="10" t="n">
        <f aca="false">ROUNDUP(AB$1/Inputs!$B$2,Inputs!$B$34)</f>
        <v>3</v>
      </c>
      <c r="AC2" s="10" t="n">
        <f aca="false">ROUNDUP(AC$1/Inputs!$B$2,Inputs!$B$34)</f>
        <v>3</v>
      </c>
      <c r="AD2" s="10" t="n">
        <f aca="false">ROUNDUP(AD$1/Inputs!$B$2,Inputs!$B$34)</f>
        <v>3</v>
      </c>
      <c r="AE2" s="10" t="n">
        <f aca="false">ROUNDUP(AE$1/Inputs!$B$2,Inputs!$B$34)</f>
        <v>3</v>
      </c>
      <c r="AF2" s="10" t="n">
        <f aca="false">ROUNDUP(AF$1/Inputs!$B$2,Inputs!$B$34)</f>
        <v>3</v>
      </c>
      <c r="AG2" s="10" t="n">
        <f aca="false">ROUNDUP(AG$1/Inputs!$B$2,Inputs!$B$34)</f>
        <v>3</v>
      </c>
      <c r="AH2" s="10" t="n">
        <f aca="false">ROUNDUP(AH$1/Inputs!$B$2,Inputs!$B$34)</f>
        <v>3</v>
      </c>
      <c r="AI2" s="10" t="n">
        <f aca="false">ROUNDUP(AI$1/Inputs!$B$2,Inputs!$B$34)</f>
        <v>3</v>
      </c>
      <c r="AJ2" s="10" t="n">
        <f aca="false">ROUNDUP(AJ$1/Inputs!$B$2,Inputs!$B$34)</f>
        <v>3</v>
      </c>
      <c r="AK2" s="10" t="n">
        <f aca="false">ROUNDUP(AK$1/Inputs!$B$2,Inputs!$B$34)</f>
        <v>3</v>
      </c>
      <c r="AL2" s="10" t="n">
        <f aca="false">ROUNDUP(AL$1/Inputs!$B$2,Inputs!$B$34)</f>
        <v>3</v>
      </c>
      <c r="AM2" s="10" t="n">
        <f aca="false">ROUNDUP(AM$1/Inputs!$B$2,Inputs!$B$34)</f>
        <v>4</v>
      </c>
      <c r="AN2" s="10" t="n">
        <f aca="false">ROUNDUP(AN$1/Inputs!$B$2,Inputs!$B$34)</f>
        <v>4</v>
      </c>
      <c r="AO2" s="10" t="n">
        <f aca="false">ROUNDUP(AO$1/Inputs!$B$2,Inputs!$B$34)</f>
        <v>4</v>
      </c>
      <c r="AP2" s="10" t="n">
        <f aca="false">ROUNDUP(AP$1/Inputs!$B$2,Inputs!$B$34)</f>
        <v>4</v>
      </c>
      <c r="AQ2" s="10" t="n">
        <f aca="false">ROUNDUP(AQ$1/Inputs!$B$2,Inputs!$B$34)</f>
        <v>4</v>
      </c>
      <c r="AR2" s="10" t="n">
        <f aca="false">ROUNDUP(AR$1/Inputs!$B$2,Inputs!$B$34)</f>
        <v>4</v>
      </c>
      <c r="AS2" s="10" t="n">
        <f aca="false">ROUNDUP(AS$1/Inputs!$B$2,Inputs!$B$34)</f>
        <v>4</v>
      </c>
      <c r="AT2" s="10" t="n">
        <f aca="false">ROUNDUP(AT$1/Inputs!$B$2,Inputs!$B$34)</f>
        <v>4</v>
      </c>
      <c r="AU2" s="10" t="n">
        <f aca="false">ROUNDUP(AU$1/Inputs!$B$2,Inputs!$B$34)</f>
        <v>4</v>
      </c>
      <c r="AV2" s="10" t="n">
        <f aca="false">ROUNDUP(AV$1/Inputs!$B$2,Inputs!$B$34)</f>
        <v>4</v>
      </c>
      <c r="AW2" s="10" t="n">
        <f aca="false">ROUNDUP(AW$1/Inputs!$B$2,Inputs!$B$34)</f>
        <v>4</v>
      </c>
      <c r="AX2" s="10" t="n">
        <f aca="false">ROUNDUP(AX$1/Inputs!$B$2,Inputs!$B$34)</f>
        <v>4</v>
      </c>
      <c r="AY2" s="10" t="n">
        <f aca="false">ROUNDUP(AY$1/Inputs!$B$2,Inputs!$B$34)</f>
        <v>5</v>
      </c>
      <c r="AZ2" s="10" t="n">
        <f aca="false">ROUNDUP(AZ$1/Inputs!$B$2,Inputs!$B$34)</f>
        <v>5</v>
      </c>
      <c r="BA2" s="10" t="n">
        <f aca="false">ROUNDUP(BA$1/Inputs!$B$2,Inputs!$B$34)</f>
        <v>5</v>
      </c>
      <c r="BB2" s="10" t="n">
        <f aca="false">ROUNDUP(BB$1/Inputs!$B$2,Inputs!$B$34)</f>
        <v>5</v>
      </c>
      <c r="BC2" s="10" t="n">
        <f aca="false">ROUNDUP(BC$1/Inputs!$B$2,Inputs!$B$34)</f>
        <v>5</v>
      </c>
      <c r="BD2" s="10" t="n">
        <f aca="false">ROUNDUP(BD$1/Inputs!$B$2,Inputs!$B$34)</f>
        <v>5</v>
      </c>
      <c r="BE2" s="10" t="n">
        <f aca="false">ROUNDUP(BE$1/Inputs!$B$2,Inputs!$B$34)</f>
        <v>5</v>
      </c>
      <c r="BF2" s="10" t="n">
        <f aca="false">ROUNDUP(BF$1/Inputs!$B$2,Inputs!$B$34)</f>
        <v>5</v>
      </c>
      <c r="BG2" s="10" t="n">
        <f aca="false">ROUNDUP(BG$1/Inputs!$B$2,Inputs!$B$34)</f>
        <v>5</v>
      </c>
      <c r="BH2" s="10" t="n">
        <f aca="false">ROUNDUP(BH$1/Inputs!$B$2,Inputs!$B$34)</f>
        <v>5</v>
      </c>
      <c r="BI2" s="10" t="n">
        <f aca="false">ROUNDUP(BI$1/Inputs!$B$2,Inputs!$B$34)</f>
        <v>5</v>
      </c>
      <c r="BJ2" s="10" t="n">
        <f aca="false">ROUNDUP(BJ$1/Inputs!$B$2,Inputs!$B$34)</f>
        <v>5</v>
      </c>
      <c r="BK2" s="10" t="n">
        <f aca="false">ROUNDUP(BK$1/Inputs!$B$2,Inputs!$B$34)</f>
        <v>6</v>
      </c>
      <c r="BL2" s="10" t="n">
        <f aca="false">ROUNDUP(BL$1/Inputs!$B$2,Inputs!$B$34)</f>
        <v>6</v>
      </c>
      <c r="BM2" s="10" t="n">
        <f aca="false">ROUNDUP(BM$1/Inputs!$B$2,Inputs!$B$34)</f>
        <v>6</v>
      </c>
      <c r="BN2" s="10" t="n">
        <f aca="false">ROUNDUP(BN$1/Inputs!$B$2,Inputs!$B$34)</f>
        <v>6</v>
      </c>
      <c r="BO2" s="10" t="n">
        <f aca="false">ROUNDUP(BO$1/Inputs!$B$2,Inputs!$B$34)</f>
        <v>6</v>
      </c>
      <c r="BP2" s="10" t="n">
        <f aca="false">ROUNDUP(BP$1/Inputs!$B$2,Inputs!$B$34)</f>
        <v>6</v>
      </c>
      <c r="BQ2" s="10" t="n">
        <f aca="false">ROUNDUP(BQ$1/Inputs!$B$2,Inputs!$B$34)</f>
        <v>6</v>
      </c>
      <c r="BR2" s="10" t="n">
        <f aca="false">ROUNDUP(BR$1/Inputs!$B$2,Inputs!$B$34)</f>
        <v>6</v>
      </c>
      <c r="BS2" s="10" t="n">
        <f aca="false">ROUNDUP(BS$1/Inputs!$B$2,Inputs!$B$34)</f>
        <v>6</v>
      </c>
      <c r="BT2" s="10" t="n">
        <f aca="false">ROUNDUP(BT$1/Inputs!$B$2,Inputs!$B$34)</f>
        <v>6</v>
      </c>
      <c r="BU2" s="10" t="n">
        <f aca="false">ROUNDUP(BU$1/Inputs!$B$2,Inputs!$B$34)</f>
        <v>6</v>
      </c>
      <c r="BV2" s="10" t="n">
        <f aca="false">ROUNDUP(BV$1/Inputs!$B$2,Inputs!$B$34)</f>
        <v>6</v>
      </c>
      <c r="BW2" s="10" t="n">
        <f aca="false">ROUNDUP(BW$1/Inputs!$B$2,Inputs!$B$34)</f>
        <v>7</v>
      </c>
      <c r="BX2" s="10" t="n">
        <f aca="false">ROUNDUP(BX$1/Inputs!$B$2,Inputs!$B$34)</f>
        <v>7</v>
      </c>
      <c r="BY2" s="10" t="n">
        <f aca="false">ROUNDUP(BY$1/Inputs!$B$2,Inputs!$B$34)</f>
        <v>7</v>
      </c>
      <c r="BZ2" s="10" t="n">
        <f aca="false">ROUNDUP(BZ$1/Inputs!$B$2,Inputs!$B$34)</f>
        <v>7</v>
      </c>
      <c r="CA2" s="10" t="n">
        <f aca="false">ROUNDUP(CA$1/Inputs!$B$2,Inputs!$B$34)</f>
        <v>7</v>
      </c>
      <c r="CB2" s="10" t="n">
        <f aca="false">ROUNDUP(CB$1/Inputs!$B$2,Inputs!$B$34)</f>
        <v>7</v>
      </c>
      <c r="CC2" s="10" t="n">
        <f aca="false">ROUNDUP(CC$1/Inputs!$B$2,Inputs!$B$34)</f>
        <v>7</v>
      </c>
      <c r="CD2" s="10" t="n">
        <f aca="false">ROUNDUP(CD$1/Inputs!$B$2,Inputs!$B$34)</f>
        <v>7</v>
      </c>
      <c r="CE2" s="10" t="n">
        <f aca="false">ROUNDUP(CE$1/Inputs!$B$2,Inputs!$B$34)</f>
        <v>7</v>
      </c>
      <c r="CF2" s="10" t="n">
        <f aca="false">ROUNDUP(CF$1/Inputs!$B$2,Inputs!$B$34)</f>
        <v>7</v>
      </c>
      <c r="CG2" s="10" t="n">
        <f aca="false">ROUNDUP(CG$1/Inputs!$B$2,Inputs!$B$34)</f>
        <v>7</v>
      </c>
      <c r="CH2" s="10" t="n">
        <f aca="false">ROUNDUP(CH$1/Inputs!$B$2,Inputs!$B$34)</f>
        <v>7</v>
      </c>
      <c r="CI2" s="10" t="n">
        <f aca="false">ROUNDUP(CI$1/Inputs!$B$2,Inputs!$B$34)</f>
        <v>8</v>
      </c>
      <c r="CJ2" s="10" t="n">
        <f aca="false">ROUNDUP(CJ$1/Inputs!$B$2,Inputs!$B$34)</f>
        <v>8</v>
      </c>
      <c r="CK2" s="10" t="n">
        <f aca="false">ROUNDUP(CK$1/Inputs!$B$2,Inputs!$B$34)</f>
        <v>8</v>
      </c>
      <c r="CL2" s="10" t="n">
        <f aca="false">ROUNDUP(CL$1/Inputs!$B$2,Inputs!$B$34)</f>
        <v>8</v>
      </c>
      <c r="CM2" s="10" t="n">
        <f aca="false">ROUNDUP(CM$1/Inputs!$B$2,Inputs!$B$34)</f>
        <v>8</v>
      </c>
      <c r="CN2" s="10" t="n">
        <f aca="false">ROUNDUP(CN$1/Inputs!$B$2,Inputs!$B$34)</f>
        <v>8</v>
      </c>
      <c r="CO2" s="10" t="n">
        <f aca="false">ROUNDUP(CO$1/Inputs!$B$2,Inputs!$B$34)</f>
        <v>8</v>
      </c>
      <c r="CP2" s="10" t="n">
        <f aca="false">ROUNDUP(CP$1/Inputs!$B$2,Inputs!$B$34)</f>
        <v>8</v>
      </c>
      <c r="CQ2" s="10" t="n">
        <f aca="false">ROUNDUP(CQ$1/Inputs!$B$2,Inputs!$B$34)</f>
        <v>8</v>
      </c>
      <c r="CR2" s="10" t="n">
        <f aca="false">ROUNDUP(CR$1/Inputs!$B$2,Inputs!$B$34)</f>
        <v>8</v>
      </c>
      <c r="CS2" s="10" t="n">
        <f aca="false">ROUNDUP(CS$1/Inputs!$B$2,Inputs!$B$34)</f>
        <v>8</v>
      </c>
      <c r="CT2" s="10" t="n">
        <f aca="false">ROUNDUP(CT$1/Inputs!$B$2,Inputs!$B$34)</f>
        <v>8</v>
      </c>
      <c r="CU2" s="10" t="n">
        <f aca="false">ROUNDUP(CU$1/Inputs!$B$2,Inputs!$B$34)</f>
        <v>9</v>
      </c>
      <c r="CV2" s="10" t="n">
        <f aca="false">ROUNDUP(CV$1/Inputs!$B$2,Inputs!$B$34)</f>
        <v>9</v>
      </c>
      <c r="CW2" s="10" t="n">
        <f aca="false">ROUNDUP(CW$1/Inputs!$B$2,Inputs!$B$34)</f>
        <v>9</v>
      </c>
      <c r="CX2" s="10" t="n">
        <f aca="false">ROUNDUP(CX$1/Inputs!$B$2,Inputs!$B$34)</f>
        <v>9</v>
      </c>
      <c r="CY2" s="10" t="n">
        <f aca="false">ROUNDUP(CY$1/Inputs!$B$2,Inputs!$B$34)</f>
        <v>9</v>
      </c>
      <c r="CZ2" s="10" t="n">
        <f aca="false">ROUNDUP(CZ$1/Inputs!$B$2,Inputs!$B$34)</f>
        <v>9</v>
      </c>
      <c r="DA2" s="10" t="n">
        <f aca="false">ROUNDUP(DA$1/Inputs!$B$2,Inputs!$B$34)</f>
        <v>9</v>
      </c>
      <c r="DB2" s="10" t="n">
        <f aca="false">ROUNDUP(DB$1/Inputs!$B$2,Inputs!$B$34)</f>
        <v>9</v>
      </c>
      <c r="DC2" s="10" t="n">
        <f aca="false">ROUNDUP(DC$1/Inputs!$B$2,Inputs!$B$34)</f>
        <v>9</v>
      </c>
      <c r="DD2" s="10" t="n">
        <f aca="false">ROUNDUP(DD$1/Inputs!$B$2,Inputs!$B$34)</f>
        <v>9</v>
      </c>
      <c r="DE2" s="10" t="n">
        <f aca="false">ROUNDUP(DE$1/Inputs!$B$2,Inputs!$B$34)</f>
        <v>9</v>
      </c>
      <c r="DF2" s="10" t="n">
        <f aca="false">ROUNDUP(DF$1/Inputs!$B$2,Inputs!$B$34)</f>
        <v>9</v>
      </c>
      <c r="DG2" s="10" t="n">
        <f aca="false">ROUNDUP(DG$1/Inputs!$B$2,Inputs!$B$34)</f>
        <v>10</v>
      </c>
      <c r="DH2" s="10" t="n">
        <f aca="false">ROUNDUP(DH$1/Inputs!$B$2,Inputs!$B$34)</f>
        <v>10</v>
      </c>
      <c r="DI2" s="10" t="n">
        <f aca="false">ROUNDUP(DI$1/Inputs!$B$2,Inputs!$B$34)</f>
        <v>10</v>
      </c>
      <c r="DJ2" s="10" t="n">
        <f aca="false">ROUNDUP(DJ$1/Inputs!$B$2,Inputs!$B$34)</f>
        <v>10</v>
      </c>
      <c r="DK2" s="10" t="n">
        <f aca="false">ROUNDUP(DK$1/Inputs!$B$2,Inputs!$B$34)</f>
        <v>10</v>
      </c>
      <c r="DL2" s="10" t="n">
        <f aca="false">ROUNDUP(DL$1/Inputs!$B$2,Inputs!$B$34)</f>
        <v>10</v>
      </c>
      <c r="DM2" s="10" t="n">
        <f aca="false">ROUNDUP(DM$1/Inputs!$B$2,Inputs!$B$34)</f>
        <v>10</v>
      </c>
      <c r="DN2" s="10" t="n">
        <f aca="false">ROUNDUP(DN$1/Inputs!$B$2,Inputs!$B$34)</f>
        <v>10</v>
      </c>
      <c r="DO2" s="10" t="n">
        <f aca="false">ROUNDUP(DO$1/Inputs!$B$2,Inputs!$B$34)</f>
        <v>10</v>
      </c>
      <c r="DP2" s="10" t="n">
        <f aca="false">ROUNDUP(DP$1/Inputs!$B$2,Inputs!$B$34)</f>
        <v>10</v>
      </c>
      <c r="DQ2" s="10" t="n">
        <f aca="false">ROUNDUP(DQ$1/Inputs!$B$2,Inputs!$B$34)</f>
        <v>10</v>
      </c>
      <c r="DR2" s="10" t="n">
        <f aca="false">ROUNDUP(DR$1/Inputs!$B$2,Inputs!$B$34)</f>
        <v>10</v>
      </c>
    </row>
    <row r="3" customFormat="false" ht="15" hidden="false" customHeight="false" outlineLevel="0" collapsed="false">
      <c r="A3" s="9" t="s">
        <v>172</v>
      </c>
      <c r="B3" s="10" t="n">
        <f aca="false">IF(B$1=Inputs!$B$34,Inputs!$B$34,IF(B$1&lt;Inputs!$B$25,Inputs!$B$34,IF(B$1&lt;Inputs!$B$26,Inputs!$B$28,IF(B$1&lt;Inputs!$B$27,Inputs!$B$29,Streams!$E$15))))</f>
        <v>0</v>
      </c>
      <c r="C3" s="10" t="n">
        <f aca="false">IF(C$1=Inputs!$B$34,Inputs!$B$34,IF(C$1&lt;Inputs!$B$25,Inputs!$B$34,IF(C$1&lt;Inputs!$B$26,Inputs!$B$28,IF(C$1&lt;Inputs!$B$27,Inputs!$B$29,Streams!$E$15))))</f>
        <v>0</v>
      </c>
      <c r="D3" s="10" t="n">
        <f aca="false">IF(D$1=Inputs!$B$34,Inputs!$B$34,IF(D$1&lt;Inputs!$B$25,Inputs!$B$34,IF(D$1&lt;Inputs!$B$26,Inputs!$B$28,IF(D$1&lt;Inputs!$B$27,Inputs!$B$29,Streams!$E$15))))</f>
        <v>0</v>
      </c>
      <c r="E3" s="10" t="n">
        <f aca="false">IF(E$1=Inputs!$B$34,Inputs!$B$34,IF(E$1&lt;Inputs!$B$25,Inputs!$B$34,IF(E$1&lt;Inputs!$B$26,Inputs!$B$28,IF(E$1&lt;Inputs!$B$27,Inputs!$B$29,Streams!$E$15))))</f>
        <v>0</v>
      </c>
      <c r="F3" s="10" t="n">
        <f aca="false">IF(F$1=Inputs!$B$34,Inputs!$B$34,IF(F$1&lt;Inputs!$B$25,Inputs!$B$34,IF(F$1&lt;Inputs!$B$26,Inputs!$B$28,IF(F$1&lt;Inputs!$B$27,Inputs!$B$29,Streams!$E$15))))</f>
        <v>0</v>
      </c>
      <c r="G3" s="10" t="n">
        <f aca="false">IF(G$1=Inputs!$B$34,Inputs!$B$34,IF(G$1&lt;Inputs!$B$25,Inputs!$B$34,IF(G$1&lt;Inputs!$B$26,Inputs!$B$28,IF(G$1&lt;Inputs!$B$27,Inputs!$B$29,Streams!$E$15))))</f>
        <v>0</v>
      </c>
      <c r="H3" s="10" t="n">
        <f aca="false">IF(H$1=Inputs!$B$34,Inputs!$B$34,IF(H$1&lt;Inputs!$B$25,Inputs!$B$34,IF(H$1&lt;Inputs!$B$26,Inputs!$B$28,IF(H$1&lt;Inputs!$B$27,Inputs!$B$29,Streams!$E$15))))</f>
        <v>15</v>
      </c>
      <c r="I3" s="10" t="n">
        <f aca="false">IF(I$1=Inputs!$B$34,Inputs!$B$34,IF(I$1&lt;Inputs!$B$25,Inputs!$B$34,IF(I$1&lt;Inputs!$B$26,Inputs!$B$28,IF(I$1&lt;Inputs!$B$27,Inputs!$B$29,Streams!$E$15))))</f>
        <v>15</v>
      </c>
      <c r="J3" s="10" t="n">
        <f aca="false">IF(J$1=Inputs!$B$34,Inputs!$B$34,IF(J$1&lt;Inputs!$B$25,Inputs!$B$34,IF(J$1&lt;Inputs!$B$26,Inputs!$B$28,IF(J$1&lt;Inputs!$B$27,Inputs!$B$29,Streams!$E$15))))</f>
        <v>15</v>
      </c>
      <c r="K3" s="10" t="n">
        <f aca="false">IF(K$1=Inputs!$B$34,Inputs!$B$34,IF(K$1&lt;Inputs!$B$25,Inputs!$B$34,IF(K$1&lt;Inputs!$B$26,Inputs!$B$28,IF(K$1&lt;Inputs!$B$27,Inputs!$B$29,Streams!$E$15))))</f>
        <v>25</v>
      </c>
      <c r="L3" s="10" t="n">
        <f aca="false">IF(L$1=Inputs!$B$34,Inputs!$B$34,IF(L$1&lt;Inputs!$B$25,Inputs!$B$34,IF(L$1&lt;Inputs!$B$26,Inputs!$B$28,IF(L$1&lt;Inputs!$B$27,Inputs!$B$29,Streams!$E$15))))</f>
        <v>25</v>
      </c>
      <c r="M3" s="10" t="n">
        <f aca="false">IF(M$1=Inputs!$B$34,Inputs!$B$34,IF(M$1&lt;Inputs!$B$25,Inputs!$B$34,IF(M$1&lt;Inputs!$B$26,Inputs!$B$28,IF(M$1&lt;Inputs!$B$27,Inputs!$B$29,Streams!$E$15))))</f>
        <v>25</v>
      </c>
      <c r="N3" s="10" t="n">
        <f aca="false">IF(N$1=Inputs!$B$34,Inputs!$B$34,IF(N$1&lt;Inputs!$B$25,Inputs!$B$34,IF(N$1&lt;Inputs!$B$26,Inputs!$B$28,IF(N$1&lt;Inputs!$B$27,Inputs!$B$29,Streams!$E$15))))</f>
        <v>35</v>
      </c>
      <c r="O3" s="10" t="n">
        <f aca="false">IF(O$1=Inputs!$B$34,Inputs!$B$34,IF(O$1&lt;Inputs!$B$25,Inputs!$B$34,IF(O$1&lt;Inputs!$B$26,Inputs!$B$28,IF(O$1&lt;Inputs!$B$27,Inputs!$B$29,Streams!$E$15))))</f>
        <v>35</v>
      </c>
      <c r="P3" s="10" t="n">
        <f aca="false">IF(P$1=Inputs!$B$34,Inputs!$B$34,IF(P$1&lt;Inputs!$B$25,Inputs!$B$34,IF(P$1&lt;Inputs!$B$26,Inputs!$B$28,IF(P$1&lt;Inputs!$B$27,Inputs!$B$29,Streams!$E$15))))</f>
        <v>35</v>
      </c>
      <c r="Q3" s="10" t="n">
        <f aca="false">IF(Q$1=Inputs!$B$34,Inputs!$B$34,IF(Q$1&lt;Inputs!$B$25,Inputs!$B$34,IF(Q$1&lt;Inputs!$B$26,Inputs!$B$28,IF(Q$1&lt;Inputs!$B$27,Inputs!$B$29,Streams!$E$15))))</f>
        <v>35</v>
      </c>
      <c r="R3" s="10" t="n">
        <f aca="false">IF(R$1=Inputs!$B$34,Inputs!$B$34,IF(R$1&lt;Inputs!$B$25,Inputs!$B$34,IF(R$1&lt;Inputs!$B$26,Inputs!$B$28,IF(R$1&lt;Inputs!$B$27,Inputs!$B$29,Streams!$E$15))))</f>
        <v>35</v>
      </c>
      <c r="S3" s="10" t="n">
        <f aca="false">IF(S$1=Inputs!$B$34,Inputs!$B$34,IF(S$1&lt;Inputs!$B$25,Inputs!$B$34,IF(S$1&lt;Inputs!$B$26,Inputs!$B$28,IF(S$1&lt;Inputs!$B$27,Inputs!$B$29,Streams!$E$15))))</f>
        <v>35</v>
      </c>
      <c r="T3" s="10" t="n">
        <f aca="false">IF(T$1=Inputs!$B$34,Inputs!$B$34,IF(T$1&lt;Inputs!$B$25,Inputs!$B$34,IF(T$1&lt;Inputs!$B$26,Inputs!$B$28,IF(T$1&lt;Inputs!$B$27,Inputs!$B$29,Streams!$E$15))))</f>
        <v>35</v>
      </c>
      <c r="U3" s="10" t="n">
        <f aca="false">IF(U$1=Inputs!$B$34,Inputs!$B$34,IF(U$1&lt;Inputs!$B$25,Inputs!$B$34,IF(U$1&lt;Inputs!$B$26,Inputs!$B$28,IF(U$1&lt;Inputs!$B$27,Inputs!$B$29,Streams!$E$15))))</f>
        <v>35</v>
      </c>
      <c r="V3" s="10" t="n">
        <f aca="false">IF(V$1=Inputs!$B$34,Inputs!$B$34,IF(V$1&lt;Inputs!$B$25,Inputs!$B$34,IF(V$1&lt;Inputs!$B$26,Inputs!$B$28,IF(V$1&lt;Inputs!$B$27,Inputs!$B$29,Streams!$E$15))))</f>
        <v>35</v>
      </c>
      <c r="W3" s="10" t="n">
        <f aca="false">IF(W$1=Inputs!$B$34,Inputs!$B$34,IF(W$1&lt;Inputs!$B$25,Inputs!$B$34,IF(W$1&lt;Inputs!$B$26,Inputs!$B$28,IF(W$1&lt;Inputs!$B$27,Inputs!$B$29,Streams!$E$15))))</f>
        <v>35</v>
      </c>
      <c r="X3" s="10" t="n">
        <f aca="false">IF(X$1=Inputs!$B$34,Inputs!$B$34,IF(X$1&lt;Inputs!$B$25,Inputs!$B$34,IF(X$1&lt;Inputs!$B$26,Inputs!$B$28,IF(X$1&lt;Inputs!$B$27,Inputs!$B$29,Streams!$E$15))))</f>
        <v>35</v>
      </c>
      <c r="Y3" s="10" t="n">
        <f aca="false">IF(Y$1=Inputs!$B$34,Inputs!$B$34,IF(Y$1&lt;Inputs!$B$25,Inputs!$B$34,IF(Y$1&lt;Inputs!$B$26,Inputs!$B$28,IF(Y$1&lt;Inputs!$B$27,Inputs!$B$29,Streams!$E$15))))</f>
        <v>35</v>
      </c>
      <c r="Z3" s="10" t="n">
        <f aca="false">IF(Z$1=Inputs!$B$34,Inputs!$B$34,IF(Z$1&lt;Inputs!$B$25,Inputs!$B$34,IF(Z$1&lt;Inputs!$B$26,Inputs!$B$28,IF(Z$1&lt;Inputs!$B$27,Inputs!$B$29,Streams!$E$15))))</f>
        <v>35</v>
      </c>
      <c r="AA3" s="10" t="n">
        <f aca="false">IF(AA$1=Inputs!$B$34,Inputs!$B$34,IF(AA$1&lt;Inputs!$B$25,Inputs!$B$34,IF(AA$1&lt;Inputs!$B$26,Inputs!$B$28,IF(AA$1&lt;Inputs!$B$27,Inputs!$B$29,Streams!$E$15))))</f>
        <v>35</v>
      </c>
      <c r="AB3" s="10" t="n">
        <f aca="false">IF(AB$1=Inputs!$B$34,Inputs!$B$34,IF(AB$1&lt;Inputs!$B$25,Inputs!$B$34,IF(AB$1&lt;Inputs!$B$26,Inputs!$B$28,IF(AB$1&lt;Inputs!$B$27,Inputs!$B$29,Streams!$E$15))))</f>
        <v>35</v>
      </c>
      <c r="AC3" s="10" t="n">
        <f aca="false">IF(AC$1=Inputs!$B$34,Inputs!$B$34,IF(AC$1&lt;Inputs!$B$25,Inputs!$B$34,IF(AC$1&lt;Inputs!$B$26,Inputs!$B$28,IF(AC$1&lt;Inputs!$B$27,Inputs!$B$29,Streams!$E$15))))</f>
        <v>35</v>
      </c>
      <c r="AD3" s="10" t="n">
        <f aca="false">IF(AD$1=Inputs!$B$34,Inputs!$B$34,IF(AD$1&lt;Inputs!$B$25,Inputs!$B$34,IF(AD$1&lt;Inputs!$B$26,Inputs!$B$28,IF(AD$1&lt;Inputs!$B$27,Inputs!$B$29,Streams!$E$15))))</f>
        <v>35</v>
      </c>
      <c r="AE3" s="10" t="n">
        <f aca="false">IF(AE$1=Inputs!$B$34,Inputs!$B$34,IF(AE$1&lt;Inputs!$B$25,Inputs!$B$34,IF(AE$1&lt;Inputs!$B$26,Inputs!$B$28,IF(AE$1&lt;Inputs!$B$27,Inputs!$B$29,Streams!$E$15))))</f>
        <v>35</v>
      </c>
      <c r="AF3" s="10" t="n">
        <f aca="false">IF(AF$1=Inputs!$B$34,Inputs!$B$34,IF(AF$1&lt;Inputs!$B$25,Inputs!$B$34,IF(AF$1&lt;Inputs!$B$26,Inputs!$B$28,IF(AF$1&lt;Inputs!$B$27,Inputs!$B$29,Streams!$E$15))))</f>
        <v>35</v>
      </c>
      <c r="AG3" s="10" t="n">
        <f aca="false">IF(AG$1=Inputs!$B$34,Inputs!$B$34,IF(AG$1&lt;Inputs!$B$25,Inputs!$B$34,IF(AG$1&lt;Inputs!$B$26,Inputs!$B$28,IF(AG$1&lt;Inputs!$B$27,Inputs!$B$29,Streams!$E$15))))</f>
        <v>35</v>
      </c>
      <c r="AH3" s="10" t="n">
        <f aca="false">IF(AH$1=Inputs!$B$34,Inputs!$B$34,IF(AH$1&lt;Inputs!$B$25,Inputs!$B$34,IF(AH$1&lt;Inputs!$B$26,Inputs!$B$28,IF(AH$1&lt;Inputs!$B$27,Inputs!$B$29,Streams!$E$15))))</f>
        <v>35</v>
      </c>
      <c r="AI3" s="10" t="n">
        <f aca="false">IF(AI$1=Inputs!$B$34,Inputs!$B$34,IF(AI$1&lt;Inputs!$B$25,Inputs!$B$34,IF(AI$1&lt;Inputs!$B$26,Inputs!$B$28,IF(AI$1&lt;Inputs!$B$27,Inputs!$B$29,Streams!$E$15))))</f>
        <v>35</v>
      </c>
      <c r="AJ3" s="10" t="n">
        <f aca="false">IF(AJ$1=Inputs!$B$34,Inputs!$B$34,IF(AJ$1&lt;Inputs!$B$25,Inputs!$B$34,IF(AJ$1&lt;Inputs!$B$26,Inputs!$B$28,IF(AJ$1&lt;Inputs!$B$27,Inputs!$B$29,Streams!$E$15))))</f>
        <v>35</v>
      </c>
      <c r="AK3" s="10" t="n">
        <f aca="false">IF(AK$1=Inputs!$B$34,Inputs!$B$34,IF(AK$1&lt;Inputs!$B$25,Inputs!$B$34,IF(AK$1&lt;Inputs!$B$26,Inputs!$B$28,IF(AK$1&lt;Inputs!$B$27,Inputs!$B$29,Streams!$E$15))))</f>
        <v>35</v>
      </c>
      <c r="AL3" s="10" t="n">
        <f aca="false">IF(AL$1=Inputs!$B$34,Inputs!$B$34,IF(AL$1&lt;Inputs!$B$25,Inputs!$B$34,IF(AL$1&lt;Inputs!$B$26,Inputs!$B$28,IF(AL$1&lt;Inputs!$B$27,Inputs!$B$29,Streams!$E$15))))</f>
        <v>35</v>
      </c>
      <c r="AM3" s="10" t="n">
        <f aca="false">IF(AM$1=Inputs!$B$34,Inputs!$B$34,IF(AM$1&lt;Inputs!$B$25,Inputs!$B$34,IF(AM$1&lt;Inputs!$B$26,Inputs!$B$28,IF(AM$1&lt;Inputs!$B$27,Inputs!$B$29,Streams!$E$15))))</f>
        <v>35</v>
      </c>
      <c r="AN3" s="10" t="n">
        <f aca="false">IF(AN$1=Inputs!$B$34,Inputs!$B$34,IF(AN$1&lt;Inputs!$B$25,Inputs!$B$34,IF(AN$1&lt;Inputs!$B$26,Inputs!$B$28,IF(AN$1&lt;Inputs!$B$27,Inputs!$B$29,Streams!$E$15))))</f>
        <v>35</v>
      </c>
      <c r="AO3" s="10" t="n">
        <f aca="false">IF(AO$1=Inputs!$B$34,Inputs!$B$34,IF(AO$1&lt;Inputs!$B$25,Inputs!$B$34,IF(AO$1&lt;Inputs!$B$26,Inputs!$B$28,IF(AO$1&lt;Inputs!$B$27,Inputs!$B$29,Streams!$E$15))))</f>
        <v>35</v>
      </c>
      <c r="AP3" s="10" t="n">
        <f aca="false">IF(AP$1=Inputs!$B$34,Inputs!$B$34,IF(AP$1&lt;Inputs!$B$25,Inputs!$B$34,IF(AP$1&lt;Inputs!$B$26,Inputs!$B$28,IF(AP$1&lt;Inputs!$B$27,Inputs!$B$29,Streams!$E$15))))</f>
        <v>35</v>
      </c>
      <c r="AQ3" s="10" t="n">
        <f aca="false">IF(AQ$1=Inputs!$B$34,Inputs!$B$34,IF(AQ$1&lt;Inputs!$B$25,Inputs!$B$34,IF(AQ$1&lt;Inputs!$B$26,Inputs!$B$28,IF(AQ$1&lt;Inputs!$B$27,Inputs!$B$29,Streams!$E$15))))</f>
        <v>35</v>
      </c>
      <c r="AR3" s="10" t="n">
        <f aca="false">IF(AR$1=Inputs!$B$34,Inputs!$B$34,IF(AR$1&lt;Inputs!$B$25,Inputs!$B$34,IF(AR$1&lt;Inputs!$B$26,Inputs!$B$28,IF(AR$1&lt;Inputs!$B$27,Inputs!$B$29,Streams!$E$15))))</f>
        <v>35</v>
      </c>
      <c r="AS3" s="10" t="n">
        <f aca="false">IF(AS$1=Inputs!$B$34,Inputs!$B$34,IF(AS$1&lt;Inputs!$B$25,Inputs!$B$34,IF(AS$1&lt;Inputs!$B$26,Inputs!$B$28,IF(AS$1&lt;Inputs!$B$27,Inputs!$B$29,Streams!$E$15))))</f>
        <v>35</v>
      </c>
      <c r="AT3" s="10" t="n">
        <f aca="false">IF(AT$1=Inputs!$B$34,Inputs!$B$34,IF(AT$1&lt;Inputs!$B$25,Inputs!$B$34,IF(AT$1&lt;Inputs!$B$26,Inputs!$B$28,IF(AT$1&lt;Inputs!$B$27,Inputs!$B$29,Streams!$E$15))))</f>
        <v>35</v>
      </c>
      <c r="AU3" s="10" t="n">
        <f aca="false">IF(AU$1=Inputs!$B$34,Inputs!$B$34,IF(AU$1&lt;Inputs!$B$25,Inputs!$B$34,IF(AU$1&lt;Inputs!$B$26,Inputs!$B$28,IF(AU$1&lt;Inputs!$B$27,Inputs!$B$29,Streams!$E$15))))</f>
        <v>35</v>
      </c>
      <c r="AV3" s="10" t="n">
        <f aca="false">IF(AV$1=Inputs!$B$34,Inputs!$B$34,IF(AV$1&lt;Inputs!$B$25,Inputs!$B$34,IF(AV$1&lt;Inputs!$B$26,Inputs!$B$28,IF(AV$1&lt;Inputs!$B$27,Inputs!$B$29,Streams!$E$15))))</f>
        <v>35</v>
      </c>
      <c r="AW3" s="10" t="n">
        <f aca="false">IF(AW$1=Inputs!$B$34,Inputs!$B$34,IF(AW$1&lt;Inputs!$B$25,Inputs!$B$34,IF(AW$1&lt;Inputs!$B$26,Inputs!$B$28,IF(AW$1&lt;Inputs!$B$27,Inputs!$B$29,Streams!$E$15))))</f>
        <v>35</v>
      </c>
      <c r="AX3" s="10" t="n">
        <f aca="false">IF(AX$1=Inputs!$B$34,Inputs!$B$34,IF(AX$1&lt;Inputs!$B$25,Inputs!$B$34,IF(AX$1&lt;Inputs!$B$26,Inputs!$B$28,IF(AX$1&lt;Inputs!$B$27,Inputs!$B$29,Streams!$E$15))))</f>
        <v>35</v>
      </c>
      <c r="AY3" s="10" t="n">
        <f aca="false">IF(AY$1=Inputs!$B$34,Inputs!$B$34,IF(AY$1&lt;Inputs!$B$25,Inputs!$B$34,IF(AY$1&lt;Inputs!$B$26,Inputs!$B$28,IF(AY$1&lt;Inputs!$B$27,Inputs!$B$29,Streams!$E$15))))</f>
        <v>35</v>
      </c>
      <c r="AZ3" s="10" t="n">
        <f aca="false">IF(AZ$1=Inputs!$B$34,Inputs!$B$34,IF(AZ$1&lt;Inputs!$B$25,Inputs!$B$34,IF(AZ$1&lt;Inputs!$B$26,Inputs!$B$28,IF(AZ$1&lt;Inputs!$B$27,Inputs!$B$29,Streams!$E$15))))</f>
        <v>35</v>
      </c>
      <c r="BA3" s="10" t="n">
        <f aca="false">IF(BA$1=Inputs!$B$34,Inputs!$B$34,IF(BA$1&lt;Inputs!$B$25,Inputs!$B$34,IF(BA$1&lt;Inputs!$B$26,Inputs!$B$28,IF(BA$1&lt;Inputs!$B$27,Inputs!$B$29,Streams!$E$15))))</f>
        <v>35</v>
      </c>
      <c r="BB3" s="10" t="n">
        <f aca="false">IF(BB$1=Inputs!$B$34,Inputs!$B$34,IF(BB$1&lt;Inputs!$B$25,Inputs!$B$34,IF(BB$1&lt;Inputs!$B$26,Inputs!$B$28,IF(BB$1&lt;Inputs!$B$27,Inputs!$B$29,Streams!$E$15))))</f>
        <v>35</v>
      </c>
      <c r="BC3" s="10" t="n">
        <f aca="false">IF(BC$1=Inputs!$B$34,Inputs!$B$34,IF(BC$1&lt;Inputs!$B$25,Inputs!$B$34,IF(BC$1&lt;Inputs!$B$26,Inputs!$B$28,IF(BC$1&lt;Inputs!$B$27,Inputs!$B$29,Streams!$E$15))))</f>
        <v>35</v>
      </c>
      <c r="BD3" s="10" t="n">
        <f aca="false">IF(BD$1=Inputs!$B$34,Inputs!$B$34,IF(BD$1&lt;Inputs!$B$25,Inputs!$B$34,IF(BD$1&lt;Inputs!$B$26,Inputs!$B$28,IF(BD$1&lt;Inputs!$B$27,Inputs!$B$29,Streams!$E$15))))</f>
        <v>35</v>
      </c>
      <c r="BE3" s="10" t="n">
        <f aca="false">IF(BE$1=Inputs!$B$34,Inputs!$B$34,IF(BE$1&lt;Inputs!$B$25,Inputs!$B$34,IF(BE$1&lt;Inputs!$B$26,Inputs!$B$28,IF(BE$1&lt;Inputs!$B$27,Inputs!$B$29,Streams!$E$15))))</f>
        <v>35</v>
      </c>
      <c r="BF3" s="10" t="n">
        <f aca="false">IF(BF$1=Inputs!$B$34,Inputs!$B$34,IF(BF$1&lt;Inputs!$B$25,Inputs!$B$34,IF(BF$1&lt;Inputs!$B$26,Inputs!$B$28,IF(BF$1&lt;Inputs!$B$27,Inputs!$B$29,Streams!$E$15))))</f>
        <v>35</v>
      </c>
      <c r="BG3" s="10" t="n">
        <f aca="false">IF(BG$1=Inputs!$B$34,Inputs!$B$34,IF(BG$1&lt;Inputs!$B$25,Inputs!$B$34,IF(BG$1&lt;Inputs!$B$26,Inputs!$B$28,IF(BG$1&lt;Inputs!$B$27,Inputs!$B$29,Streams!$E$15))))</f>
        <v>35</v>
      </c>
      <c r="BH3" s="10" t="n">
        <f aca="false">IF(BH$1=Inputs!$B$34,Inputs!$B$34,IF(BH$1&lt;Inputs!$B$25,Inputs!$B$34,IF(BH$1&lt;Inputs!$B$26,Inputs!$B$28,IF(BH$1&lt;Inputs!$B$27,Inputs!$B$29,Streams!$E$15))))</f>
        <v>35</v>
      </c>
      <c r="BI3" s="10" t="n">
        <f aca="false">IF(BI$1=Inputs!$B$34,Inputs!$B$34,IF(BI$1&lt;Inputs!$B$25,Inputs!$B$34,IF(BI$1&lt;Inputs!$B$26,Inputs!$B$28,IF(BI$1&lt;Inputs!$B$27,Inputs!$B$29,Streams!$E$15))))</f>
        <v>35</v>
      </c>
      <c r="BJ3" s="10" t="n">
        <f aca="false">IF(BJ$1=Inputs!$B$34,Inputs!$B$34,IF(BJ$1&lt;Inputs!$B$25,Inputs!$B$34,IF(BJ$1&lt;Inputs!$B$26,Inputs!$B$28,IF(BJ$1&lt;Inputs!$B$27,Inputs!$B$29,Streams!$E$15))))</f>
        <v>35</v>
      </c>
      <c r="BK3" s="10" t="n">
        <f aca="false">IF(BK$1=Inputs!$B$34,Inputs!$B$34,IF(BK$1&lt;Inputs!$B$25,Inputs!$B$34,IF(BK$1&lt;Inputs!$B$26,Inputs!$B$28,IF(BK$1&lt;Inputs!$B$27,Inputs!$B$29,Streams!$E$15))))</f>
        <v>35</v>
      </c>
      <c r="BL3" s="10" t="n">
        <f aca="false">IF(BL$1=Inputs!$B$34,Inputs!$B$34,IF(BL$1&lt;Inputs!$B$25,Inputs!$B$34,IF(BL$1&lt;Inputs!$B$26,Inputs!$B$28,IF(BL$1&lt;Inputs!$B$27,Inputs!$B$29,Streams!$E$15))))</f>
        <v>35</v>
      </c>
      <c r="BM3" s="10" t="n">
        <f aca="false">IF(BM$1=Inputs!$B$34,Inputs!$B$34,IF(BM$1&lt;Inputs!$B$25,Inputs!$B$34,IF(BM$1&lt;Inputs!$B$26,Inputs!$B$28,IF(BM$1&lt;Inputs!$B$27,Inputs!$B$29,Streams!$E$15))))</f>
        <v>35</v>
      </c>
      <c r="BN3" s="10" t="n">
        <f aca="false">IF(BN$1=Inputs!$B$34,Inputs!$B$34,IF(BN$1&lt;Inputs!$B$25,Inputs!$B$34,IF(BN$1&lt;Inputs!$B$26,Inputs!$B$28,IF(BN$1&lt;Inputs!$B$27,Inputs!$B$29,Streams!$E$15))))</f>
        <v>35</v>
      </c>
      <c r="BO3" s="10" t="n">
        <f aca="false">IF(BO$1=Inputs!$B$34,Inputs!$B$34,IF(BO$1&lt;Inputs!$B$25,Inputs!$B$34,IF(BO$1&lt;Inputs!$B$26,Inputs!$B$28,IF(BO$1&lt;Inputs!$B$27,Inputs!$B$29,Streams!$E$15))))</f>
        <v>35</v>
      </c>
      <c r="BP3" s="10" t="n">
        <f aca="false">IF(BP$1=Inputs!$B$34,Inputs!$B$34,IF(BP$1&lt;Inputs!$B$25,Inputs!$B$34,IF(BP$1&lt;Inputs!$B$26,Inputs!$B$28,IF(BP$1&lt;Inputs!$B$27,Inputs!$B$29,Streams!$E$15))))</f>
        <v>35</v>
      </c>
      <c r="BQ3" s="10" t="n">
        <f aca="false">IF(BQ$1=Inputs!$B$34,Inputs!$B$34,IF(BQ$1&lt;Inputs!$B$25,Inputs!$B$34,IF(BQ$1&lt;Inputs!$B$26,Inputs!$B$28,IF(BQ$1&lt;Inputs!$B$27,Inputs!$B$29,Streams!$E$15))))</f>
        <v>35</v>
      </c>
      <c r="BR3" s="10" t="n">
        <f aca="false">IF(BR$1=Inputs!$B$34,Inputs!$B$34,IF(BR$1&lt;Inputs!$B$25,Inputs!$B$34,IF(BR$1&lt;Inputs!$B$26,Inputs!$B$28,IF(BR$1&lt;Inputs!$B$27,Inputs!$B$29,Streams!$E$15))))</f>
        <v>35</v>
      </c>
      <c r="BS3" s="10" t="n">
        <f aca="false">IF(BS$1=Inputs!$B$34,Inputs!$B$34,IF(BS$1&lt;Inputs!$B$25,Inputs!$B$34,IF(BS$1&lt;Inputs!$B$26,Inputs!$B$28,IF(BS$1&lt;Inputs!$B$27,Inputs!$B$29,Streams!$E$15))))</f>
        <v>35</v>
      </c>
      <c r="BT3" s="10" t="n">
        <f aca="false">IF(BT$1=Inputs!$B$34,Inputs!$B$34,IF(BT$1&lt;Inputs!$B$25,Inputs!$B$34,IF(BT$1&lt;Inputs!$B$26,Inputs!$B$28,IF(BT$1&lt;Inputs!$B$27,Inputs!$B$29,Streams!$E$15))))</f>
        <v>35</v>
      </c>
      <c r="BU3" s="10" t="n">
        <f aca="false">IF(BU$1=Inputs!$B$34,Inputs!$B$34,IF(BU$1&lt;Inputs!$B$25,Inputs!$B$34,IF(BU$1&lt;Inputs!$B$26,Inputs!$B$28,IF(BU$1&lt;Inputs!$B$27,Inputs!$B$29,Streams!$E$15))))</f>
        <v>35</v>
      </c>
      <c r="BV3" s="10" t="n">
        <f aca="false">IF(BV$1=Inputs!$B$34,Inputs!$B$34,IF(BV$1&lt;Inputs!$B$25,Inputs!$B$34,IF(BV$1&lt;Inputs!$B$26,Inputs!$B$28,IF(BV$1&lt;Inputs!$B$27,Inputs!$B$29,Streams!$E$15))))</f>
        <v>35</v>
      </c>
      <c r="BW3" s="10" t="n">
        <f aca="false">IF(BW$1=Inputs!$B$34,Inputs!$B$34,IF(BW$1&lt;Inputs!$B$25,Inputs!$B$34,IF(BW$1&lt;Inputs!$B$26,Inputs!$B$28,IF(BW$1&lt;Inputs!$B$27,Inputs!$B$29,Streams!$E$15))))</f>
        <v>35</v>
      </c>
      <c r="BX3" s="10" t="n">
        <f aca="false">IF(BX$1=Inputs!$B$34,Inputs!$B$34,IF(BX$1&lt;Inputs!$B$25,Inputs!$B$34,IF(BX$1&lt;Inputs!$B$26,Inputs!$B$28,IF(BX$1&lt;Inputs!$B$27,Inputs!$B$29,Streams!$E$15))))</f>
        <v>35</v>
      </c>
      <c r="BY3" s="10" t="n">
        <f aca="false">IF(BY$1=Inputs!$B$34,Inputs!$B$34,IF(BY$1&lt;Inputs!$B$25,Inputs!$B$34,IF(BY$1&lt;Inputs!$B$26,Inputs!$B$28,IF(BY$1&lt;Inputs!$B$27,Inputs!$B$29,Streams!$E$15))))</f>
        <v>35</v>
      </c>
      <c r="BZ3" s="10" t="n">
        <f aca="false">IF(BZ$1=Inputs!$B$34,Inputs!$B$34,IF(BZ$1&lt;Inputs!$B$25,Inputs!$B$34,IF(BZ$1&lt;Inputs!$B$26,Inputs!$B$28,IF(BZ$1&lt;Inputs!$B$27,Inputs!$B$29,Streams!$E$15))))</f>
        <v>35</v>
      </c>
      <c r="CA3" s="10" t="n">
        <f aca="false">IF(CA$1=Inputs!$B$34,Inputs!$B$34,IF(CA$1&lt;Inputs!$B$25,Inputs!$B$34,IF(CA$1&lt;Inputs!$B$26,Inputs!$B$28,IF(CA$1&lt;Inputs!$B$27,Inputs!$B$29,Streams!$E$15))))</f>
        <v>35</v>
      </c>
      <c r="CB3" s="10" t="n">
        <f aca="false">IF(CB$1=Inputs!$B$34,Inputs!$B$34,IF(CB$1&lt;Inputs!$B$25,Inputs!$B$34,IF(CB$1&lt;Inputs!$B$26,Inputs!$B$28,IF(CB$1&lt;Inputs!$B$27,Inputs!$B$29,Streams!$E$15))))</f>
        <v>35</v>
      </c>
      <c r="CC3" s="10" t="n">
        <f aca="false">IF(CC$1=Inputs!$B$34,Inputs!$B$34,IF(CC$1&lt;Inputs!$B$25,Inputs!$B$34,IF(CC$1&lt;Inputs!$B$26,Inputs!$B$28,IF(CC$1&lt;Inputs!$B$27,Inputs!$B$29,Streams!$E$15))))</f>
        <v>35</v>
      </c>
      <c r="CD3" s="10" t="n">
        <f aca="false">IF(CD$1=Inputs!$B$34,Inputs!$B$34,IF(CD$1&lt;Inputs!$B$25,Inputs!$B$34,IF(CD$1&lt;Inputs!$B$26,Inputs!$B$28,IF(CD$1&lt;Inputs!$B$27,Inputs!$B$29,Streams!$E$15))))</f>
        <v>35</v>
      </c>
      <c r="CE3" s="10" t="n">
        <f aca="false">IF(CE$1=Inputs!$B$34,Inputs!$B$34,IF(CE$1&lt;Inputs!$B$25,Inputs!$B$34,IF(CE$1&lt;Inputs!$B$26,Inputs!$B$28,IF(CE$1&lt;Inputs!$B$27,Inputs!$B$29,Streams!$E$15))))</f>
        <v>35</v>
      </c>
      <c r="CF3" s="10" t="n">
        <f aca="false">IF(CF$1=Inputs!$B$34,Inputs!$B$34,IF(CF$1&lt;Inputs!$B$25,Inputs!$B$34,IF(CF$1&lt;Inputs!$B$26,Inputs!$B$28,IF(CF$1&lt;Inputs!$B$27,Inputs!$B$29,Streams!$E$15))))</f>
        <v>35</v>
      </c>
      <c r="CG3" s="10" t="n">
        <f aca="false">IF(CG$1=Inputs!$B$34,Inputs!$B$34,IF(CG$1&lt;Inputs!$B$25,Inputs!$B$34,IF(CG$1&lt;Inputs!$B$26,Inputs!$B$28,IF(CG$1&lt;Inputs!$B$27,Inputs!$B$29,Streams!$E$15))))</f>
        <v>35</v>
      </c>
      <c r="CH3" s="10" t="n">
        <f aca="false">IF(CH$1=Inputs!$B$34,Inputs!$B$34,IF(CH$1&lt;Inputs!$B$25,Inputs!$B$34,IF(CH$1&lt;Inputs!$B$26,Inputs!$B$28,IF(CH$1&lt;Inputs!$B$27,Inputs!$B$29,Streams!$E$15))))</f>
        <v>35</v>
      </c>
      <c r="CI3" s="10" t="n">
        <f aca="false">IF(CI$1=Inputs!$B$34,Inputs!$B$34,IF(CI$1&lt;Inputs!$B$25,Inputs!$B$34,IF(CI$1&lt;Inputs!$B$26,Inputs!$B$28,IF(CI$1&lt;Inputs!$B$27,Inputs!$B$29,Streams!$E$15))))</f>
        <v>35</v>
      </c>
      <c r="CJ3" s="10" t="n">
        <f aca="false">IF(CJ$1=Inputs!$B$34,Inputs!$B$34,IF(CJ$1&lt;Inputs!$B$25,Inputs!$B$34,IF(CJ$1&lt;Inputs!$B$26,Inputs!$B$28,IF(CJ$1&lt;Inputs!$B$27,Inputs!$B$29,Streams!$E$15))))</f>
        <v>35</v>
      </c>
      <c r="CK3" s="10" t="n">
        <f aca="false">IF(CK$1=Inputs!$B$34,Inputs!$B$34,IF(CK$1&lt;Inputs!$B$25,Inputs!$B$34,IF(CK$1&lt;Inputs!$B$26,Inputs!$B$28,IF(CK$1&lt;Inputs!$B$27,Inputs!$B$29,Streams!$E$15))))</f>
        <v>35</v>
      </c>
      <c r="CL3" s="10" t="n">
        <f aca="false">IF(CL$1=Inputs!$B$34,Inputs!$B$34,IF(CL$1&lt;Inputs!$B$25,Inputs!$B$34,IF(CL$1&lt;Inputs!$B$26,Inputs!$B$28,IF(CL$1&lt;Inputs!$B$27,Inputs!$B$29,Streams!$E$15))))</f>
        <v>35</v>
      </c>
      <c r="CM3" s="10" t="n">
        <f aca="false">IF(CM$1=Inputs!$B$34,Inputs!$B$34,IF(CM$1&lt;Inputs!$B$25,Inputs!$B$34,IF(CM$1&lt;Inputs!$B$26,Inputs!$B$28,IF(CM$1&lt;Inputs!$B$27,Inputs!$B$29,Streams!$E$15))))</f>
        <v>35</v>
      </c>
      <c r="CN3" s="10" t="n">
        <f aca="false">IF(CN$1=Inputs!$B$34,Inputs!$B$34,IF(CN$1&lt;Inputs!$B$25,Inputs!$B$34,IF(CN$1&lt;Inputs!$B$26,Inputs!$B$28,IF(CN$1&lt;Inputs!$B$27,Inputs!$B$29,Streams!$E$15))))</f>
        <v>35</v>
      </c>
      <c r="CO3" s="10" t="n">
        <f aca="false">IF(CO$1=Inputs!$B$34,Inputs!$B$34,IF(CO$1&lt;Inputs!$B$25,Inputs!$B$34,IF(CO$1&lt;Inputs!$B$26,Inputs!$B$28,IF(CO$1&lt;Inputs!$B$27,Inputs!$B$29,Streams!$E$15))))</f>
        <v>35</v>
      </c>
      <c r="CP3" s="10" t="n">
        <f aca="false">IF(CP$1=Inputs!$B$34,Inputs!$B$34,IF(CP$1&lt;Inputs!$B$25,Inputs!$B$34,IF(CP$1&lt;Inputs!$B$26,Inputs!$B$28,IF(CP$1&lt;Inputs!$B$27,Inputs!$B$29,Streams!$E$15))))</f>
        <v>35</v>
      </c>
      <c r="CQ3" s="10" t="n">
        <f aca="false">IF(CQ$1=Inputs!$B$34,Inputs!$B$34,IF(CQ$1&lt;Inputs!$B$25,Inputs!$B$34,IF(CQ$1&lt;Inputs!$B$26,Inputs!$B$28,IF(CQ$1&lt;Inputs!$B$27,Inputs!$B$29,Streams!$E$15))))</f>
        <v>35</v>
      </c>
      <c r="CR3" s="10" t="n">
        <f aca="false">IF(CR$1=Inputs!$B$34,Inputs!$B$34,IF(CR$1&lt;Inputs!$B$25,Inputs!$B$34,IF(CR$1&lt;Inputs!$B$26,Inputs!$B$28,IF(CR$1&lt;Inputs!$B$27,Inputs!$B$29,Streams!$E$15))))</f>
        <v>35</v>
      </c>
      <c r="CS3" s="10" t="n">
        <f aca="false">IF(CS$1=Inputs!$B$34,Inputs!$B$34,IF(CS$1&lt;Inputs!$B$25,Inputs!$B$34,IF(CS$1&lt;Inputs!$B$26,Inputs!$B$28,IF(CS$1&lt;Inputs!$B$27,Inputs!$B$29,Streams!$E$15))))</f>
        <v>35</v>
      </c>
      <c r="CT3" s="10" t="n">
        <f aca="false">IF(CT$1=Inputs!$B$34,Inputs!$B$34,IF(CT$1&lt;Inputs!$B$25,Inputs!$B$34,IF(CT$1&lt;Inputs!$B$26,Inputs!$B$28,IF(CT$1&lt;Inputs!$B$27,Inputs!$B$29,Streams!$E$15))))</f>
        <v>35</v>
      </c>
      <c r="CU3" s="10" t="n">
        <f aca="false">IF(CU$1=Inputs!$B$34,Inputs!$B$34,IF(CU$1&lt;Inputs!$B$25,Inputs!$B$34,IF(CU$1&lt;Inputs!$B$26,Inputs!$B$28,IF(CU$1&lt;Inputs!$B$27,Inputs!$B$29,Streams!$E$15))))</f>
        <v>35</v>
      </c>
      <c r="CV3" s="10" t="n">
        <f aca="false">IF(CV$1=Inputs!$B$34,Inputs!$B$34,IF(CV$1&lt;Inputs!$B$25,Inputs!$B$34,IF(CV$1&lt;Inputs!$B$26,Inputs!$B$28,IF(CV$1&lt;Inputs!$B$27,Inputs!$B$29,Streams!$E$15))))</f>
        <v>35</v>
      </c>
      <c r="CW3" s="10" t="n">
        <f aca="false">IF(CW$1=Inputs!$B$34,Inputs!$B$34,IF(CW$1&lt;Inputs!$B$25,Inputs!$B$34,IF(CW$1&lt;Inputs!$B$26,Inputs!$B$28,IF(CW$1&lt;Inputs!$B$27,Inputs!$B$29,Streams!$E$15))))</f>
        <v>35</v>
      </c>
      <c r="CX3" s="10" t="n">
        <f aca="false">IF(CX$1=Inputs!$B$34,Inputs!$B$34,IF(CX$1&lt;Inputs!$B$25,Inputs!$B$34,IF(CX$1&lt;Inputs!$B$26,Inputs!$B$28,IF(CX$1&lt;Inputs!$B$27,Inputs!$B$29,Streams!$E$15))))</f>
        <v>35</v>
      </c>
      <c r="CY3" s="10" t="n">
        <f aca="false">IF(CY$1=Inputs!$B$34,Inputs!$B$34,IF(CY$1&lt;Inputs!$B$25,Inputs!$B$34,IF(CY$1&lt;Inputs!$B$26,Inputs!$B$28,IF(CY$1&lt;Inputs!$B$27,Inputs!$B$29,Streams!$E$15))))</f>
        <v>35</v>
      </c>
      <c r="CZ3" s="10" t="n">
        <f aca="false">IF(CZ$1=Inputs!$B$34,Inputs!$B$34,IF(CZ$1&lt;Inputs!$B$25,Inputs!$B$34,IF(CZ$1&lt;Inputs!$B$26,Inputs!$B$28,IF(CZ$1&lt;Inputs!$B$27,Inputs!$B$29,Streams!$E$15))))</f>
        <v>35</v>
      </c>
      <c r="DA3" s="10" t="n">
        <f aca="false">IF(DA$1=Inputs!$B$34,Inputs!$B$34,IF(DA$1&lt;Inputs!$B$25,Inputs!$B$34,IF(DA$1&lt;Inputs!$B$26,Inputs!$B$28,IF(DA$1&lt;Inputs!$B$27,Inputs!$B$29,Streams!$E$15))))</f>
        <v>35</v>
      </c>
      <c r="DB3" s="10" t="n">
        <f aca="false">IF(DB$1=Inputs!$B$34,Inputs!$B$34,IF(DB$1&lt;Inputs!$B$25,Inputs!$B$34,IF(DB$1&lt;Inputs!$B$26,Inputs!$B$28,IF(DB$1&lt;Inputs!$B$27,Inputs!$B$29,Streams!$E$15))))</f>
        <v>35</v>
      </c>
      <c r="DC3" s="10" t="n">
        <f aca="false">IF(DC$1=Inputs!$B$34,Inputs!$B$34,IF(DC$1&lt;Inputs!$B$25,Inputs!$B$34,IF(DC$1&lt;Inputs!$B$26,Inputs!$B$28,IF(DC$1&lt;Inputs!$B$27,Inputs!$B$29,Streams!$E$15))))</f>
        <v>35</v>
      </c>
      <c r="DD3" s="10" t="n">
        <f aca="false">IF(DD$1=Inputs!$B$34,Inputs!$B$34,IF(DD$1&lt;Inputs!$B$25,Inputs!$B$34,IF(DD$1&lt;Inputs!$B$26,Inputs!$B$28,IF(DD$1&lt;Inputs!$B$27,Inputs!$B$29,Streams!$E$15))))</f>
        <v>35</v>
      </c>
      <c r="DE3" s="10" t="n">
        <f aca="false">IF(DE$1=Inputs!$B$34,Inputs!$B$34,IF(DE$1&lt;Inputs!$B$25,Inputs!$B$34,IF(DE$1&lt;Inputs!$B$26,Inputs!$B$28,IF(DE$1&lt;Inputs!$B$27,Inputs!$B$29,Streams!$E$15))))</f>
        <v>35</v>
      </c>
      <c r="DF3" s="10" t="n">
        <f aca="false">IF(DF$1=Inputs!$B$34,Inputs!$B$34,IF(DF$1&lt;Inputs!$B$25,Inputs!$B$34,IF(DF$1&lt;Inputs!$B$26,Inputs!$B$28,IF(DF$1&lt;Inputs!$B$27,Inputs!$B$29,Streams!$E$15))))</f>
        <v>35</v>
      </c>
      <c r="DG3" s="10" t="n">
        <f aca="false">IF(DG$1=Inputs!$B$34,Inputs!$B$34,IF(DG$1&lt;Inputs!$B$25,Inputs!$B$34,IF(DG$1&lt;Inputs!$B$26,Inputs!$B$28,IF(DG$1&lt;Inputs!$B$27,Inputs!$B$29,Streams!$E$15))))</f>
        <v>35</v>
      </c>
      <c r="DH3" s="10" t="n">
        <f aca="false">IF(DH$1=Inputs!$B$34,Inputs!$B$34,IF(DH$1&lt;Inputs!$B$25,Inputs!$B$34,IF(DH$1&lt;Inputs!$B$26,Inputs!$B$28,IF(DH$1&lt;Inputs!$B$27,Inputs!$B$29,Streams!$E$15))))</f>
        <v>35</v>
      </c>
      <c r="DI3" s="10" t="n">
        <f aca="false">IF(DI$1=Inputs!$B$34,Inputs!$B$34,IF(DI$1&lt;Inputs!$B$25,Inputs!$B$34,IF(DI$1&lt;Inputs!$B$26,Inputs!$B$28,IF(DI$1&lt;Inputs!$B$27,Inputs!$B$29,Streams!$E$15))))</f>
        <v>35</v>
      </c>
      <c r="DJ3" s="10" t="n">
        <f aca="false">IF(DJ$1=Inputs!$B$34,Inputs!$B$34,IF(DJ$1&lt;Inputs!$B$25,Inputs!$B$34,IF(DJ$1&lt;Inputs!$B$26,Inputs!$B$28,IF(DJ$1&lt;Inputs!$B$27,Inputs!$B$29,Streams!$E$15))))</f>
        <v>35</v>
      </c>
      <c r="DK3" s="10" t="n">
        <f aca="false">IF(DK$1=Inputs!$B$34,Inputs!$B$34,IF(DK$1&lt;Inputs!$B$25,Inputs!$B$34,IF(DK$1&lt;Inputs!$B$26,Inputs!$B$28,IF(DK$1&lt;Inputs!$B$27,Inputs!$B$29,Streams!$E$15))))</f>
        <v>35</v>
      </c>
      <c r="DL3" s="10" t="n">
        <f aca="false">IF(DL$1=Inputs!$B$34,Inputs!$B$34,IF(DL$1&lt;Inputs!$B$25,Inputs!$B$34,IF(DL$1&lt;Inputs!$B$26,Inputs!$B$28,IF(DL$1&lt;Inputs!$B$27,Inputs!$B$29,Streams!$E$15))))</f>
        <v>35</v>
      </c>
      <c r="DM3" s="10" t="n">
        <f aca="false">IF(DM$1=Inputs!$B$34,Inputs!$B$34,IF(DM$1&lt;Inputs!$B$25,Inputs!$B$34,IF(DM$1&lt;Inputs!$B$26,Inputs!$B$28,IF(DM$1&lt;Inputs!$B$27,Inputs!$B$29,Streams!$E$15))))</f>
        <v>35</v>
      </c>
      <c r="DN3" s="10" t="n">
        <f aca="false">IF(DN$1=Inputs!$B$34,Inputs!$B$34,IF(DN$1&lt;Inputs!$B$25,Inputs!$B$34,IF(DN$1&lt;Inputs!$B$26,Inputs!$B$28,IF(DN$1&lt;Inputs!$B$27,Inputs!$B$29,Streams!$E$15))))</f>
        <v>35</v>
      </c>
      <c r="DO3" s="10" t="n">
        <f aca="false">IF(DO$1=Inputs!$B$34,Inputs!$B$34,IF(DO$1&lt;Inputs!$B$25,Inputs!$B$34,IF(DO$1&lt;Inputs!$B$26,Inputs!$B$28,IF(DO$1&lt;Inputs!$B$27,Inputs!$B$29,Streams!$E$15))))</f>
        <v>35</v>
      </c>
      <c r="DP3" s="10" t="n">
        <f aca="false">IF(DP$1=Inputs!$B$34,Inputs!$B$34,IF(DP$1&lt;Inputs!$B$25,Inputs!$B$34,IF(DP$1&lt;Inputs!$B$26,Inputs!$B$28,IF(DP$1&lt;Inputs!$B$27,Inputs!$B$29,Streams!$E$15))))</f>
        <v>35</v>
      </c>
      <c r="DQ3" s="10" t="n">
        <f aca="false">IF(DQ$1=Inputs!$B$34,Inputs!$B$34,IF(DQ$1&lt;Inputs!$B$25,Inputs!$B$34,IF(DQ$1&lt;Inputs!$B$26,Inputs!$B$28,IF(DQ$1&lt;Inputs!$B$27,Inputs!$B$29,Streams!$E$15))))</f>
        <v>35</v>
      </c>
      <c r="DR3" s="10" t="n">
        <f aca="false">IF(DR$1=Inputs!$B$34,Inputs!$B$34,IF(DR$1&lt;Inputs!$B$25,Inputs!$B$34,IF(DR$1&lt;Inputs!$B$26,Inputs!$B$28,IF(DR$1&lt;Inputs!$B$27,Inputs!$B$29,Streams!$E$15))))</f>
        <v>35</v>
      </c>
    </row>
    <row r="4" customFormat="false" ht="15" hidden="false" customHeight="false" outlineLevel="0" collapsed="false">
      <c r="A4" s="9" t="s">
        <v>173</v>
      </c>
      <c r="B4" s="10" t="n">
        <f aca="false">B3/(Inputs!$B$35+Inputs!$B$9*Inputs!$B$10)</f>
        <v>0</v>
      </c>
      <c r="C4" s="10" t="n">
        <f aca="false">C3/(Inputs!$B$35+Inputs!$B$9*Inputs!$B$10)</f>
        <v>0</v>
      </c>
      <c r="D4" s="10" t="n">
        <f aca="false">D3/(Inputs!$B$35+Inputs!$B$9*Inputs!$B$10)</f>
        <v>0</v>
      </c>
      <c r="E4" s="10" t="n">
        <f aca="false">E3/(Inputs!$B$35+Inputs!$B$9*Inputs!$B$10)</f>
        <v>0</v>
      </c>
      <c r="F4" s="10" t="n">
        <f aca="false">F3/(Inputs!$B$35+Inputs!$B$9*Inputs!$B$10)</f>
        <v>0</v>
      </c>
      <c r="G4" s="10" t="n">
        <f aca="false">G3/(Inputs!$B$35+Inputs!$B$9*Inputs!$B$10)</f>
        <v>0</v>
      </c>
      <c r="H4" s="10" t="n">
        <f aca="false">H3/(Inputs!$B$35+Inputs!$B$9*Inputs!$B$10)</f>
        <v>15</v>
      </c>
      <c r="I4" s="10" t="n">
        <f aca="false">I3/(Inputs!$B$35+Inputs!$B$9*Inputs!$B$10)</f>
        <v>15</v>
      </c>
      <c r="J4" s="10" t="n">
        <f aca="false">J3/(Inputs!$B$35+Inputs!$B$9*Inputs!$B$10)</f>
        <v>15</v>
      </c>
      <c r="K4" s="10" t="n">
        <f aca="false">K3/(Inputs!$B$35+Inputs!$B$9*Inputs!$B$10)</f>
        <v>25</v>
      </c>
      <c r="L4" s="10" t="n">
        <f aca="false">L3/(Inputs!$B$35+Inputs!$B$9*Inputs!$B$10)</f>
        <v>25</v>
      </c>
      <c r="M4" s="10" t="n">
        <f aca="false">M3/(Inputs!$B$35+Inputs!$B$9*Inputs!$B$10)</f>
        <v>25</v>
      </c>
      <c r="N4" s="10" t="n">
        <f aca="false">N3/(Inputs!$B$35+Inputs!$B$9*Inputs!$B$10)</f>
        <v>35</v>
      </c>
      <c r="O4" s="10" t="n">
        <f aca="false">O3/(Inputs!$B$35+Inputs!$B$9*Inputs!$B$10)</f>
        <v>35</v>
      </c>
      <c r="P4" s="10" t="n">
        <f aca="false">P3/(Inputs!$B$35+Inputs!$B$9*Inputs!$B$10)</f>
        <v>35</v>
      </c>
      <c r="Q4" s="10" t="n">
        <f aca="false">Q3/(Inputs!$B$35+Inputs!$B$9*Inputs!$B$10)</f>
        <v>35</v>
      </c>
      <c r="R4" s="10" t="n">
        <f aca="false">R3/(Inputs!$B$35+Inputs!$B$9*Inputs!$B$10)</f>
        <v>35</v>
      </c>
      <c r="S4" s="10" t="n">
        <f aca="false">S3/(Inputs!$B$35+Inputs!$B$9*Inputs!$B$10)</f>
        <v>35</v>
      </c>
      <c r="T4" s="10" t="n">
        <f aca="false">T3/(Inputs!$B$35+Inputs!$B$9*Inputs!$B$10)</f>
        <v>35</v>
      </c>
      <c r="U4" s="10" t="n">
        <f aca="false">U3/(Inputs!$B$35+Inputs!$B$9*Inputs!$B$10)</f>
        <v>35</v>
      </c>
      <c r="V4" s="10" t="n">
        <f aca="false">V3/(Inputs!$B$35+Inputs!$B$9*Inputs!$B$10)</f>
        <v>35</v>
      </c>
      <c r="W4" s="10" t="n">
        <f aca="false">W3/(Inputs!$B$35+Inputs!$B$9*Inputs!$B$10)</f>
        <v>35</v>
      </c>
      <c r="X4" s="10" t="n">
        <f aca="false">X3/(Inputs!$B$35+Inputs!$B$9*Inputs!$B$10)</f>
        <v>35</v>
      </c>
      <c r="Y4" s="10" t="n">
        <f aca="false">Y3/(Inputs!$B$35+Inputs!$B$9*Inputs!$B$10)</f>
        <v>35</v>
      </c>
      <c r="Z4" s="10" t="n">
        <f aca="false">Z3/(Inputs!$B$35+Inputs!$B$9*Inputs!$B$10)</f>
        <v>35</v>
      </c>
      <c r="AA4" s="10" t="n">
        <f aca="false">AA3/(Inputs!$B$35+Inputs!$B$9*Inputs!$B$10)</f>
        <v>35</v>
      </c>
      <c r="AB4" s="10" t="n">
        <f aca="false">AB3/(Inputs!$B$35+Inputs!$B$9*Inputs!$B$10)</f>
        <v>35</v>
      </c>
      <c r="AC4" s="10" t="n">
        <f aca="false">AC3/(Inputs!$B$35+Inputs!$B$9*Inputs!$B$10)</f>
        <v>35</v>
      </c>
      <c r="AD4" s="10" t="n">
        <f aca="false">AD3/(Inputs!$B$35+Inputs!$B$9*Inputs!$B$10)</f>
        <v>35</v>
      </c>
      <c r="AE4" s="10" t="n">
        <f aca="false">AE3/(Inputs!$B$35+Inputs!$B$9*Inputs!$B$10)</f>
        <v>35</v>
      </c>
      <c r="AF4" s="10" t="n">
        <f aca="false">AF3/(Inputs!$B$35+Inputs!$B$9*Inputs!$B$10)</f>
        <v>35</v>
      </c>
      <c r="AG4" s="10" t="n">
        <f aca="false">AG3/(Inputs!$B$35+Inputs!$B$9*Inputs!$B$10)</f>
        <v>35</v>
      </c>
      <c r="AH4" s="10" t="n">
        <f aca="false">AH3/(Inputs!$B$35+Inputs!$B$9*Inputs!$B$10)</f>
        <v>35</v>
      </c>
      <c r="AI4" s="10" t="n">
        <f aca="false">AI3/(Inputs!$B$35+Inputs!$B$9*Inputs!$B$10)</f>
        <v>35</v>
      </c>
      <c r="AJ4" s="10" t="n">
        <f aca="false">AJ3/(Inputs!$B$35+Inputs!$B$9*Inputs!$B$10)</f>
        <v>35</v>
      </c>
      <c r="AK4" s="10" t="n">
        <f aca="false">AK3/(Inputs!$B$35+Inputs!$B$9*Inputs!$B$10)</f>
        <v>35</v>
      </c>
      <c r="AL4" s="10" t="n">
        <f aca="false">AL3/(Inputs!$B$35+Inputs!$B$9*Inputs!$B$10)</f>
        <v>35</v>
      </c>
      <c r="AM4" s="10" t="n">
        <f aca="false">AM3/(Inputs!$B$35+Inputs!$B$9*Inputs!$B$10)</f>
        <v>35</v>
      </c>
      <c r="AN4" s="10" t="n">
        <f aca="false">AN3/(Inputs!$B$35+Inputs!$B$9*Inputs!$B$10)</f>
        <v>35</v>
      </c>
      <c r="AO4" s="10" t="n">
        <f aca="false">AO3/(Inputs!$B$35+Inputs!$B$9*Inputs!$B$10)</f>
        <v>35</v>
      </c>
      <c r="AP4" s="10" t="n">
        <f aca="false">AP3/(Inputs!$B$35+Inputs!$B$9*Inputs!$B$10)</f>
        <v>35</v>
      </c>
      <c r="AQ4" s="10" t="n">
        <f aca="false">AQ3/(Inputs!$B$35+Inputs!$B$9*Inputs!$B$10)</f>
        <v>35</v>
      </c>
      <c r="AR4" s="10" t="n">
        <f aca="false">AR3/(Inputs!$B$35+Inputs!$B$9*Inputs!$B$10)</f>
        <v>35</v>
      </c>
      <c r="AS4" s="10" t="n">
        <f aca="false">AS3/(Inputs!$B$35+Inputs!$B$9*Inputs!$B$10)</f>
        <v>35</v>
      </c>
      <c r="AT4" s="10" t="n">
        <f aca="false">AT3/(Inputs!$B$35+Inputs!$B$9*Inputs!$B$10)</f>
        <v>35</v>
      </c>
      <c r="AU4" s="10" t="n">
        <f aca="false">AU3/(Inputs!$B$35+Inputs!$B$9*Inputs!$B$10)</f>
        <v>35</v>
      </c>
      <c r="AV4" s="10" t="n">
        <f aca="false">AV3/(Inputs!$B$35+Inputs!$B$9*Inputs!$B$10)</f>
        <v>35</v>
      </c>
      <c r="AW4" s="10" t="n">
        <f aca="false">AW3/(Inputs!$B$35+Inputs!$B$9*Inputs!$B$10)</f>
        <v>35</v>
      </c>
      <c r="AX4" s="10" t="n">
        <f aca="false">AX3/(Inputs!$B$35+Inputs!$B$9*Inputs!$B$10)</f>
        <v>35</v>
      </c>
      <c r="AY4" s="10" t="n">
        <f aca="false">AY3/(Inputs!$B$35+Inputs!$B$9*Inputs!$B$10)</f>
        <v>35</v>
      </c>
      <c r="AZ4" s="10" t="n">
        <f aca="false">AZ3/(Inputs!$B$35+Inputs!$B$9*Inputs!$B$10)</f>
        <v>35</v>
      </c>
      <c r="BA4" s="10" t="n">
        <f aca="false">BA3/(Inputs!$B$35+Inputs!$B$9*Inputs!$B$10)</f>
        <v>35</v>
      </c>
      <c r="BB4" s="10" t="n">
        <f aca="false">BB3/(Inputs!$B$35+Inputs!$B$9*Inputs!$B$10)</f>
        <v>35</v>
      </c>
      <c r="BC4" s="10" t="n">
        <f aca="false">BC3/(Inputs!$B$35+Inputs!$B$9*Inputs!$B$10)</f>
        <v>35</v>
      </c>
      <c r="BD4" s="10" t="n">
        <f aca="false">BD3/(Inputs!$B$35+Inputs!$B$9*Inputs!$B$10)</f>
        <v>35</v>
      </c>
      <c r="BE4" s="10" t="n">
        <f aca="false">BE3/(Inputs!$B$35+Inputs!$B$9*Inputs!$B$10)</f>
        <v>35</v>
      </c>
      <c r="BF4" s="10" t="n">
        <f aca="false">BF3/(Inputs!$B$35+Inputs!$B$9*Inputs!$B$10)</f>
        <v>35</v>
      </c>
      <c r="BG4" s="10" t="n">
        <f aca="false">BG3/(Inputs!$B$35+Inputs!$B$9*Inputs!$B$10)</f>
        <v>35</v>
      </c>
      <c r="BH4" s="10" t="n">
        <f aca="false">BH3/(Inputs!$B$35+Inputs!$B$9*Inputs!$B$10)</f>
        <v>35</v>
      </c>
      <c r="BI4" s="10" t="n">
        <f aca="false">BI3/(Inputs!$B$35+Inputs!$B$9*Inputs!$B$10)</f>
        <v>35</v>
      </c>
      <c r="BJ4" s="10" t="n">
        <f aca="false">BJ3/(Inputs!$B$35+Inputs!$B$9*Inputs!$B$10)</f>
        <v>35</v>
      </c>
      <c r="BK4" s="10" t="n">
        <f aca="false">BK3/(Inputs!$B$35+Inputs!$B$9*Inputs!$B$10)</f>
        <v>35</v>
      </c>
      <c r="BL4" s="10" t="n">
        <f aca="false">BL3/(Inputs!$B$35+Inputs!$B$9*Inputs!$B$10)</f>
        <v>35</v>
      </c>
      <c r="BM4" s="10" t="n">
        <f aca="false">BM3/(Inputs!$B$35+Inputs!$B$9*Inputs!$B$10)</f>
        <v>35</v>
      </c>
      <c r="BN4" s="10" t="n">
        <f aca="false">BN3/(Inputs!$B$35+Inputs!$B$9*Inputs!$B$10)</f>
        <v>35</v>
      </c>
      <c r="BO4" s="10" t="n">
        <f aca="false">BO3/(Inputs!$B$35+Inputs!$B$9*Inputs!$B$10)</f>
        <v>35</v>
      </c>
      <c r="BP4" s="10" t="n">
        <f aca="false">BP3/(Inputs!$B$35+Inputs!$B$9*Inputs!$B$10)</f>
        <v>35</v>
      </c>
      <c r="BQ4" s="10" t="n">
        <f aca="false">BQ3/(Inputs!$B$35+Inputs!$B$9*Inputs!$B$10)</f>
        <v>35</v>
      </c>
      <c r="BR4" s="10" t="n">
        <f aca="false">BR3/(Inputs!$B$35+Inputs!$B$9*Inputs!$B$10)</f>
        <v>35</v>
      </c>
      <c r="BS4" s="10" t="n">
        <f aca="false">BS3/(Inputs!$B$35+Inputs!$B$9*Inputs!$B$10)</f>
        <v>35</v>
      </c>
      <c r="BT4" s="10" t="n">
        <f aca="false">BT3/(Inputs!$B$35+Inputs!$B$9*Inputs!$B$10)</f>
        <v>35</v>
      </c>
      <c r="BU4" s="10" t="n">
        <f aca="false">BU3/(Inputs!$B$35+Inputs!$B$9*Inputs!$B$10)</f>
        <v>35</v>
      </c>
      <c r="BV4" s="10" t="n">
        <f aca="false">BV3/(Inputs!$B$35+Inputs!$B$9*Inputs!$B$10)</f>
        <v>35</v>
      </c>
      <c r="BW4" s="10" t="n">
        <f aca="false">BW3/(Inputs!$B$35+Inputs!$B$9*Inputs!$B$10)</f>
        <v>35</v>
      </c>
      <c r="BX4" s="10" t="n">
        <f aca="false">BX3/(Inputs!$B$35+Inputs!$B$9*Inputs!$B$10)</f>
        <v>35</v>
      </c>
      <c r="BY4" s="10" t="n">
        <f aca="false">BY3/(Inputs!$B$35+Inputs!$B$9*Inputs!$B$10)</f>
        <v>35</v>
      </c>
      <c r="BZ4" s="10" t="n">
        <f aca="false">BZ3/(Inputs!$B$35+Inputs!$B$9*Inputs!$B$10)</f>
        <v>35</v>
      </c>
      <c r="CA4" s="10" t="n">
        <f aca="false">CA3/(Inputs!$B$35+Inputs!$B$9*Inputs!$B$10)</f>
        <v>35</v>
      </c>
      <c r="CB4" s="10" t="n">
        <f aca="false">CB3/(Inputs!$B$35+Inputs!$B$9*Inputs!$B$10)</f>
        <v>35</v>
      </c>
      <c r="CC4" s="10" t="n">
        <f aca="false">CC3/(Inputs!$B$35+Inputs!$B$9*Inputs!$B$10)</f>
        <v>35</v>
      </c>
      <c r="CD4" s="10" t="n">
        <f aca="false">CD3/(Inputs!$B$35+Inputs!$B$9*Inputs!$B$10)</f>
        <v>35</v>
      </c>
      <c r="CE4" s="10" t="n">
        <f aca="false">CE3/(Inputs!$B$35+Inputs!$B$9*Inputs!$B$10)</f>
        <v>35</v>
      </c>
      <c r="CF4" s="10" t="n">
        <f aca="false">CF3/(Inputs!$B$35+Inputs!$B$9*Inputs!$B$10)</f>
        <v>35</v>
      </c>
      <c r="CG4" s="10" t="n">
        <f aca="false">CG3/(Inputs!$B$35+Inputs!$B$9*Inputs!$B$10)</f>
        <v>35</v>
      </c>
      <c r="CH4" s="10" t="n">
        <f aca="false">CH3/(Inputs!$B$35+Inputs!$B$9*Inputs!$B$10)</f>
        <v>35</v>
      </c>
      <c r="CI4" s="10" t="n">
        <f aca="false">CI3/(Inputs!$B$35+Inputs!$B$9*Inputs!$B$10)</f>
        <v>35</v>
      </c>
      <c r="CJ4" s="10" t="n">
        <f aca="false">CJ3/(Inputs!$B$35+Inputs!$B$9*Inputs!$B$10)</f>
        <v>35</v>
      </c>
      <c r="CK4" s="10" t="n">
        <f aca="false">CK3/(Inputs!$B$35+Inputs!$B$9*Inputs!$B$10)</f>
        <v>35</v>
      </c>
      <c r="CL4" s="10" t="n">
        <f aca="false">CL3/(Inputs!$B$35+Inputs!$B$9*Inputs!$B$10)</f>
        <v>35</v>
      </c>
      <c r="CM4" s="10" t="n">
        <f aca="false">CM3/(Inputs!$B$35+Inputs!$B$9*Inputs!$B$10)</f>
        <v>35</v>
      </c>
      <c r="CN4" s="10" t="n">
        <f aca="false">CN3/(Inputs!$B$35+Inputs!$B$9*Inputs!$B$10)</f>
        <v>35</v>
      </c>
      <c r="CO4" s="10" t="n">
        <f aca="false">CO3/(Inputs!$B$35+Inputs!$B$9*Inputs!$B$10)</f>
        <v>35</v>
      </c>
      <c r="CP4" s="10" t="n">
        <f aca="false">CP3/(Inputs!$B$35+Inputs!$B$9*Inputs!$B$10)</f>
        <v>35</v>
      </c>
      <c r="CQ4" s="10" t="n">
        <f aca="false">CQ3/(Inputs!$B$35+Inputs!$B$9*Inputs!$B$10)</f>
        <v>35</v>
      </c>
      <c r="CR4" s="10" t="n">
        <f aca="false">CR3/(Inputs!$B$35+Inputs!$B$9*Inputs!$B$10)</f>
        <v>35</v>
      </c>
      <c r="CS4" s="10" t="n">
        <f aca="false">CS3/(Inputs!$B$35+Inputs!$B$9*Inputs!$B$10)</f>
        <v>35</v>
      </c>
      <c r="CT4" s="10" t="n">
        <f aca="false">CT3/(Inputs!$B$35+Inputs!$B$9*Inputs!$B$10)</f>
        <v>35</v>
      </c>
      <c r="CU4" s="10" t="n">
        <f aca="false">CU3/(Inputs!$B$35+Inputs!$B$9*Inputs!$B$10)</f>
        <v>35</v>
      </c>
      <c r="CV4" s="10" t="n">
        <f aca="false">CV3/(Inputs!$B$35+Inputs!$B$9*Inputs!$B$10)</f>
        <v>35</v>
      </c>
      <c r="CW4" s="10" t="n">
        <f aca="false">CW3/(Inputs!$B$35+Inputs!$B$9*Inputs!$B$10)</f>
        <v>35</v>
      </c>
      <c r="CX4" s="10" t="n">
        <f aca="false">CX3/(Inputs!$B$35+Inputs!$B$9*Inputs!$B$10)</f>
        <v>35</v>
      </c>
      <c r="CY4" s="10" t="n">
        <f aca="false">CY3/(Inputs!$B$35+Inputs!$B$9*Inputs!$B$10)</f>
        <v>35</v>
      </c>
      <c r="CZ4" s="10" t="n">
        <f aca="false">CZ3/(Inputs!$B$35+Inputs!$B$9*Inputs!$B$10)</f>
        <v>35</v>
      </c>
      <c r="DA4" s="10" t="n">
        <f aca="false">DA3/(Inputs!$B$35+Inputs!$B$9*Inputs!$B$10)</f>
        <v>35</v>
      </c>
      <c r="DB4" s="10" t="n">
        <f aca="false">DB3/(Inputs!$B$35+Inputs!$B$9*Inputs!$B$10)</f>
        <v>35</v>
      </c>
      <c r="DC4" s="10" t="n">
        <f aca="false">DC3/(Inputs!$B$35+Inputs!$B$9*Inputs!$B$10)</f>
        <v>35</v>
      </c>
      <c r="DD4" s="10" t="n">
        <f aca="false">DD3/(Inputs!$B$35+Inputs!$B$9*Inputs!$B$10)</f>
        <v>35</v>
      </c>
      <c r="DE4" s="10" t="n">
        <f aca="false">DE3/(Inputs!$B$35+Inputs!$B$9*Inputs!$B$10)</f>
        <v>35</v>
      </c>
      <c r="DF4" s="10" t="n">
        <f aca="false">DF3/(Inputs!$B$35+Inputs!$B$9*Inputs!$B$10)</f>
        <v>35</v>
      </c>
      <c r="DG4" s="10" t="n">
        <f aca="false">DG3/(Inputs!$B$35+Inputs!$B$9*Inputs!$B$10)</f>
        <v>35</v>
      </c>
      <c r="DH4" s="10" t="n">
        <f aca="false">DH3/(Inputs!$B$35+Inputs!$B$9*Inputs!$B$10)</f>
        <v>35</v>
      </c>
      <c r="DI4" s="10" t="n">
        <f aca="false">DI3/(Inputs!$B$35+Inputs!$B$9*Inputs!$B$10)</f>
        <v>35</v>
      </c>
      <c r="DJ4" s="10" t="n">
        <f aca="false">DJ3/(Inputs!$B$35+Inputs!$B$9*Inputs!$B$10)</f>
        <v>35</v>
      </c>
      <c r="DK4" s="10" t="n">
        <f aca="false">DK3/(Inputs!$B$35+Inputs!$B$9*Inputs!$B$10)</f>
        <v>35</v>
      </c>
      <c r="DL4" s="10" t="n">
        <f aca="false">DL3/(Inputs!$B$35+Inputs!$B$9*Inputs!$B$10)</f>
        <v>35</v>
      </c>
      <c r="DM4" s="10" t="n">
        <f aca="false">DM3/(Inputs!$B$35+Inputs!$B$9*Inputs!$B$10)</f>
        <v>35</v>
      </c>
      <c r="DN4" s="10" t="n">
        <f aca="false">DN3/(Inputs!$B$35+Inputs!$B$9*Inputs!$B$10)</f>
        <v>35</v>
      </c>
      <c r="DO4" s="10" t="n">
        <f aca="false">DO3/(Inputs!$B$35+Inputs!$B$9*Inputs!$B$10)</f>
        <v>35</v>
      </c>
      <c r="DP4" s="10" t="n">
        <f aca="false">DP3/(Inputs!$B$35+Inputs!$B$9*Inputs!$B$10)</f>
        <v>35</v>
      </c>
      <c r="DQ4" s="10" t="n">
        <f aca="false">DQ3/(Inputs!$B$35+Inputs!$B$9*Inputs!$B$10)</f>
        <v>35</v>
      </c>
      <c r="DR4" s="10" t="n">
        <f aca="false">DR3/(Inputs!$B$35+Inputs!$B$9*Inputs!$B$10)</f>
        <v>35</v>
      </c>
    </row>
    <row r="5" customFormat="false" ht="15" hidden="false" customHeight="false" outlineLevel="0" collapsed="false">
      <c r="A5" s="9" t="s">
        <v>174</v>
      </c>
      <c r="B5" s="11" t="n">
        <f aca="false">B3-B4</f>
        <v>0</v>
      </c>
      <c r="C5" s="11" t="n">
        <f aca="false">C3-C4</f>
        <v>0</v>
      </c>
      <c r="D5" s="11" t="n">
        <f aca="false">D3-D4</f>
        <v>0</v>
      </c>
      <c r="E5" s="11" t="n">
        <f aca="false">E3-E4</f>
        <v>0</v>
      </c>
      <c r="F5" s="11" t="n">
        <f aca="false">F3-F4</f>
        <v>0</v>
      </c>
      <c r="G5" s="11" t="n">
        <f aca="false">G3-G4</f>
        <v>0</v>
      </c>
      <c r="H5" s="11" t="n">
        <f aca="false">H3-H4</f>
        <v>0</v>
      </c>
      <c r="I5" s="11" t="n">
        <f aca="false">I3-I4</f>
        <v>0</v>
      </c>
      <c r="J5" s="11" t="n">
        <f aca="false">J3-J4</f>
        <v>0</v>
      </c>
      <c r="K5" s="11" t="n">
        <f aca="false">K3-K4</f>
        <v>0</v>
      </c>
      <c r="L5" s="11" t="n">
        <f aca="false">L3-L4</f>
        <v>0</v>
      </c>
      <c r="M5" s="11" t="n">
        <f aca="false">M3-M4</f>
        <v>0</v>
      </c>
      <c r="N5" s="11" t="n">
        <f aca="false">N3-N4</f>
        <v>0</v>
      </c>
      <c r="O5" s="11" t="n">
        <f aca="false">O3-O4</f>
        <v>0</v>
      </c>
      <c r="P5" s="11" t="n">
        <f aca="false">P3-P4</f>
        <v>0</v>
      </c>
      <c r="Q5" s="11" t="n">
        <f aca="false">Q3-Q4</f>
        <v>0</v>
      </c>
      <c r="R5" s="11" t="n">
        <f aca="false">R3-R4</f>
        <v>0</v>
      </c>
      <c r="S5" s="11" t="n">
        <f aca="false">S3-S4</f>
        <v>0</v>
      </c>
      <c r="T5" s="11" t="n">
        <f aca="false">T3-T4</f>
        <v>0</v>
      </c>
      <c r="U5" s="11" t="n">
        <f aca="false">U3-U4</f>
        <v>0</v>
      </c>
      <c r="V5" s="11" t="n">
        <f aca="false">V3-V4</f>
        <v>0</v>
      </c>
      <c r="W5" s="11" t="n">
        <f aca="false">W3-W4</f>
        <v>0</v>
      </c>
      <c r="X5" s="11" t="n">
        <f aca="false">X3-X4</f>
        <v>0</v>
      </c>
      <c r="Y5" s="11" t="n">
        <f aca="false">Y3-Y4</f>
        <v>0</v>
      </c>
      <c r="Z5" s="11" t="n">
        <f aca="false">Z3-Z4</f>
        <v>0</v>
      </c>
      <c r="AA5" s="11" t="n">
        <f aca="false">AA3-AA4</f>
        <v>0</v>
      </c>
      <c r="AB5" s="11" t="n">
        <f aca="false">AB3-AB4</f>
        <v>0</v>
      </c>
      <c r="AC5" s="11" t="n">
        <f aca="false">AC3-AC4</f>
        <v>0</v>
      </c>
      <c r="AD5" s="11" t="n">
        <f aca="false">AD3-AD4</f>
        <v>0</v>
      </c>
      <c r="AE5" s="11" t="n">
        <f aca="false">AE3-AE4</f>
        <v>0</v>
      </c>
      <c r="AF5" s="11" t="n">
        <f aca="false">AF3-AF4</f>
        <v>0</v>
      </c>
      <c r="AG5" s="11" t="n">
        <f aca="false">AG3-AG4</f>
        <v>0</v>
      </c>
      <c r="AH5" s="11" t="n">
        <f aca="false">AH3-AH4</f>
        <v>0</v>
      </c>
      <c r="AI5" s="11" t="n">
        <f aca="false">AI3-AI4</f>
        <v>0</v>
      </c>
      <c r="AJ5" s="11" t="n">
        <f aca="false">AJ3-AJ4</f>
        <v>0</v>
      </c>
      <c r="AK5" s="11" t="n">
        <f aca="false">AK3-AK4</f>
        <v>0</v>
      </c>
      <c r="AL5" s="11" t="n">
        <f aca="false">AL3-AL4</f>
        <v>0</v>
      </c>
      <c r="AM5" s="11" t="n">
        <f aca="false">AM3-AM4</f>
        <v>0</v>
      </c>
      <c r="AN5" s="11" t="n">
        <f aca="false">AN3-AN4</f>
        <v>0</v>
      </c>
      <c r="AO5" s="11" t="n">
        <f aca="false">AO3-AO4</f>
        <v>0</v>
      </c>
      <c r="AP5" s="11" t="n">
        <f aca="false">AP3-AP4</f>
        <v>0</v>
      </c>
      <c r="AQ5" s="11" t="n">
        <f aca="false">AQ3-AQ4</f>
        <v>0</v>
      </c>
      <c r="AR5" s="11" t="n">
        <f aca="false">AR3-AR4</f>
        <v>0</v>
      </c>
      <c r="AS5" s="11" t="n">
        <f aca="false">AS3-AS4</f>
        <v>0</v>
      </c>
      <c r="AT5" s="11" t="n">
        <f aca="false">AT3-AT4</f>
        <v>0</v>
      </c>
      <c r="AU5" s="11" t="n">
        <f aca="false">AU3-AU4</f>
        <v>0</v>
      </c>
      <c r="AV5" s="11" t="n">
        <f aca="false">AV3-AV4</f>
        <v>0</v>
      </c>
      <c r="AW5" s="11" t="n">
        <f aca="false">AW3-AW4</f>
        <v>0</v>
      </c>
      <c r="AX5" s="11" t="n">
        <f aca="false">AX3-AX4</f>
        <v>0</v>
      </c>
      <c r="AY5" s="11" t="n">
        <f aca="false">AY3-AY4</f>
        <v>0</v>
      </c>
      <c r="AZ5" s="11" t="n">
        <f aca="false">AZ3-AZ4</f>
        <v>0</v>
      </c>
      <c r="BA5" s="11" t="n">
        <f aca="false">BA3-BA4</f>
        <v>0</v>
      </c>
      <c r="BB5" s="11" t="n">
        <f aca="false">BB3-BB4</f>
        <v>0</v>
      </c>
      <c r="BC5" s="11" t="n">
        <f aca="false">BC3-BC4</f>
        <v>0</v>
      </c>
      <c r="BD5" s="11" t="n">
        <f aca="false">BD3-BD4</f>
        <v>0</v>
      </c>
      <c r="BE5" s="11" t="n">
        <f aca="false">BE3-BE4</f>
        <v>0</v>
      </c>
      <c r="BF5" s="11" t="n">
        <f aca="false">BF3-BF4</f>
        <v>0</v>
      </c>
      <c r="BG5" s="11" t="n">
        <f aca="false">BG3-BG4</f>
        <v>0</v>
      </c>
      <c r="BH5" s="11" t="n">
        <f aca="false">BH3-BH4</f>
        <v>0</v>
      </c>
      <c r="BI5" s="11" t="n">
        <f aca="false">BI3-BI4</f>
        <v>0</v>
      </c>
      <c r="BJ5" s="11" t="n">
        <f aca="false">BJ3-BJ4</f>
        <v>0</v>
      </c>
      <c r="BK5" s="11" t="n">
        <f aca="false">BK3-BK4</f>
        <v>0</v>
      </c>
      <c r="BL5" s="11" t="n">
        <f aca="false">BL3-BL4</f>
        <v>0</v>
      </c>
      <c r="BM5" s="11" t="n">
        <f aca="false">BM3-BM4</f>
        <v>0</v>
      </c>
      <c r="BN5" s="11" t="n">
        <f aca="false">BN3-BN4</f>
        <v>0</v>
      </c>
      <c r="BO5" s="11" t="n">
        <f aca="false">BO3-BO4</f>
        <v>0</v>
      </c>
      <c r="BP5" s="11" t="n">
        <f aca="false">BP3-BP4</f>
        <v>0</v>
      </c>
      <c r="BQ5" s="11" t="n">
        <f aca="false">BQ3-BQ4</f>
        <v>0</v>
      </c>
      <c r="BR5" s="11" t="n">
        <f aca="false">BR3-BR4</f>
        <v>0</v>
      </c>
      <c r="BS5" s="11" t="n">
        <f aca="false">BS3-BS4</f>
        <v>0</v>
      </c>
      <c r="BT5" s="11" t="n">
        <f aca="false">BT3-BT4</f>
        <v>0</v>
      </c>
      <c r="BU5" s="11" t="n">
        <f aca="false">BU3-BU4</f>
        <v>0</v>
      </c>
      <c r="BV5" s="11" t="n">
        <f aca="false">BV3-BV4</f>
        <v>0</v>
      </c>
      <c r="BW5" s="11" t="n">
        <f aca="false">BW3-BW4</f>
        <v>0</v>
      </c>
      <c r="BX5" s="11" t="n">
        <f aca="false">BX3-BX4</f>
        <v>0</v>
      </c>
      <c r="BY5" s="11" t="n">
        <f aca="false">BY3-BY4</f>
        <v>0</v>
      </c>
      <c r="BZ5" s="11" t="n">
        <f aca="false">BZ3-BZ4</f>
        <v>0</v>
      </c>
      <c r="CA5" s="11" t="n">
        <f aca="false">CA3-CA4</f>
        <v>0</v>
      </c>
      <c r="CB5" s="11" t="n">
        <f aca="false">CB3-CB4</f>
        <v>0</v>
      </c>
      <c r="CC5" s="11" t="n">
        <f aca="false">CC3-CC4</f>
        <v>0</v>
      </c>
      <c r="CD5" s="11" t="n">
        <f aca="false">CD3-CD4</f>
        <v>0</v>
      </c>
      <c r="CE5" s="11" t="n">
        <f aca="false">CE3-CE4</f>
        <v>0</v>
      </c>
      <c r="CF5" s="11" t="n">
        <f aca="false">CF3-CF4</f>
        <v>0</v>
      </c>
      <c r="CG5" s="11" t="n">
        <f aca="false">CG3-CG4</f>
        <v>0</v>
      </c>
      <c r="CH5" s="11" t="n">
        <f aca="false">CH3-CH4</f>
        <v>0</v>
      </c>
      <c r="CI5" s="11" t="n">
        <f aca="false">CI3-CI4</f>
        <v>0</v>
      </c>
      <c r="CJ5" s="11" t="n">
        <f aca="false">CJ3-CJ4</f>
        <v>0</v>
      </c>
      <c r="CK5" s="11" t="n">
        <f aca="false">CK3-CK4</f>
        <v>0</v>
      </c>
      <c r="CL5" s="11" t="n">
        <f aca="false">CL3-CL4</f>
        <v>0</v>
      </c>
      <c r="CM5" s="11" t="n">
        <f aca="false">CM3-CM4</f>
        <v>0</v>
      </c>
      <c r="CN5" s="11" t="n">
        <f aca="false">CN3-CN4</f>
        <v>0</v>
      </c>
      <c r="CO5" s="11" t="n">
        <f aca="false">CO3-CO4</f>
        <v>0</v>
      </c>
      <c r="CP5" s="11" t="n">
        <f aca="false">CP3-CP4</f>
        <v>0</v>
      </c>
      <c r="CQ5" s="11" t="n">
        <f aca="false">CQ3-CQ4</f>
        <v>0</v>
      </c>
      <c r="CR5" s="11" t="n">
        <f aca="false">CR3-CR4</f>
        <v>0</v>
      </c>
      <c r="CS5" s="11" t="n">
        <f aca="false">CS3-CS4</f>
        <v>0</v>
      </c>
      <c r="CT5" s="11" t="n">
        <f aca="false">CT3-CT4</f>
        <v>0</v>
      </c>
      <c r="CU5" s="11" t="n">
        <f aca="false">CU3-CU4</f>
        <v>0</v>
      </c>
      <c r="CV5" s="11" t="n">
        <f aca="false">CV3-CV4</f>
        <v>0</v>
      </c>
      <c r="CW5" s="11" t="n">
        <f aca="false">CW3-CW4</f>
        <v>0</v>
      </c>
      <c r="CX5" s="11" t="n">
        <f aca="false">CX3-CX4</f>
        <v>0</v>
      </c>
      <c r="CY5" s="11" t="n">
        <f aca="false">CY3-CY4</f>
        <v>0</v>
      </c>
      <c r="CZ5" s="11" t="n">
        <f aca="false">CZ3-CZ4</f>
        <v>0</v>
      </c>
      <c r="DA5" s="11" t="n">
        <f aca="false">DA3-DA4</f>
        <v>0</v>
      </c>
      <c r="DB5" s="11" t="n">
        <f aca="false">DB3-DB4</f>
        <v>0</v>
      </c>
      <c r="DC5" s="11" t="n">
        <f aca="false">DC3-DC4</f>
        <v>0</v>
      </c>
      <c r="DD5" s="11" t="n">
        <f aca="false">DD3-DD4</f>
        <v>0</v>
      </c>
      <c r="DE5" s="11" t="n">
        <f aca="false">DE3-DE4</f>
        <v>0</v>
      </c>
      <c r="DF5" s="11" t="n">
        <f aca="false">DF3-DF4</f>
        <v>0</v>
      </c>
      <c r="DG5" s="11" t="n">
        <f aca="false">DG3-DG4</f>
        <v>0</v>
      </c>
      <c r="DH5" s="11" t="n">
        <f aca="false">DH3-DH4</f>
        <v>0</v>
      </c>
      <c r="DI5" s="11" t="n">
        <f aca="false">DI3-DI4</f>
        <v>0</v>
      </c>
      <c r="DJ5" s="11" t="n">
        <f aca="false">DJ3-DJ4</f>
        <v>0</v>
      </c>
      <c r="DK5" s="11" t="n">
        <f aca="false">DK3-DK4</f>
        <v>0</v>
      </c>
      <c r="DL5" s="11" t="n">
        <f aca="false">DL3-DL4</f>
        <v>0</v>
      </c>
      <c r="DM5" s="11" t="n">
        <f aca="false">DM3-DM4</f>
        <v>0</v>
      </c>
      <c r="DN5" s="11" t="n">
        <f aca="false">DN3-DN4</f>
        <v>0</v>
      </c>
      <c r="DO5" s="11" t="n">
        <f aca="false">DO3-DO4</f>
        <v>0</v>
      </c>
      <c r="DP5" s="11" t="n">
        <f aca="false">DP3-DP4</f>
        <v>0</v>
      </c>
      <c r="DQ5" s="11" t="n">
        <f aca="false">DQ3-DQ4</f>
        <v>0</v>
      </c>
      <c r="DR5" s="11" t="n">
        <f aca="false">DR3-DR4</f>
        <v>0</v>
      </c>
    </row>
    <row r="6" customFormat="false" ht="15" hidden="false" customHeight="false" outlineLevel="0" collapsed="false">
      <c r="A6" s="9" t="s">
        <v>175</v>
      </c>
      <c r="B6" s="10" t="n">
        <f aca="false">B4*Streams!$E$2/Streams!$E$15</f>
        <v>0</v>
      </c>
      <c r="C6" s="10" t="n">
        <f aca="false">C4*Streams!$E$2/Streams!$E$15</f>
        <v>0</v>
      </c>
      <c r="D6" s="10" t="n">
        <f aca="false">D4*Streams!$E$2/Streams!$E$15</f>
        <v>0</v>
      </c>
      <c r="E6" s="10" t="n">
        <f aca="false">E4*Streams!$E$2/Streams!$E$15</f>
        <v>0</v>
      </c>
      <c r="F6" s="10" t="n">
        <f aca="false">F4*Streams!$E$2/Streams!$E$15</f>
        <v>0</v>
      </c>
      <c r="G6" s="10" t="n">
        <f aca="false">G4*Streams!$E$2/Streams!$E$15</f>
        <v>0</v>
      </c>
      <c r="H6" s="10" t="n">
        <f aca="false">H4*Streams!$E$2/Streams!$E$15</f>
        <v>3.42857142857143</v>
      </c>
      <c r="I6" s="10" t="n">
        <f aca="false">I4*Streams!$E$2/Streams!$E$15</f>
        <v>3.42857142857143</v>
      </c>
      <c r="J6" s="10" t="n">
        <f aca="false">J4*Streams!$E$2/Streams!$E$15</f>
        <v>3.42857142857143</v>
      </c>
      <c r="K6" s="10" t="n">
        <f aca="false">K4*Streams!$E$2/Streams!$E$15</f>
        <v>5.71428571428571</v>
      </c>
      <c r="L6" s="10" t="n">
        <f aca="false">L4*Streams!$E$2/Streams!$E$15</f>
        <v>5.71428571428571</v>
      </c>
      <c r="M6" s="10" t="n">
        <f aca="false">M4*Streams!$E$2/Streams!$E$15</f>
        <v>5.71428571428571</v>
      </c>
      <c r="N6" s="10" t="n">
        <f aca="false">N4*Streams!$E$2/Streams!$E$15</f>
        <v>8</v>
      </c>
      <c r="O6" s="10" t="n">
        <f aca="false">O4*Streams!$E$2/Streams!$E$15</f>
        <v>8</v>
      </c>
      <c r="P6" s="10" t="n">
        <f aca="false">P4*Streams!$E$2/Streams!$E$15</f>
        <v>8</v>
      </c>
      <c r="Q6" s="10" t="n">
        <f aca="false">Q4*Streams!$E$2/Streams!$E$15</f>
        <v>8</v>
      </c>
      <c r="R6" s="10" t="n">
        <f aca="false">R4*Streams!$E$2/Streams!$E$15</f>
        <v>8</v>
      </c>
      <c r="S6" s="10" t="n">
        <f aca="false">S4*Streams!$E$2/Streams!$E$15</f>
        <v>8</v>
      </c>
      <c r="T6" s="10" t="n">
        <f aca="false">T4*Streams!$E$2/Streams!$E$15</f>
        <v>8</v>
      </c>
      <c r="U6" s="10" t="n">
        <f aca="false">U4*Streams!$E$2/Streams!$E$15</f>
        <v>8</v>
      </c>
      <c r="V6" s="10" t="n">
        <f aca="false">V4*Streams!$E$2/Streams!$E$15</f>
        <v>8</v>
      </c>
      <c r="W6" s="10" t="n">
        <f aca="false">W4*Streams!$E$2/Streams!$E$15</f>
        <v>8</v>
      </c>
      <c r="X6" s="10" t="n">
        <f aca="false">X4*Streams!$E$2/Streams!$E$15</f>
        <v>8</v>
      </c>
      <c r="Y6" s="10" t="n">
        <f aca="false">Y4*Streams!$E$2/Streams!$E$15</f>
        <v>8</v>
      </c>
      <c r="Z6" s="10" t="n">
        <f aca="false">Z4*Streams!$E$2/Streams!$E$15</f>
        <v>8</v>
      </c>
      <c r="AA6" s="10" t="n">
        <f aca="false">AA4*Streams!$E$2/Streams!$E$15</f>
        <v>8</v>
      </c>
      <c r="AB6" s="10" t="n">
        <f aca="false">AB4*Streams!$E$2/Streams!$E$15</f>
        <v>8</v>
      </c>
      <c r="AC6" s="10" t="n">
        <f aca="false">AC4*Streams!$E$2/Streams!$E$15</f>
        <v>8</v>
      </c>
      <c r="AD6" s="10" t="n">
        <f aca="false">AD4*Streams!$E$2/Streams!$E$15</f>
        <v>8</v>
      </c>
      <c r="AE6" s="10" t="n">
        <f aca="false">AE4*Streams!$E$2/Streams!$E$15</f>
        <v>8</v>
      </c>
      <c r="AF6" s="10" t="n">
        <f aca="false">AF4*Streams!$E$2/Streams!$E$15</f>
        <v>8</v>
      </c>
      <c r="AG6" s="10" t="n">
        <f aca="false">AG4*Streams!$E$2/Streams!$E$15</f>
        <v>8</v>
      </c>
      <c r="AH6" s="10" t="n">
        <f aca="false">AH4*Streams!$E$2/Streams!$E$15</f>
        <v>8</v>
      </c>
      <c r="AI6" s="10" t="n">
        <f aca="false">AI4*Streams!$E$2/Streams!$E$15</f>
        <v>8</v>
      </c>
      <c r="AJ6" s="10" t="n">
        <f aca="false">AJ4*Streams!$E$2/Streams!$E$15</f>
        <v>8</v>
      </c>
      <c r="AK6" s="10" t="n">
        <f aca="false">AK4*Streams!$E$2/Streams!$E$15</f>
        <v>8</v>
      </c>
      <c r="AL6" s="10" t="n">
        <f aca="false">AL4*Streams!$E$2/Streams!$E$15</f>
        <v>8</v>
      </c>
      <c r="AM6" s="10" t="n">
        <f aca="false">AM4*Streams!$E$2/Streams!$E$15</f>
        <v>8</v>
      </c>
      <c r="AN6" s="10" t="n">
        <f aca="false">AN4*Streams!$E$2/Streams!$E$15</f>
        <v>8</v>
      </c>
      <c r="AO6" s="10" t="n">
        <f aca="false">AO4*Streams!$E$2/Streams!$E$15</f>
        <v>8</v>
      </c>
      <c r="AP6" s="10" t="n">
        <f aca="false">AP4*Streams!$E$2/Streams!$E$15</f>
        <v>8</v>
      </c>
      <c r="AQ6" s="10" t="n">
        <f aca="false">AQ4*Streams!$E$2/Streams!$E$15</f>
        <v>8</v>
      </c>
      <c r="AR6" s="10" t="n">
        <f aca="false">AR4*Streams!$E$2/Streams!$E$15</f>
        <v>8</v>
      </c>
      <c r="AS6" s="10" t="n">
        <f aca="false">AS4*Streams!$E$2/Streams!$E$15</f>
        <v>8</v>
      </c>
      <c r="AT6" s="10" t="n">
        <f aca="false">AT4*Streams!$E$2/Streams!$E$15</f>
        <v>8</v>
      </c>
      <c r="AU6" s="10" t="n">
        <f aca="false">AU4*Streams!$E$2/Streams!$E$15</f>
        <v>8</v>
      </c>
      <c r="AV6" s="10" t="n">
        <f aca="false">AV4*Streams!$E$2/Streams!$E$15</f>
        <v>8</v>
      </c>
      <c r="AW6" s="10" t="n">
        <f aca="false">AW4*Streams!$E$2/Streams!$E$15</f>
        <v>8</v>
      </c>
      <c r="AX6" s="10" t="n">
        <f aca="false">AX4*Streams!$E$2/Streams!$E$15</f>
        <v>8</v>
      </c>
      <c r="AY6" s="10" t="n">
        <f aca="false">AY4*Streams!$E$2/Streams!$E$15</f>
        <v>8</v>
      </c>
      <c r="AZ6" s="10" t="n">
        <f aca="false">AZ4*Streams!$E$2/Streams!$E$15</f>
        <v>8</v>
      </c>
      <c r="BA6" s="10" t="n">
        <f aca="false">BA4*Streams!$E$2/Streams!$E$15</f>
        <v>8</v>
      </c>
      <c r="BB6" s="10" t="n">
        <f aca="false">BB4*Streams!$E$2/Streams!$E$15</f>
        <v>8</v>
      </c>
      <c r="BC6" s="10" t="n">
        <f aca="false">BC4*Streams!$E$2/Streams!$E$15</f>
        <v>8</v>
      </c>
      <c r="BD6" s="10" t="n">
        <f aca="false">BD4*Streams!$E$2/Streams!$E$15</f>
        <v>8</v>
      </c>
      <c r="BE6" s="10" t="n">
        <f aca="false">BE4*Streams!$E$2/Streams!$E$15</f>
        <v>8</v>
      </c>
      <c r="BF6" s="10" t="n">
        <f aca="false">BF4*Streams!$E$2/Streams!$E$15</f>
        <v>8</v>
      </c>
      <c r="BG6" s="10" t="n">
        <f aca="false">BG4*Streams!$E$2/Streams!$E$15</f>
        <v>8</v>
      </c>
      <c r="BH6" s="10" t="n">
        <f aca="false">BH4*Streams!$E$2/Streams!$E$15</f>
        <v>8</v>
      </c>
      <c r="BI6" s="10" t="n">
        <f aca="false">BI4*Streams!$E$2/Streams!$E$15</f>
        <v>8</v>
      </c>
      <c r="BJ6" s="10" t="n">
        <f aca="false">BJ4*Streams!$E$2/Streams!$E$15</f>
        <v>8</v>
      </c>
      <c r="BK6" s="10" t="n">
        <f aca="false">BK4*Streams!$E$2/Streams!$E$15</f>
        <v>8</v>
      </c>
      <c r="BL6" s="10" t="n">
        <f aca="false">BL4*Streams!$E$2/Streams!$E$15</f>
        <v>8</v>
      </c>
      <c r="BM6" s="10" t="n">
        <f aca="false">BM4*Streams!$E$2/Streams!$E$15</f>
        <v>8</v>
      </c>
      <c r="BN6" s="10" t="n">
        <f aca="false">BN4*Streams!$E$2/Streams!$E$15</f>
        <v>8</v>
      </c>
      <c r="BO6" s="10" t="n">
        <f aca="false">BO4*Streams!$E$2/Streams!$E$15</f>
        <v>8</v>
      </c>
      <c r="BP6" s="10" t="n">
        <f aca="false">BP4*Streams!$E$2/Streams!$E$15</f>
        <v>8</v>
      </c>
      <c r="BQ6" s="10" t="n">
        <f aca="false">BQ4*Streams!$E$2/Streams!$E$15</f>
        <v>8</v>
      </c>
      <c r="BR6" s="10" t="n">
        <f aca="false">BR4*Streams!$E$2/Streams!$E$15</f>
        <v>8</v>
      </c>
      <c r="BS6" s="10" t="n">
        <f aca="false">BS4*Streams!$E$2/Streams!$E$15</f>
        <v>8</v>
      </c>
      <c r="BT6" s="10" t="n">
        <f aca="false">BT4*Streams!$E$2/Streams!$E$15</f>
        <v>8</v>
      </c>
      <c r="BU6" s="10" t="n">
        <f aca="false">BU4*Streams!$E$2/Streams!$E$15</f>
        <v>8</v>
      </c>
      <c r="BV6" s="10" t="n">
        <f aca="false">BV4*Streams!$E$2/Streams!$E$15</f>
        <v>8</v>
      </c>
      <c r="BW6" s="10" t="n">
        <f aca="false">BW4*Streams!$E$2/Streams!$E$15</f>
        <v>8</v>
      </c>
      <c r="BX6" s="10" t="n">
        <f aca="false">BX4*Streams!$E$2/Streams!$E$15</f>
        <v>8</v>
      </c>
      <c r="BY6" s="10" t="n">
        <f aca="false">BY4*Streams!$E$2/Streams!$E$15</f>
        <v>8</v>
      </c>
      <c r="BZ6" s="10" t="n">
        <f aca="false">BZ4*Streams!$E$2/Streams!$E$15</f>
        <v>8</v>
      </c>
      <c r="CA6" s="10" t="n">
        <f aca="false">CA4*Streams!$E$2/Streams!$E$15</f>
        <v>8</v>
      </c>
      <c r="CB6" s="10" t="n">
        <f aca="false">CB4*Streams!$E$2/Streams!$E$15</f>
        <v>8</v>
      </c>
      <c r="CC6" s="10" t="n">
        <f aca="false">CC4*Streams!$E$2/Streams!$E$15</f>
        <v>8</v>
      </c>
      <c r="CD6" s="10" t="n">
        <f aca="false">CD4*Streams!$E$2/Streams!$E$15</f>
        <v>8</v>
      </c>
      <c r="CE6" s="10" t="n">
        <f aca="false">CE4*Streams!$E$2/Streams!$E$15</f>
        <v>8</v>
      </c>
      <c r="CF6" s="10" t="n">
        <f aca="false">CF4*Streams!$E$2/Streams!$E$15</f>
        <v>8</v>
      </c>
      <c r="CG6" s="10" t="n">
        <f aca="false">CG4*Streams!$E$2/Streams!$E$15</f>
        <v>8</v>
      </c>
      <c r="CH6" s="10" t="n">
        <f aca="false">CH4*Streams!$E$2/Streams!$E$15</f>
        <v>8</v>
      </c>
      <c r="CI6" s="10" t="n">
        <f aca="false">CI4*Streams!$E$2/Streams!$E$15</f>
        <v>8</v>
      </c>
      <c r="CJ6" s="10" t="n">
        <f aca="false">CJ4*Streams!$E$2/Streams!$E$15</f>
        <v>8</v>
      </c>
      <c r="CK6" s="10" t="n">
        <f aca="false">CK4*Streams!$E$2/Streams!$E$15</f>
        <v>8</v>
      </c>
      <c r="CL6" s="10" t="n">
        <f aca="false">CL4*Streams!$E$2/Streams!$E$15</f>
        <v>8</v>
      </c>
      <c r="CM6" s="10" t="n">
        <f aca="false">CM4*Streams!$E$2/Streams!$E$15</f>
        <v>8</v>
      </c>
      <c r="CN6" s="10" t="n">
        <f aca="false">CN4*Streams!$E$2/Streams!$E$15</f>
        <v>8</v>
      </c>
      <c r="CO6" s="10" t="n">
        <f aca="false">CO4*Streams!$E$2/Streams!$E$15</f>
        <v>8</v>
      </c>
      <c r="CP6" s="10" t="n">
        <f aca="false">CP4*Streams!$E$2/Streams!$E$15</f>
        <v>8</v>
      </c>
      <c r="CQ6" s="10" t="n">
        <f aca="false">CQ4*Streams!$E$2/Streams!$E$15</f>
        <v>8</v>
      </c>
      <c r="CR6" s="10" t="n">
        <f aca="false">CR4*Streams!$E$2/Streams!$E$15</f>
        <v>8</v>
      </c>
      <c r="CS6" s="10" t="n">
        <f aca="false">CS4*Streams!$E$2/Streams!$E$15</f>
        <v>8</v>
      </c>
      <c r="CT6" s="10" t="n">
        <f aca="false">CT4*Streams!$E$2/Streams!$E$15</f>
        <v>8</v>
      </c>
      <c r="CU6" s="10" t="n">
        <f aca="false">CU4*Streams!$E$2/Streams!$E$15</f>
        <v>8</v>
      </c>
      <c r="CV6" s="10" t="n">
        <f aca="false">CV4*Streams!$E$2/Streams!$E$15</f>
        <v>8</v>
      </c>
      <c r="CW6" s="10" t="n">
        <f aca="false">CW4*Streams!$E$2/Streams!$E$15</f>
        <v>8</v>
      </c>
      <c r="CX6" s="10" t="n">
        <f aca="false">CX4*Streams!$E$2/Streams!$E$15</f>
        <v>8</v>
      </c>
      <c r="CY6" s="10" t="n">
        <f aca="false">CY4*Streams!$E$2/Streams!$E$15</f>
        <v>8</v>
      </c>
      <c r="CZ6" s="10" t="n">
        <f aca="false">CZ4*Streams!$E$2/Streams!$E$15</f>
        <v>8</v>
      </c>
      <c r="DA6" s="10" t="n">
        <f aca="false">DA4*Streams!$E$2/Streams!$E$15</f>
        <v>8</v>
      </c>
      <c r="DB6" s="10" t="n">
        <f aca="false">DB4*Streams!$E$2/Streams!$E$15</f>
        <v>8</v>
      </c>
      <c r="DC6" s="10" t="n">
        <f aca="false">DC4*Streams!$E$2/Streams!$E$15</f>
        <v>8</v>
      </c>
      <c r="DD6" s="10" t="n">
        <f aca="false">DD4*Streams!$E$2/Streams!$E$15</f>
        <v>8</v>
      </c>
      <c r="DE6" s="10" t="n">
        <f aca="false">DE4*Streams!$E$2/Streams!$E$15</f>
        <v>8</v>
      </c>
      <c r="DF6" s="10" t="n">
        <f aca="false">DF4*Streams!$E$2/Streams!$E$15</f>
        <v>8</v>
      </c>
      <c r="DG6" s="10" t="n">
        <f aca="false">DG4*Streams!$E$2/Streams!$E$15</f>
        <v>8</v>
      </c>
      <c r="DH6" s="10" t="n">
        <f aca="false">DH4*Streams!$E$2/Streams!$E$15</f>
        <v>8</v>
      </c>
      <c r="DI6" s="10" t="n">
        <f aca="false">DI4*Streams!$E$2/Streams!$E$15</f>
        <v>8</v>
      </c>
      <c r="DJ6" s="10" t="n">
        <f aca="false">DJ4*Streams!$E$2/Streams!$E$15</f>
        <v>8</v>
      </c>
      <c r="DK6" s="10" t="n">
        <f aca="false">DK4*Streams!$E$2/Streams!$E$15</f>
        <v>8</v>
      </c>
      <c r="DL6" s="10" t="n">
        <f aca="false">DL4*Streams!$E$2/Streams!$E$15</f>
        <v>8</v>
      </c>
      <c r="DM6" s="10" t="n">
        <f aca="false">DM4*Streams!$E$2/Streams!$E$15</f>
        <v>8</v>
      </c>
      <c r="DN6" s="10" t="n">
        <f aca="false">DN4*Streams!$E$2/Streams!$E$15</f>
        <v>8</v>
      </c>
      <c r="DO6" s="10" t="n">
        <f aca="false">DO4*Streams!$E$2/Streams!$E$15</f>
        <v>8</v>
      </c>
      <c r="DP6" s="10" t="n">
        <f aca="false">DP4*Streams!$E$2/Streams!$E$15</f>
        <v>8</v>
      </c>
      <c r="DQ6" s="10" t="n">
        <f aca="false">DQ4*Streams!$E$2/Streams!$E$15</f>
        <v>8</v>
      </c>
      <c r="DR6" s="10" t="n">
        <f aca="false">DR4*Streams!$E$2/Streams!$E$15</f>
        <v>8</v>
      </c>
    </row>
    <row r="7" customFormat="false" ht="15" hidden="false" customHeight="false" outlineLevel="0" collapsed="false">
      <c r="A7" s="9" t="s">
        <v>176</v>
      </c>
      <c r="B7" s="10" t="n">
        <f aca="false">B4*Streams!$E$3/Streams!$E$15</f>
        <v>0</v>
      </c>
      <c r="C7" s="10" t="n">
        <f aca="false">C4*Streams!$E$3/Streams!$E$15</f>
        <v>0</v>
      </c>
      <c r="D7" s="10" t="n">
        <f aca="false">D4*Streams!$E$3/Streams!$E$15</f>
        <v>0</v>
      </c>
      <c r="E7" s="10" t="n">
        <f aca="false">E4*Streams!$E$3/Streams!$E$15</f>
        <v>0</v>
      </c>
      <c r="F7" s="10" t="n">
        <f aca="false">F4*Streams!$E$3/Streams!$E$15</f>
        <v>0</v>
      </c>
      <c r="G7" s="10" t="n">
        <f aca="false">G4*Streams!$E$3/Streams!$E$15</f>
        <v>0</v>
      </c>
      <c r="H7" s="10" t="n">
        <f aca="false">H4*Streams!$E$3/Streams!$E$15</f>
        <v>1.28571428571429</v>
      </c>
      <c r="I7" s="10" t="n">
        <f aca="false">I4*Streams!$E$3/Streams!$E$15</f>
        <v>1.28571428571429</v>
      </c>
      <c r="J7" s="10" t="n">
        <f aca="false">J4*Streams!$E$3/Streams!$E$15</f>
        <v>1.28571428571429</v>
      </c>
      <c r="K7" s="10" t="n">
        <f aca="false">K4*Streams!$E$3/Streams!$E$15</f>
        <v>2.14285714285714</v>
      </c>
      <c r="L7" s="10" t="n">
        <f aca="false">L4*Streams!$E$3/Streams!$E$15</f>
        <v>2.14285714285714</v>
      </c>
      <c r="M7" s="10" t="n">
        <f aca="false">M4*Streams!$E$3/Streams!$E$15</f>
        <v>2.14285714285714</v>
      </c>
      <c r="N7" s="10" t="n">
        <f aca="false">N4*Streams!$E$3/Streams!$E$15</f>
        <v>3</v>
      </c>
      <c r="O7" s="10" t="n">
        <f aca="false">O4*Streams!$E$3/Streams!$E$15</f>
        <v>3</v>
      </c>
      <c r="P7" s="10" t="n">
        <f aca="false">P4*Streams!$E$3/Streams!$E$15</f>
        <v>3</v>
      </c>
      <c r="Q7" s="10" t="n">
        <f aca="false">Q4*Streams!$E$3/Streams!$E$15</f>
        <v>3</v>
      </c>
      <c r="R7" s="10" t="n">
        <f aca="false">R4*Streams!$E$3/Streams!$E$15</f>
        <v>3</v>
      </c>
      <c r="S7" s="10" t="n">
        <f aca="false">S4*Streams!$E$3/Streams!$E$15</f>
        <v>3</v>
      </c>
      <c r="T7" s="10" t="n">
        <f aca="false">T4*Streams!$E$3/Streams!$E$15</f>
        <v>3</v>
      </c>
      <c r="U7" s="10" t="n">
        <f aca="false">U4*Streams!$E$3/Streams!$E$15</f>
        <v>3</v>
      </c>
      <c r="V7" s="10" t="n">
        <f aca="false">V4*Streams!$E$3/Streams!$E$15</f>
        <v>3</v>
      </c>
      <c r="W7" s="10" t="n">
        <f aca="false">W4*Streams!$E$3/Streams!$E$15</f>
        <v>3</v>
      </c>
      <c r="X7" s="10" t="n">
        <f aca="false">X4*Streams!$E$3/Streams!$E$15</f>
        <v>3</v>
      </c>
      <c r="Y7" s="10" t="n">
        <f aca="false">Y4*Streams!$E$3/Streams!$E$15</f>
        <v>3</v>
      </c>
      <c r="Z7" s="10" t="n">
        <f aca="false">Z4*Streams!$E$3/Streams!$E$15</f>
        <v>3</v>
      </c>
      <c r="AA7" s="10" t="n">
        <f aca="false">AA4*Streams!$E$3/Streams!$E$15</f>
        <v>3</v>
      </c>
      <c r="AB7" s="10" t="n">
        <f aca="false">AB4*Streams!$E$3/Streams!$E$15</f>
        <v>3</v>
      </c>
      <c r="AC7" s="10" t="n">
        <f aca="false">AC4*Streams!$E$3/Streams!$E$15</f>
        <v>3</v>
      </c>
      <c r="AD7" s="10" t="n">
        <f aca="false">AD4*Streams!$E$3/Streams!$E$15</f>
        <v>3</v>
      </c>
      <c r="AE7" s="10" t="n">
        <f aca="false">AE4*Streams!$E$3/Streams!$E$15</f>
        <v>3</v>
      </c>
      <c r="AF7" s="10" t="n">
        <f aca="false">AF4*Streams!$E$3/Streams!$E$15</f>
        <v>3</v>
      </c>
      <c r="AG7" s="10" t="n">
        <f aca="false">AG4*Streams!$E$3/Streams!$E$15</f>
        <v>3</v>
      </c>
      <c r="AH7" s="10" t="n">
        <f aca="false">AH4*Streams!$E$3/Streams!$E$15</f>
        <v>3</v>
      </c>
      <c r="AI7" s="10" t="n">
        <f aca="false">AI4*Streams!$E$3/Streams!$E$15</f>
        <v>3</v>
      </c>
      <c r="AJ7" s="10" t="n">
        <f aca="false">AJ4*Streams!$E$3/Streams!$E$15</f>
        <v>3</v>
      </c>
      <c r="AK7" s="10" t="n">
        <f aca="false">AK4*Streams!$E$3/Streams!$E$15</f>
        <v>3</v>
      </c>
      <c r="AL7" s="10" t="n">
        <f aca="false">AL4*Streams!$E$3/Streams!$E$15</f>
        <v>3</v>
      </c>
      <c r="AM7" s="10" t="n">
        <f aca="false">AM4*Streams!$E$3/Streams!$E$15</f>
        <v>3</v>
      </c>
      <c r="AN7" s="10" t="n">
        <f aca="false">AN4*Streams!$E$3/Streams!$E$15</f>
        <v>3</v>
      </c>
      <c r="AO7" s="10" t="n">
        <f aca="false">AO4*Streams!$E$3/Streams!$E$15</f>
        <v>3</v>
      </c>
      <c r="AP7" s="10" t="n">
        <f aca="false">AP4*Streams!$E$3/Streams!$E$15</f>
        <v>3</v>
      </c>
      <c r="AQ7" s="10" t="n">
        <f aca="false">AQ4*Streams!$E$3/Streams!$E$15</f>
        <v>3</v>
      </c>
      <c r="AR7" s="10" t="n">
        <f aca="false">AR4*Streams!$E$3/Streams!$E$15</f>
        <v>3</v>
      </c>
      <c r="AS7" s="10" t="n">
        <f aca="false">AS4*Streams!$E$3/Streams!$E$15</f>
        <v>3</v>
      </c>
      <c r="AT7" s="10" t="n">
        <f aca="false">AT4*Streams!$E$3/Streams!$E$15</f>
        <v>3</v>
      </c>
      <c r="AU7" s="10" t="n">
        <f aca="false">AU4*Streams!$E$3/Streams!$E$15</f>
        <v>3</v>
      </c>
      <c r="AV7" s="10" t="n">
        <f aca="false">AV4*Streams!$E$3/Streams!$E$15</f>
        <v>3</v>
      </c>
      <c r="AW7" s="10" t="n">
        <f aca="false">AW4*Streams!$E$3/Streams!$E$15</f>
        <v>3</v>
      </c>
      <c r="AX7" s="10" t="n">
        <f aca="false">AX4*Streams!$E$3/Streams!$E$15</f>
        <v>3</v>
      </c>
      <c r="AY7" s="10" t="n">
        <f aca="false">AY4*Streams!$E$3/Streams!$E$15</f>
        <v>3</v>
      </c>
      <c r="AZ7" s="10" t="n">
        <f aca="false">AZ4*Streams!$E$3/Streams!$E$15</f>
        <v>3</v>
      </c>
      <c r="BA7" s="10" t="n">
        <f aca="false">BA4*Streams!$E$3/Streams!$E$15</f>
        <v>3</v>
      </c>
      <c r="BB7" s="10" t="n">
        <f aca="false">BB4*Streams!$E$3/Streams!$E$15</f>
        <v>3</v>
      </c>
      <c r="BC7" s="10" t="n">
        <f aca="false">BC4*Streams!$E$3/Streams!$E$15</f>
        <v>3</v>
      </c>
      <c r="BD7" s="10" t="n">
        <f aca="false">BD4*Streams!$E$3/Streams!$E$15</f>
        <v>3</v>
      </c>
      <c r="BE7" s="10" t="n">
        <f aca="false">BE4*Streams!$E$3/Streams!$E$15</f>
        <v>3</v>
      </c>
      <c r="BF7" s="10" t="n">
        <f aca="false">BF4*Streams!$E$3/Streams!$E$15</f>
        <v>3</v>
      </c>
      <c r="BG7" s="10" t="n">
        <f aca="false">BG4*Streams!$E$3/Streams!$E$15</f>
        <v>3</v>
      </c>
      <c r="BH7" s="10" t="n">
        <f aca="false">BH4*Streams!$E$3/Streams!$E$15</f>
        <v>3</v>
      </c>
      <c r="BI7" s="10" t="n">
        <f aca="false">BI4*Streams!$E$3/Streams!$E$15</f>
        <v>3</v>
      </c>
      <c r="BJ7" s="10" t="n">
        <f aca="false">BJ4*Streams!$E$3/Streams!$E$15</f>
        <v>3</v>
      </c>
      <c r="BK7" s="10" t="n">
        <f aca="false">BK4*Streams!$E$3/Streams!$E$15</f>
        <v>3</v>
      </c>
      <c r="BL7" s="10" t="n">
        <f aca="false">BL4*Streams!$E$3/Streams!$E$15</f>
        <v>3</v>
      </c>
      <c r="BM7" s="10" t="n">
        <f aca="false">BM4*Streams!$E$3/Streams!$E$15</f>
        <v>3</v>
      </c>
      <c r="BN7" s="10" t="n">
        <f aca="false">BN4*Streams!$E$3/Streams!$E$15</f>
        <v>3</v>
      </c>
      <c r="BO7" s="10" t="n">
        <f aca="false">BO4*Streams!$E$3/Streams!$E$15</f>
        <v>3</v>
      </c>
      <c r="BP7" s="10" t="n">
        <f aca="false">BP4*Streams!$E$3/Streams!$E$15</f>
        <v>3</v>
      </c>
      <c r="BQ7" s="10" t="n">
        <f aca="false">BQ4*Streams!$E$3/Streams!$E$15</f>
        <v>3</v>
      </c>
      <c r="BR7" s="10" t="n">
        <f aca="false">BR4*Streams!$E$3/Streams!$E$15</f>
        <v>3</v>
      </c>
      <c r="BS7" s="10" t="n">
        <f aca="false">BS4*Streams!$E$3/Streams!$E$15</f>
        <v>3</v>
      </c>
      <c r="BT7" s="10" t="n">
        <f aca="false">BT4*Streams!$E$3/Streams!$E$15</f>
        <v>3</v>
      </c>
      <c r="BU7" s="10" t="n">
        <f aca="false">BU4*Streams!$E$3/Streams!$E$15</f>
        <v>3</v>
      </c>
      <c r="BV7" s="10" t="n">
        <f aca="false">BV4*Streams!$E$3/Streams!$E$15</f>
        <v>3</v>
      </c>
      <c r="BW7" s="10" t="n">
        <f aca="false">BW4*Streams!$E$3/Streams!$E$15</f>
        <v>3</v>
      </c>
      <c r="BX7" s="10" t="n">
        <f aca="false">BX4*Streams!$E$3/Streams!$E$15</f>
        <v>3</v>
      </c>
      <c r="BY7" s="10" t="n">
        <f aca="false">BY4*Streams!$E$3/Streams!$E$15</f>
        <v>3</v>
      </c>
      <c r="BZ7" s="10" t="n">
        <f aca="false">BZ4*Streams!$E$3/Streams!$E$15</f>
        <v>3</v>
      </c>
      <c r="CA7" s="10" t="n">
        <f aca="false">CA4*Streams!$E$3/Streams!$E$15</f>
        <v>3</v>
      </c>
      <c r="CB7" s="10" t="n">
        <f aca="false">CB4*Streams!$E$3/Streams!$E$15</f>
        <v>3</v>
      </c>
      <c r="CC7" s="10" t="n">
        <f aca="false">CC4*Streams!$E$3/Streams!$E$15</f>
        <v>3</v>
      </c>
      <c r="CD7" s="10" t="n">
        <f aca="false">CD4*Streams!$E$3/Streams!$E$15</f>
        <v>3</v>
      </c>
      <c r="CE7" s="10" t="n">
        <f aca="false">CE4*Streams!$E$3/Streams!$E$15</f>
        <v>3</v>
      </c>
      <c r="CF7" s="10" t="n">
        <f aca="false">CF4*Streams!$E$3/Streams!$E$15</f>
        <v>3</v>
      </c>
      <c r="CG7" s="10" t="n">
        <f aca="false">CG4*Streams!$E$3/Streams!$E$15</f>
        <v>3</v>
      </c>
      <c r="CH7" s="10" t="n">
        <f aca="false">CH4*Streams!$E$3/Streams!$E$15</f>
        <v>3</v>
      </c>
      <c r="CI7" s="10" t="n">
        <f aca="false">CI4*Streams!$E$3/Streams!$E$15</f>
        <v>3</v>
      </c>
      <c r="CJ7" s="10" t="n">
        <f aca="false">CJ4*Streams!$E$3/Streams!$E$15</f>
        <v>3</v>
      </c>
      <c r="CK7" s="10" t="n">
        <f aca="false">CK4*Streams!$E$3/Streams!$E$15</f>
        <v>3</v>
      </c>
      <c r="CL7" s="10" t="n">
        <f aca="false">CL4*Streams!$E$3/Streams!$E$15</f>
        <v>3</v>
      </c>
      <c r="CM7" s="10" t="n">
        <f aca="false">CM4*Streams!$E$3/Streams!$E$15</f>
        <v>3</v>
      </c>
      <c r="CN7" s="10" t="n">
        <f aca="false">CN4*Streams!$E$3/Streams!$E$15</f>
        <v>3</v>
      </c>
      <c r="CO7" s="10" t="n">
        <f aca="false">CO4*Streams!$E$3/Streams!$E$15</f>
        <v>3</v>
      </c>
      <c r="CP7" s="10" t="n">
        <f aca="false">CP4*Streams!$E$3/Streams!$E$15</f>
        <v>3</v>
      </c>
      <c r="CQ7" s="10" t="n">
        <f aca="false">CQ4*Streams!$E$3/Streams!$E$15</f>
        <v>3</v>
      </c>
      <c r="CR7" s="10" t="n">
        <f aca="false">CR4*Streams!$E$3/Streams!$E$15</f>
        <v>3</v>
      </c>
      <c r="CS7" s="10" t="n">
        <f aca="false">CS4*Streams!$E$3/Streams!$E$15</f>
        <v>3</v>
      </c>
      <c r="CT7" s="10" t="n">
        <f aca="false">CT4*Streams!$E$3/Streams!$E$15</f>
        <v>3</v>
      </c>
      <c r="CU7" s="10" t="n">
        <f aca="false">CU4*Streams!$E$3/Streams!$E$15</f>
        <v>3</v>
      </c>
      <c r="CV7" s="10" t="n">
        <f aca="false">CV4*Streams!$E$3/Streams!$E$15</f>
        <v>3</v>
      </c>
      <c r="CW7" s="10" t="n">
        <f aca="false">CW4*Streams!$E$3/Streams!$E$15</f>
        <v>3</v>
      </c>
      <c r="CX7" s="10" t="n">
        <f aca="false">CX4*Streams!$E$3/Streams!$E$15</f>
        <v>3</v>
      </c>
      <c r="CY7" s="10" t="n">
        <f aca="false">CY4*Streams!$E$3/Streams!$E$15</f>
        <v>3</v>
      </c>
      <c r="CZ7" s="10" t="n">
        <f aca="false">CZ4*Streams!$E$3/Streams!$E$15</f>
        <v>3</v>
      </c>
      <c r="DA7" s="10" t="n">
        <f aca="false">DA4*Streams!$E$3/Streams!$E$15</f>
        <v>3</v>
      </c>
      <c r="DB7" s="10" t="n">
        <f aca="false">DB4*Streams!$E$3/Streams!$E$15</f>
        <v>3</v>
      </c>
      <c r="DC7" s="10" t="n">
        <f aca="false">DC4*Streams!$E$3/Streams!$E$15</f>
        <v>3</v>
      </c>
      <c r="DD7" s="10" t="n">
        <f aca="false">DD4*Streams!$E$3/Streams!$E$15</f>
        <v>3</v>
      </c>
      <c r="DE7" s="10" t="n">
        <f aca="false">DE4*Streams!$E$3/Streams!$E$15</f>
        <v>3</v>
      </c>
      <c r="DF7" s="10" t="n">
        <f aca="false">DF4*Streams!$E$3/Streams!$E$15</f>
        <v>3</v>
      </c>
      <c r="DG7" s="10" t="n">
        <f aca="false">DG4*Streams!$E$3/Streams!$E$15</f>
        <v>3</v>
      </c>
      <c r="DH7" s="10" t="n">
        <f aca="false">DH4*Streams!$E$3/Streams!$E$15</f>
        <v>3</v>
      </c>
      <c r="DI7" s="10" t="n">
        <f aca="false">DI4*Streams!$E$3/Streams!$E$15</f>
        <v>3</v>
      </c>
      <c r="DJ7" s="10" t="n">
        <f aca="false">DJ4*Streams!$E$3/Streams!$E$15</f>
        <v>3</v>
      </c>
      <c r="DK7" s="10" t="n">
        <f aca="false">DK4*Streams!$E$3/Streams!$E$15</f>
        <v>3</v>
      </c>
      <c r="DL7" s="10" t="n">
        <f aca="false">DL4*Streams!$E$3/Streams!$E$15</f>
        <v>3</v>
      </c>
      <c r="DM7" s="10" t="n">
        <f aca="false">DM4*Streams!$E$3/Streams!$E$15</f>
        <v>3</v>
      </c>
      <c r="DN7" s="10" t="n">
        <f aca="false">DN4*Streams!$E$3/Streams!$E$15</f>
        <v>3</v>
      </c>
      <c r="DO7" s="10" t="n">
        <f aca="false">DO4*Streams!$E$3/Streams!$E$15</f>
        <v>3</v>
      </c>
      <c r="DP7" s="10" t="n">
        <f aca="false">DP4*Streams!$E$3/Streams!$E$15</f>
        <v>3</v>
      </c>
      <c r="DQ7" s="10" t="n">
        <f aca="false">DQ4*Streams!$E$3/Streams!$E$15</f>
        <v>3</v>
      </c>
      <c r="DR7" s="10" t="n">
        <f aca="false">DR4*Streams!$E$3/Streams!$E$15</f>
        <v>3</v>
      </c>
    </row>
    <row r="8" customFormat="false" ht="15" hidden="false" customHeight="false" outlineLevel="0" collapsed="false">
      <c r="A8" s="9" t="s">
        <v>177</v>
      </c>
      <c r="B8" s="10" t="n">
        <f aca="false">B4*Streams!$E$4/Streams!$E$15</f>
        <v>0</v>
      </c>
      <c r="C8" s="10" t="n">
        <f aca="false">C4*Streams!$E$4/Streams!$E$15</f>
        <v>0</v>
      </c>
      <c r="D8" s="10" t="n">
        <f aca="false">D4*Streams!$E$4/Streams!$E$15</f>
        <v>0</v>
      </c>
      <c r="E8" s="10" t="n">
        <f aca="false">E4*Streams!$E$4/Streams!$E$15</f>
        <v>0</v>
      </c>
      <c r="F8" s="10" t="n">
        <f aca="false">F4*Streams!$E$4/Streams!$E$15</f>
        <v>0</v>
      </c>
      <c r="G8" s="10" t="n">
        <f aca="false">G4*Streams!$E$4/Streams!$E$15</f>
        <v>0</v>
      </c>
      <c r="H8" s="10" t="n">
        <f aca="false">H4*Streams!$E$4/Streams!$E$15</f>
        <v>0.428571428571429</v>
      </c>
      <c r="I8" s="10" t="n">
        <f aca="false">I4*Streams!$E$4/Streams!$E$15</f>
        <v>0.428571428571429</v>
      </c>
      <c r="J8" s="10" t="n">
        <f aca="false">J4*Streams!$E$4/Streams!$E$15</f>
        <v>0.428571428571429</v>
      </c>
      <c r="K8" s="10" t="n">
        <f aca="false">K4*Streams!$E$4/Streams!$E$15</f>
        <v>0.714285714285714</v>
      </c>
      <c r="L8" s="10" t="n">
        <f aca="false">L4*Streams!$E$4/Streams!$E$15</f>
        <v>0.714285714285714</v>
      </c>
      <c r="M8" s="10" t="n">
        <f aca="false">M4*Streams!$E$4/Streams!$E$15</f>
        <v>0.714285714285714</v>
      </c>
      <c r="N8" s="10" t="n">
        <f aca="false">N4*Streams!$E$4/Streams!$E$15</f>
        <v>1</v>
      </c>
      <c r="O8" s="10" t="n">
        <f aca="false">O4*Streams!$E$4/Streams!$E$15</f>
        <v>1</v>
      </c>
      <c r="P8" s="10" t="n">
        <f aca="false">P4*Streams!$E$4/Streams!$E$15</f>
        <v>1</v>
      </c>
      <c r="Q8" s="10" t="n">
        <f aca="false">Q4*Streams!$E$4/Streams!$E$15</f>
        <v>1</v>
      </c>
      <c r="R8" s="10" t="n">
        <f aca="false">R4*Streams!$E$4/Streams!$E$15</f>
        <v>1</v>
      </c>
      <c r="S8" s="10" t="n">
        <f aca="false">S4*Streams!$E$4/Streams!$E$15</f>
        <v>1</v>
      </c>
      <c r="T8" s="10" t="n">
        <f aca="false">T4*Streams!$E$4/Streams!$E$15</f>
        <v>1</v>
      </c>
      <c r="U8" s="10" t="n">
        <f aca="false">U4*Streams!$E$4/Streams!$E$15</f>
        <v>1</v>
      </c>
      <c r="V8" s="10" t="n">
        <f aca="false">V4*Streams!$E$4/Streams!$E$15</f>
        <v>1</v>
      </c>
      <c r="W8" s="10" t="n">
        <f aca="false">W4*Streams!$E$4/Streams!$E$15</f>
        <v>1</v>
      </c>
      <c r="X8" s="10" t="n">
        <f aca="false">X4*Streams!$E$4/Streams!$E$15</f>
        <v>1</v>
      </c>
      <c r="Y8" s="10" t="n">
        <f aca="false">Y4*Streams!$E$4/Streams!$E$15</f>
        <v>1</v>
      </c>
      <c r="Z8" s="10" t="n">
        <f aca="false">Z4*Streams!$E$4/Streams!$E$15</f>
        <v>1</v>
      </c>
      <c r="AA8" s="10" t="n">
        <f aca="false">AA4*Streams!$E$4/Streams!$E$15</f>
        <v>1</v>
      </c>
      <c r="AB8" s="10" t="n">
        <f aca="false">AB4*Streams!$E$4/Streams!$E$15</f>
        <v>1</v>
      </c>
      <c r="AC8" s="10" t="n">
        <f aca="false">AC4*Streams!$E$4/Streams!$E$15</f>
        <v>1</v>
      </c>
      <c r="AD8" s="10" t="n">
        <f aca="false">AD4*Streams!$E$4/Streams!$E$15</f>
        <v>1</v>
      </c>
      <c r="AE8" s="10" t="n">
        <f aca="false">AE4*Streams!$E$4/Streams!$E$15</f>
        <v>1</v>
      </c>
      <c r="AF8" s="10" t="n">
        <f aca="false">AF4*Streams!$E$4/Streams!$E$15</f>
        <v>1</v>
      </c>
      <c r="AG8" s="10" t="n">
        <f aca="false">AG4*Streams!$E$4/Streams!$E$15</f>
        <v>1</v>
      </c>
      <c r="AH8" s="10" t="n">
        <f aca="false">AH4*Streams!$E$4/Streams!$E$15</f>
        <v>1</v>
      </c>
      <c r="AI8" s="10" t="n">
        <f aca="false">AI4*Streams!$E$4/Streams!$E$15</f>
        <v>1</v>
      </c>
      <c r="AJ8" s="10" t="n">
        <f aca="false">AJ4*Streams!$E$4/Streams!$E$15</f>
        <v>1</v>
      </c>
      <c r="AK8" s="10" t="n">
        <f aca="false">AK4*Streams!$E$4/Streams!$E$15</f>
        <v>1</v>
      </c>
      <c r="AL8" s="10" t="n">
        <f aca="false">AL4*Streams!$E$4/Streams!$E$15</f>
        <v>1</v>
      </c>
      <c r="AM8" s="10" t="n">
        <f aca="false">AM4*Streams!$E$4/Streams!$E$15</f>
        <v>1</v>
      </c>
      <c r="AN8" s="10" t="n">
        <f aca="false">AN4*Streams!$E$4/Streams!$E$15</f>
        <v>1</v>
      </c>
      <c r="AO8" s="10" t="n">
        <f aca="false">AO4*Streams!$E$4/Streams!$E$15</f>
        <v>1</v>
      </c>
      <c r="AP8" s="10" t="n">
        <f aca="false">AP4*Streams!$E$4/Streams!$E$15</f>
        <v>1</v>
      </c>
      <c r="AQ8" s="10" t="n">
        <f aca="false">AQ4*Streams!$E$4/Streams!$E$15</f>
        <v>1</v>
      </c>
      <c r="AR8" s="10" t="n">
        <f aca="false">AR4*Streams!$E$4/Streams!$E$15</f>
        <v>1</v>
      </c>
      <c r="AS8" s="10" t="n">
        <f aca="false">AS4*Streams!$E$4/Streams!$E$15</f>
        <v>1</v>
      </c>
      <c r="AT8" s="10" t="n">
        <f aca="false">AT4*Streams!$E$4/Streams!$E$15</f>
        <v>1</v>
      </c>
      <c r="AU8" s="10" t="n">
        <f aca="false">AU4*Streams!$E$4/Streams!$E$15</f>
        <v>1</v>
      </c>
      <c r="AV8" s="10" t="n">
        <f aca="false">AV4*Streams!$E$4/Streams!$E$15</f>
        <v>1</v>
      </c>
      <c r="AW8" s="10" t="n">
        <f aca="false">AW4*Streams!$E$4/Streams!$E$15</f>
        <v>1</v>
      </c>
      <c r="AX8" s="10" t="n">
        <f aca="false">AX4*Streams!$E$4/Streams!$E$15</f>
        <v>1</v>
      </c>
      <c r="AY8" s="10" t="n">
        <f aca="false">AY4*Streams!$E$4/Streams!$E$15</f>
        <v>1</v>
      </c>
      <c r="AZ8" s="10" t="n">
        <f aca="false">AZ4*Streams!$E$4/Streams!$E$15</f>
        <v>1</v>
      </c>
      <c r="BA8" s="10" t="n">
        <f aca="false">BA4*Streams!$E$4/Streams!$E$15</f>
        <v>1</v>
      </c>
      <c r="BB8" s="10" t="n">
        <f aca="false">BB4*Streams!$E$4/Streams!$E$15</f>
        <v>1</v>
      </c>
      <c r="BC8" s="10" t="n">
        <f aca="false">BC4*Streams!$E$4/Streams!$E$15</f>
        <v>1</v>
      </c>
      <c r="BD8" s="10" t="n">
        <f aca="false">BD4*Streams!$E$4/Streams!$E$15</f>
        <v>1</v>
      </c>
      <c r="BE8" s="10" t="n">
        <f aca="false">BE4*Streams!$E$4/Streams!$E$15</f>
        <v>1</v>
      </c>
      <c r="BF8" s="10" t="n">
        <f aca="false">BF4*Streams!$E$4/Streams!$E$15</f>
        <v>1</v>
      </c>
      <c r="BG8" s="10" t="n">
        <f aca="false">BG4*Streams!$E$4/Streams!$E$15</f>
        <v>1</v>
      </c>
      <c r="BH8" s="10" t="n">
        <f aca="false">BH4*Streams!$E$4/Streams!$E$15</f>
        <v>1</v>
      </c>
      <c r="BI8" s="10" t="n">
        <f aca="false">BI4*Streams!$E$4/Streams!$E$15</f>
        <v>1</v>
      </c>
      <c r="BJ8" s="10" t="n">
        <f aca="false">BJ4*Streams!$E$4/Streams!$E$15</f>
        <v>1</v>
      </c>
      <c r="BK8" s="10" t="n">
        <f aca="false">BK4*Streams!$E$4/Streams!$E$15</f>
        <v>1</v>
      </c>
      <c r="BL8" s="10" t="n">
        <f aca="false">BL4*Streams!$E$4/Streams!$E$15</f>
        <v>1</v>
      </c>
      <c r="BM8" s="10" t="n">
        <f aca="false">BM4*Streams!$E$4/Streams!$E$15</f>
        <v>1</v>
      </c>
      <c r="BN8" s="10" t="n">
        <f aca="false">BN4*Streams!$E$4/Streams!$E$15</f>
        <v>1</v>
      </c>
      <c r="BO8" s="10" t="n">
        <f aca="false">BO4*Streams!$E$4/Streams!$E$15</f>
        <v>1</v>
      </c>
      <c r="BP8" s="10" t="n">
        <f aca="false">BP4*Streams!$E$4/Streams!$E$15</f>
        <v>1</v>
      </c>
      <c r="BQ8" s="10" t="n">
        <f aca="false">BQ4*Streams!$E$4/Streams!$E$15</f>
        <v>1</v>
      </c>
      <c r="BR8" s="10" t="n">
        <f aca="false">BR4*Streams!$E$4/Streams!$E$15</f>
        <v>1</v>
      </c>
      <c r="BS8" s="10" t="n">
        <f aca="false">BS4*Streams!$E$4/Streams!$E$15</f>
        <v>1</v>
      </c>
      <c r="BT8" s="10" t="n">
        <f aca="false">BT4*Streams!$E$4/Streams!$E$15</f>
        <v>1</v>
      </c>
      <c r="BU8" s="10" t="n">
        <f aca="false">BU4*Streams!$E$4/Streams!$E$15</f>
        <v>1</v>
      </c>
      <c r="BV8" s="10" t="n">
        <f aca="false">BV4*Streams!$E$4/Streams!$E$15</f>
        <v>1</v>
      </c>
      <c r="BW8" s="10" t="n">
        <f aca="false">BW4*Streams!$E$4/Streams!$E$15</f>
        <v>1</v>
      </c>
      <c r="BX8" s="10" t="n">
        <f aca="false">BX4*Streams!$E$4/Streams!$E$15</f>
        <v>1</v>
      </c>
      <c r="BY8" s="10" t="n">
        <f aca="false">BY4*Streams!$E$4/Streams!$E$15</f>
        <v>1</v>
      </c>
      <c r="BZ8" s="10" t="n">
        <f aca="false">BZ4*Streams!$E$4/Streams!$E$15</f>
        <v>1</v>
      </c>
      <c r="CA8" s="10" t="n">
        <f aca="false">CA4*Streams!$E$4/Streams!$E$15</f>
        <v>1</v>
      </c>
      <c r="CB8" s="10" t="n">
        <f aca="false">CB4*Streams!$E$4/Streams!$E$15</f>
        <v>1</v>
      </c>
      <c r="CC8" s="10" t="n">
        <f aca="false">CC4*Streams!$E$4/Streams!$E$15</f>
        <v>1</v>
      </c>
      <c r="CD8" s="10" t="n">
        <f aca="false">CD4*Streams!$E$4/Streams!$E$15</f>
        <v>1</v>
      </c>
      <c r="CE8" s="10" t="n">
        <f aca="false">CE4*Streams!$E$4/Streams!$E$15</f>
        <v>1</v>
      </c>
      <c r="CF8" s="10" t="n">
        <f aca="false">CF4*Streams!$E$4/Streams!$E$15</f>
        <v>1</v>
      </c>
      <c r="CG8" s="10" t="n">
        <f aca="false">CG4*Streams!$E$4/Streams!$E$15</f>
        <v>1</v>
      </c>
      <c r="CH8" s="10" t="n">
        <f aca="false">CH4*Streams!$E$4/Streams!$E$15</f>
        <v>1</v>
      </c>
      <c r="CI8" s="10" t="n">
        <f aca="false">CI4*Streams!$E$4/Streams!$E$15</f>
        <v>1</v>
      </c>
      <c r="CJ8" s="10" t="n">
        <f aca="false">CJ4*Streams!$E$4/Streams!$E$15</f>
        <v>1</v>
      </c>
      <c r="CK8" s="10" t="n">
        <f aca="false">CK4*Streams!$E$4/Streams!$E$15</f>
        <v>1</v>
      </c>
      <c r="CL8" s="10" t="n">
        <f aca="false">CL4*Streams!$E$4/Streams!$E$15</f>
        <v>1</v>
      </c>
      <c r="CM8" s="10" t="n">
        <f aca="false">CM4*Streams!$E$4/Streams!$E$15</f>
        <v>1</v>
      </c>
      <c r="CN8" s="10" t="n">
        <f aca="false">CN4*Streams!$E$4/Streams!$E$15</f>
        <v>1</v>
      </c>
      <c r="CO8" s="10" t="n">
        <f aca="false">CO4*Streams!$E$4/Streams!$E$15</f>
        <v>1</v>
      </c>
      <c r="CP8" s="10" t="n">
        <f aca="false">CP4*Streams!$E$4/Streams!$E$15</f>
        <v>1</v>
      </c>
      <c r="CQ8" s="10" t="n">
        <f aca="false">CQ4*Streams!$E$4/Streams!$E$15</f>
        <v>1</v>
      </c>
      <c r="CR8" s="10" t="n">
        <f aca="false">CR4*Streams!$E$4/Streams!$E$15</f>
        <v>1</v>
      </c>
      <c r="CS8" s="10" t="n">
        <f aca="false">CS4*Streams!$E$4/Streams!$E$15</f>
        <v>1</v>
      </c>
      <c r="CT8" s="10" t="n">
        <f aca="false">CT4*Streams!$E$4/Streams!$E$15</f>
        <v>1</v>
      </c>
      <c r="CU8" s="10" t="n">
        <f aca="false">CU4*Streams!$E$4/Streams!$E$15</f>
        <v>1</v>
      </c>
      <c r="CV8" s="10" t="n">
        <f aca="false">CV4*Streams!$E$4/Streams!$E$15</f>
        <v>1</v>
      </c>
      <c r="CW8" s="10" t="n">
        <f aca="false">CW4*Streams!$E$4/Streams!$E$15</f>
        <v>1</v>
      </c>
      <c r="CX8" s="10" t="n">
        <f aca="false">CX4*Streams!$E$4/Streams!$E$15</f>
        <v>1</v>
      </c>
      <c r="CY8" s="10" t="n">
        <f aca="false">CY4*Streams!$E$4/Streams!$E$15</f>
        <v>1</v>
      </c>
      <c r="CZ8" s="10" t="n">
        <f aca="false">CZ4*Streams!$E$4/Streams!$E$15</f>
        <v>1</v>
      </c>
      <c r="DA8" s="10" t="n">
        <f aca="false">DA4*Streams!$E$4/Streams!$E$15</f>
        <v>1</v>
      </c>
      <c r="DB8" s="10" t="n">
        <f aca="false">DB4*Streams!$E$4/Streams!$E$15</f>
        <v>1</v>
      </c>
      <c r="DC8" s="10" t="n">
        <f aca="false">DC4*Streams!$E$4/Streams!$E$15</f>
        <v>1</v>
      </c>
      <c r="DD8" s="10" t="n">
        <f aca="false">DD4*Streams!$E$4/Streams!$E$15</f>
        <v>1</v>
      </c>
      <c r="DE8" s="10" t="n">
        <f aca="false">DE4*Streams!$E$4/Streams!$E$15</f>
        <v>1</v>
      </c>
      <c r="DF8" s="10" t="n">
        <f aca="false">DF4*Streams!$E$4/Streams!$E$15</f>
        <v>1</v>
      </c>
      <c r="DG8" s="10" t="n">
        <f aca="false">DG4*Streams!$E$4/Streams!$E$15</f>
        <v>1</v>
      </c>
      <c r="DH8" s="10" t="n">
        <f aca="false">DH4*Streams!$E$4/Streams!$E$15</f>
        <v>1</v>
      </c>
      <c r="DI8" s="10" t="n">
        <f aca="false">DI4*Streams!$E$4/Streams!$E$15</f>
        <v>1</v>
      </c>
      <c r="DJ8" s="10" t="n">
        <f aca="false">DJ4*Streams!$E$4/Streams!$E$15</f>
        <v>1</v>
      </c>
      <c r="DK8" s="10" t="n">
        <f aca="false">DK4*Streams!$E$4/Streams!$E$15</f>
        <v>1</v>
      </c>
      <c r="DL8" s="10" t="n">
        <f aca="false">DL4*Streams!$E$4/Streams!$E$15</f>
        <v>1</v>
      </c>
      <c r="DM8" s="10" t="n">
        <f aca="false">DM4*Streams!$E$4/Streams!$E$15</f>
        <v>1</v>
      </c>
      <c r="DN8" s="10" t="n">
        <f aca="false">DN4*Streams!$E$4/Streams!$E$15</f>
        <v>1</v>
      </c>
      <c r="DO8" s="10" t="n">
        <f aca="false">DO4*Streams!$E$4/Streams!$E$15</f>
        <v>1</v>
      </c>
      <c r="DP8" s="10" t="n">
        <f aca="false">DP4*Streams!$E$4/Streams!$E$15</f>
        <v>1</v>
      </c>
      <c r="DQ8" s="10" t="n">
        <f aca="false">DQ4*Streams!$E$4/Streams!$E$15</f>
        <v>1</v>
      </c>
      <c r="DR8" s="10" t="n">
        <f aca="false">DR4*Streams!$E$4/Streams!$E$15</f>
        <v>1</v>
      </c>
    </row>
    <row r="9" customFormat="false" ht="15" hidden="false" customHeight="false" outlineLevel="0" collapsed="false">
      <c r="A9" s="9" t="s">
        <v>178</v>
      </c>
      <c r="B9" s="10" t="n">
        <f aca="false">B4*Streams!$E$5/Streams!$E$15</f>
        <v>0</v>
      </c>
      <c r="C9" s="10" t="n">
        <f aca="false">C4*Streams!$E$5/Streams!$E$15</f>
        <v>0</v>
      </c>
      <c r="D9" s="10" t="n">
        <f aca="false">D4*Streams!$E$5/Streams!$E$15</f>
        <v>0</v>
      </c>
      <c r="E9" s="10" t="n">
        <f aca="false">E4*Streams!$E$5/Streams!$E$15</f>
        <v>0</v>
      </c>
      <c r="F9" s="10" t="n">
        <f aca="false">F4*Streams!$E$5/Streams!$E$15</f>
        <v>0</v>
      </c>
      <c r="G9" s="10" t="n">
        <f aca="false">G4*Streams!$E$5/Streams!$E$15</f>
        <v>0</v>
      </c>
      <c r="H9" s="10" t="n">
        <f aca="false">H4*Streams!$E$5/Streams!$E$15</f>
        <v>1.92857142857143</v>
      </c>
      <c r="I9" s="10" t="n">
        <f aca="false">I4*Streams!$E$5/Streams!$E$15</f>
        <v>1.92857142857143</v>
      </c>
      <c r="J9" s="10" t="n">
        <f aca="false">J4*Streams!$E$5/Streams!$E$15</f>
        <v>1.92857142857143</v>
      </c>
      <c r="K9" s="10" t="n">
        <f aca="false">K4*Streams!$E$5/Streams!$E$15</f>
        <v>3.21428571428571</v>
      </c>
      <c r="L9" s="10" t="n">
        <f aca="false">L4*Streams!$E$5/Streams!$E$15</f>
        <v>3.21428571428571</v>
      </c>
      <c r="M9" s="10" t="n">
        <f aca="false">M4*Streams!$E$5/Streams!$E$15</f>
        <v>3.21428571428571</v>
      </c>
      <c r="N9" s="10" t="n">
        <f aca="false">N4*Streams!$E$5/Streams!$E$15</f>
        <v>4.5</v>
      </c>
      <c r="O9" s="10" t="n">
        <f aca="false">O4*Streams!$E$5/Streams!$E$15</f>
        <v>4.5</v>
      </c>
      <c r="P9" s="10" t="n">
        <f aca="false">P4*Streams!$E$5/Streams!$E$15</f>
        <v>4.5</v>
      </c>
      <c r="Q9" s="10" t="n">
        <f aca="false">Q4*Streams!$E$5/Streams!$E$15</f>
        <v>4.5</v>
      </c>
      <c r="R9" s="10" t="n">
        <f aca="false">R4*Streams!$E$5/Streams!$E$15</f>
        <v>4.5</v>
      </c>
      <c r="S9" s="10" t="n">
        <f aca="false">S4*Streams!$E$5/Streams!$E$15</f>
        <v>4.5</v>
      </c>
      <c r="T9" s="10" t="n">
        <f aca="false">T4*Streams!$E$5/Streams!$E$15</f>
        <v>4.5</v>
      </c>
      <c r="U9" s="10" t="n">
        <f aca="false">U4*Streams!$E$5/Streams!$E$15</f>
        <v>4.5</v>
      </c>
      <c r="V9" s="10" t="n">
        <f aca="false">V4*Streams!$E$5/Streams!$E$15</f>
        <v>4.5</v>
      </c>
      <c r="W9" s="10" t="n">
        <f aca="false">W4*Streams!$E$5/Streams!$E$15</f>
        <v>4.5</v>
      </c>
      <c r="X9" s="10" t="n">
        <f aca="false">X4*Streams!$E$5/Streams!$E$15</f>
        <v>4.5</v>
      </c>
      <c r="Y9" s="10" t="n">
        <f aca="false">Y4*Streams!$E$5/Streams!$E$15</f>
        <v>4.5</v>
      </c>
      <c r="Z9" s="10" t="n">
        <f aca="false">Z4*Streams!$E$5/Streams!$E$15</f>
        <v>4.5</v>
      </c>
      <c r="AA9" s="10" t="n">
        <f aca="false">AA4*Streams!$E$5/Streams!$E$15</f>
        <v>4.5</v>
      </c>
      <c r="AB9" s="10" t="n">
        <f aca="false">AB4*Streams!$E$5/Streams!$E$15</f>
        <v>4.5</v>
      </c>
      <c r="AC9" s="10" t="n">
        <f aca="false">AC4*Streams!$E$5/Streams!$E$15</f>
        <v>4.5</v>
      </c>
      <c r="AD9" s="10" t="n">
        <f aca="false">AD4*Streams!$E$5/Streams!$E$15</f>
        <v>4.5</v>
      </c>
      <c r="AE9" s="10" t="n">
        <f aca="false">AE4*Streams!$E$5/Streams!$E$15</f>
        <v>4.5</v>
      </c>
      <c r="AF9" s="10" t="n">
        <f aca="false">AF4*Streams!$E$5/Streams!$E$15</f>
        <v>4.5</v>
      </c>
      <c r="AG9" s="10" t="n">
        <f aca="false">AG4*Streams!$E$5/Streams!$E$15</f>
        <v>4.5</v>
      </c>
      <c r="AH9" s="10" t="n">
        <f aca="false">AH4*Streams!$E$5/Streams!$E$15</f>
        <v>4.5</v>
      </c>
      <c r="AI9" s="10" t="n">
        <f aca="false">AI4*Streams!$E$5/Streams!$E$15</f>
        <v>4.5</v>
      </c>
      <c r="AJ9" s="10" t="n">
        <f aca="false">AJ4*Streams!$E$5/Streams!$E$15</f>
        <v>4.5</v>
      </c>
      <c r="AK9" s="10" t="n">
        <f aca="false">AK4*Streams!$E$5/Streams!$E$15</f>
        <v>4.5</v>
      </c>
      <c r="AL9" s="10" t="n">
        <f aca="false">AL4*Streams!$E$5/Streams!$E$15</f>
        <v>4.5</v>
      </c>
      <c r="AM9" s="10" t="n">
        <f aca="false">AM4*Streams!$E$5/Streams!$E$15</f>
        <v>4.5</v>
      </c>
      <c r="AN9" s="10" t="n">
        <f aca="false">AN4*Streams!$E$5/Streams!$E$15</f>
        <v>4.5</v>
      </c>
      <c r="AO9" s="10" t="n">
        <f aca="false">AO4*Streams!$E$5/Streams!$E$15</f>
        <v>4.5</v>
      </c>
      <c r="AP9" s="10" t="n">
        <f aca="false">AP4*Streams!$E$5/Streams!$E$15</f>
        <v>4.5</v>
      </c>
      <c r="AQ9" s="10" t="n">
        <f aca="false">AQ4*Streams!$E$5/Streams!$E$15</f>
        <v>4.5</v>
      </c>
      <c r="AR9" s="10" t="n">
        <f aca="false">AR4*Streams!$E$5/Streams!$E$15</f>
        <v>4.5</v>
      </c>
      <c r="AS9" s="10" t="n">
        <f aca="false">AS4*Streams!$E$5/Streams!$E$15</f>
        <v>4.5</v>
      </c>
      <c r="AT9" s="10" t="n">
        <f aca="false">AT4*Streams!$E$5/Streams!$E$15</f>
        <v>4.5</v>
      </c>
      <c r="AU9" s="10" t="n">
        <f aca="false">AU4*Streams!$E$5/Streams!$E$15</f>
        <v>4.5</v>
      </c>
      <c r="AV9" s="10" t="n">
        <f aca="false">AV4*Streams!$E$5/Streams!$E$15</f>
        <v>4.5</v>
      </c>
      <c r="AW9" s="10" t="n">
        <f aca="false">AW4*Streams!$E$5/Streams!$E$15</f>
        <v>4.5</v>
      </c>
      <c r="AX9" s="10" t="n">
        <f aca="false">AX4*Streams!$E$5/Streams!$E$15</f>
        <v>4.5</v>
      </c>
      <c r="AY9" s="10" t="n">
        <f aca="false">AY4*Streams!$E$5/Streams!$E$15</f>
        <v>4.5</v>
      </c>
      <c r="AZ9" s="10" t="n">
        <f aca="false">AZ4*Streams!$E$5/Streams!$E$15</f>
        <v>4.5</v>
      </c>
      <c r="BA9" s="10" t="n">
        <f aca="false">BA4*Streams!$E$5/Streams!$E$15</f>
        <v>4.5</v>
      </c>
      <c r="BB9" s="10" t="n">
        <f aca="false">BB4*Streams!$E$5/Streams!$E$15</f>
        <v>4.5</v>
      </c>
      <c r="BC9" s="10" t="n">
        <f aca="false">BC4*Streams!$E$5/Streams!$E$15</f>
        <v>4.5</v>
      </c>
      <c r="BD9" s="10" t="n">
        <f aca="false">BD4*Streams!$E$5/Streams!$E$15</f>
        <v>4.5</v>
      </c>
      <c r="BE9" s="10" t="n">
        <f aca="false">BE4*Streams!$E$5/Streams!$E$15</f>
        <v>4.5</v>
      </c>
      <c r="BF9" s="10" t="n">
        <f aca="false">BF4*Streams!$E$5/Streams!$E$15</f>
        <v>4.5</v>
      </c>
      <c r="BG9" s="10" t="n">
        <f aca="false">BG4*Streams!$E$5/Streams!$E$15</f>
        <v>4.5</v>
      </c>
      <c r="BH9" s="10" t="n">
        <f aca="false">BH4*Streams!$E$5/Streams!$E$15</f>
        <v>4.5</v>
      </c>
      <c r="BI9" s="10" t="n">
        <f aca="false">BI4*Streams!$E$5/Streams!$E$15</f>
        <v>4.5</v>
      </c>
      <c r="BJ9" s="10" t="n">
        <f aca="false">BJ4*Streams!$E$5/Streams!$E$15</f>
        <v>4.5</v>
      </c>
      <c r="BK9" s="10" t="n">
        <f aca="false">BK4*Streams!$E$5/Streams!$E$15</f>
        <v>4.5</v>
      </c>
      <c r="BL9" s="10" t="n">
        <f aca="false">BL4*Streams!$E$5/Streams!$E$15</f>
        <v>4.5</v>
      </c>
      <c r="BM9" s="10" t="n">
        <f aca="false">BM4*Streams!$E$5/Streams!$E$15</f>
        <v>4.5</v>
      </c>
      <c r="BN9" s="10" t="n">
        <f aca="false">BN4*Streams!$E$5/Streams!$E$15</f>
        <v>4.5</v>
      </c>
      <c r="BO9" s="10" t="n">
        <f aca="false">BO4*Streams!$E$5/Streams!$E$15</f>
        <v>4.5</v>
      </c>
      <c r="BP9" s="10" t="n">
        <f aca="false">BP4*Streams!$E$5/Streams!$E$15</f>
        <v>4.5</v>
      </c>
      <c r="BQ9" s="10" t="n">
        <f aca="false">BQ4*Streams!$E$5/Streams!$E$15</f>
        <v>4.5</v>
      </c>
      <c r="BR9" s="10" t="n">
        <f aca="false">BR4*Streams!$E$5/Streams!$E$15</f>
        <v>4.5</v>
      </c>
      <c r="BS9" s="10" t="n">
        <f aca="false">BS4*Streams!$E$5/Streams!$E$15</f>
        <v>4.5</v>
      </c>
      <c r="BT9" s="10" t="n">
        <f aca="false">BT4*Streams!$E$5/Streams!$E$15</f>
        <v>4.5</v>
      </c>
      <c r="BU9" s="10" t="n">
        <f aca="false">BU4*Streams!$E$5/Streams!$E$15</f>
        <v>4.5</v>
      </c>
      <c r="BV9" s="10" t="n">
        <f aca="false">BV4*Streams!$E$5/Streams!$E$15</f>
        <v>4.5</v>
      </c>
      <c r="BW9" s="10" t="n">
        <f aca="false">BW4*Streams!$E$5/Streams!$E$15</f>
        <v>4.5</v>
      </c>
      <c r="BX9" s="10" t="n">
        <f aca="false">BX4*Streams!$E$5/Streams!$E$15</f>
        <v>4.5</v>
      </c>
      <c r="BY9" s="10" t="n">
        <f aca="false">BY4*Streams!$E$5/Streams!$E$15</f>
        <v>4.5</v>
      </c>
      <c r="BZ9" s="10" t="n">
        <f aca="false">BZ4*Streams!$E$5/Streams!$E$15</f>
        <v>4.5</v>
      </c>
      <c r="CA9" s="10" t="n">
        <f aca="false">CA4*Streams!$E$5/Streams!$E$15</f>
        <v>4.5</v>
      </c>
      <c r="CB9" s="10" t="n">
        <f aca="false">CB4*Streams!$E$5/Streams!$E$15</f>
        <v>4.5</v>
      </c>
      <c r="CC9" s="10" t="n">
        <f aca="false">CC4*Streams!$E$5/Streams!$E$15</f>
        <v>4.5</v>
      </c>
      <c r="CD9" s="10" t="n">
        <f aca="false">CD4*Streams!$E$5/Streams!$E$15</f>
        <v>4.5</v>
      </c>
      <c r="CE9" s="10" t="n">
        <f aca="false">CE4*Streams!$E$5/Streams!$E$15</f>
        <v>4.5</v>
      </c>
      <c r="CF9" s="10" t="n">
        <f aca="false">CF4*Streams!$E$5/Streams!$E$15</f>
        <v>4.5</v>
      </c>
      <c r="CG9" s="10" t="n">
        <f aca="false">CG4*Streams!$E$5/Streams!$E$15</f>
        <v>4.5</v>
      </c>
      <c r="CH9" s="10" t="n">
        <f aca="false">CH4*Streams!$E$5/Streams!$E$15</f>
        <v>4.5</v>
      </c>
      <c r="CI9" s="10" t="n">
        <f aca="false">CI4*Streams!$E$5/Streams!$E$15</f>
        <v>4.5</v>
      </c>
      <c r="CJ9" s="10" t="n">
        <f aca="false">CJ4*Streams!$E$5/Streams!$E$15</f>
        <v>4.5</v>
      </c>
      <c r="CK9" s="10" t="n">
        <f aca="false">CK4*Streams!$E$5/Streams!$E$15</f>
        <v>4.5</v>
      </c>
      <c r="CL9" s="10" t="n">
        <f aca="false">CL4*Streams!$E$5/Streams!$E$15</f>
        <v>4.5</v>
      </c>
      <c r="CM9" s="10" t="n">
        <f aca="false">CM4*Streams!$E$5/Streams!$E$15</f>
        <v>4.5</v>
      </c>
      <c r="CN9" s="10" t="n">
        <f aca="false">CN4*Streams!$E$5/Streams!$E$15</f>
        <v>4.5</v>
      </c>
      <c r="CO9" s="10" t="n">
        <f aca="false">CO4*Streams!$E$5/Streams!$E$15</f>
        <v>4.5</v>
      </c>
      <c r="CP9" s="10" t="n">
        <f aca="false">CP4*Streams!$E$5/Streams!$E$15</f>
        <v>4.5</v>
      </c>
      <c r="CQ9" s="10" t="n">
        <f aca="false">CQ4*Streams!$E$5/Streams!$E$15</f>
        <v>4.5</v>
      </c>
      <c r="CR9" s="10" t="n">
        <f aca="false">CR4*Streams!$E$5/Streams!$E$15</f>
        <v>4.5</v>
      </c>
      <c r="CS9" s="10" t="n">
        <f aca="false">CS4*Streams!$E$5/Streams!$E$15</f>
        <v>4.5</v>
      </c>
      <c r="CT9" s="10" t="n">
        <f aca="false">CT4*Streams!$E$5/Streams!$E$15</f>
        <v>4.5</v>
      </c>
      <c r="CU9" s="10" t="n">
        <f aca="false">CU4*Streams!$E$5/Streams!$E$15</f>
        <v>4.5</v>
      </c>
      <c r="CV9" s="10" t="n">
        <f aca="false">CV4*Streams!$E$5/Streams!$E$15</f>
        <v>4.5</v>
      </c>
      <c r="CW9" s="10" t="n">
        <f aca="false">CW4*Streams!$E$5/Streams!$E$15</f>
        <v>4.5</v>
      </c>
      <c r="CX9" s="10" t="n">
        <f aca="false">CX4*Streams!$E$5/Streams!$E$15</f>
        <v>4.5</v>
      </c>
      <c r="CY9" s="10" t="n">
        <f aca="false">CY4*Streams!$E$5/Streams!$E$15</f>
        <v>4.5</v>
      </c>
      <c r="CZ9" s="10" t="n">
        <f aca="false">CZ4*Streams!$E$5/Streams!$E$15</f>
        <v>4.5</v>
      </c>
      <c r="DA9" s="10" t="n">
        <f aca="false">DA4*Streams!$E$5/Streams!$E$15</f>
        <v>4.5</v>
      </c>
      <c r="DB9" s="10" t="n">
        <f aca="false">DB4*Streams!$E$5/Streams!$E$15</f>
        <v>4.5</v>
      </c>
      <c r="DC9" s="10" t="n">
        <f aca="false">DC4*Streams!$E$5/Streams!$E$15</f>
        <v>4.5</v>
      </c>
      <c r="DD9" s="10" t="n">
        <f aca="false">DD4*Streams!$E$5/Streams!$E$15</f>
        <v>4.5</v>
      </c>
      <c r="DE9" s="10" t="n">
        <f aca="false">DE4*Streams!$E$5/Streams!$E$15</f>
        <v>4.5</v>
      </c>
      <c r="DF9" s="10" t="n">
        <f aca="false">DF4*Streams!$E$5/Streams!$E$15</f>
        <v>4.5</v>
      </c>
      <c r="DG9" s="10" t="n">
        <f aca="false">DG4*Streams!$E$5/Streams!$E$15</f>
        <v>4.5</v>
      </c>
      <c r="DH9" s="10" t="n">
        <f aca="false">DH4*Streams!$E$5/Streams!$E$15</f>
        <v>4.5</v>
      </c>
      <c r="DI9" s="10" t="n">
        <f aca="false">DI4*Streams!$E$5/Streams!$E$15</f>
        <v>4.5</v>
      </c>
      <c r="DJ9" s="10" t="n">
        <f aca="false">DJ4*Streams!$E$5/Streams!$E$15</f>
        <v>4.5</v>
      </c>
      <c r="DK9" s="10" t="n">
        <f aca="false">DK4*Streams!$E$5/Streams!$E$15</f>
        <v>4.5</v>
      </c>
      <c r="DL9" s="10" t="n">
        <f aca="false">DL4*Streams!$E$5/Streams!$E$15</f>
        <v>4.5</v>
      </c>
      <c r="DM9" s="10" t="n">
        <f aca="false">DM4*Streams!$E$5/Streams!$E$15</f>
        <v>4.5</v>
      </c>
      <c r="DN9" s="10" t="n">
        <f aca="false">DN4*Streams!$E$5/Streams!$E$15</f>
        <v>4.5</v>
      </c>
      <c r="DO9" s="10" t="n">
        <f aca="false">DO4*Streams!$E$5/Streams!$E$15</f>
        <v>4.5</v>
      </c>
      <c r="DP9" s="10" t="n">
        <f aca="false">DP4*Streams!$E$5/Streams!$E$15</f>
        <v>4.5</v>
      </c>
      <c r="DQ9" s="10" t="n">
        <f aca="false">DQ4*Streams!$E$5/Streams!$E$15</f>
        <v>4.5</v>
      </c>
      <c r="DR9" s="10" t="n">
        <f aca="false">DR4*Streams!$E$5/Streams!$E$15</f>
        <v>4.5</v>
      </c>
    </row>
    <row r="10" customFormat="false" ht="15" hidden="false" customHeight="false" outlineLevel="0" collapsed="false">
      <c r="A10" s="9" t="s">
        <v>179</v>
      </c>
      <c r="B10" s="10" t="n">
        <f aca="false">B4*Streams!$E$6/Streams!$E$15</f>
        <v>0</v>
      </c>
      <c r="C10" s="10" t="n">
        <f aca="false">C4*Streams!$E$6/Streams!$E$15</f>
        <v>0</v>
      </c>
      <c r="D10" s="10" t="n">
        <f aca="false">D4*Streams!$E$6/Streams!$E$15</f>
        <v>0</v>
      </c>
      <c r="E10" s="10" t="n">
        <f aca="false">E4*Streams!$E$6/Streams!$E$15</f>
        <v>0</v>
      </c>
      <c r="F10" s="10" t="n">
        <f aca="false">F4*Streams!$E$6/Streams!$E$15</f>
        <v>0</v>
      </c>
      <c r="G10" s="10" t="n">
        <f aca="false">G4*Streams!$E$6/Streams!$E$15</f>
        <v>0</v>
      </c>
      <c r="H10" s="10" t="n">
        <f aca="false">H4*Streams!$E$6/Streams!$E$15</f>
        <v>0.642857142857143</v>
      </c>
      <c r="I10" s="10" t="n">
        <f aca="false">I4*Streams!$E$6/Streams!$E$15</f>
        <v>0.642857142857143</v>
      </c>
      <c r="J10" s="10" t="n">
        <f aca="false">J4*Streams!$E$6/Streams!$E$15</f>
        <v>0.642857142857143</v>
      </c>
      <c r="K10" s="10" t="n">
        <f aca="false">K4*Streams!$E$6/Streams!$E$15</f>
        <v>1.07142857142857</v>
      </c>
      <c r="L10" s="10" t="n">
        <f aca="false">L4*Streams!$E$6/Streams!$E$15</f>
        <v>1.07142857142857</v>
      </c>
      <c r="M10" s="10" t="n">
        <f aca="false">M4*Streams!$E$6/Streams!$E$15</f>
        <v>1.07142857142857</v>
      </c>
      <c r="N10" s="10" t="n">
        <f aca="false">N4*Streams!$E$6/Streams!$E$15</f>
        <v>1.5</v>
      </c>
      <c r="O10" s="10" t="n">
        <f aca="false">O4*Streams!$E$6/Streams!$E$15</f>
        <v>1.5</v>
      </c>
      <c r="P10" s="10" t="n">
        <f aca="false">P4*Streams!$E$6/Streams!$E$15</f>
        <v>1.5</v>
      </c>
      <c r="Q10" s="10" t="n">
        <f aca="false">Q4*Streams!$E$6/Streams!$E$15</f>
        <v>1.5</v>
      </c>
      <c r="R10" s="10" t="n">
        <f aca="false">R4*Streams!$E$6/Streams!$E$15</f>
        <v>1.5</v>
      </c>
      <c r="S10" s="10" t="n">
        <f aca="false">S4*Streams!$E$6/Streams!$E$15</f>
        <v>1.5</v>
      </c>
      <c r="T10" s="10" t="n">
        <f aca="false">T4*Streams!$E$6/Streams!$E$15</f>
        <v>1.5</v>
      </c>
      <c r="U10" s="10" t="n">
        <f aca="false">U4*Streams!$E$6/Streams!$E$15</f>
        <v>1.5</v>
      </c>
      <c r="V10" s="10" t="n">
        <f aca="false">V4*Streams!$E$6/Streams!$E$15</f>
        <v>1.5</v>
      </c>
      <c r="W10" s="10" t="n">
        <f aca="false">W4*Streams!$E$6/Streams!$E$15</f>
        <v>1.5</v>
      </c>
      <c r="X10" s="10" t="n">
        <f aca="false">X4*Streams!$E$6/Streams!$E$15</f>
        <v>1.5</v>
      </c>
      <c r="Y10" s="10" t="n">
        <f aca="false">Y4*Streams!$E$6/Streams!$E$15</f>
        <v>1.5</v>
      </c>
      <c r="Z10" s="10" t="n">
        <f aca="false">Z4*Streams!$E$6/Streams!$E$15</f>
        <v>1.5</v>
      </c>
      <c r="AA10" s="10" t="n">
        <f aca="false">AA4*Streams!$E$6/Streams!$E$15</f>
        <v>1.5</v>
      </c>
      <c r="AB10" s="10" t="n">
        <f aca="false">AB4*Streams!$E$6/Streams!$E$15</f>
        <v>1.5</v>
      </c>
      <c r="AC10" s="10" t="n">
        <f aca="false">AC4*Streams!$E$6/Streams!$E$15</f>
        <v>1.5</v>
      </c>
      <c r="AD10" s="10" t="n">
        <f aca="false">AD4*Streams!$E$6/Streams!$E$15</f>
        <v>1.5</v>
      </c>
      <c r="AE10" s="10" t="n">
        <f aca="false">AE4*Streams!$E$6/Streams!$E$15</f>
        <v>1.5</v>
      </c>
      <c r="AF10" s="10" t="n">
        <f aca="false">AF4*Streams!$E$6/Streams!$E$15</f>
        <v>1.5</v>
      </c>
      <c r="AG10" s="10" t="n">
        <f aca="false">AG4*Streams!$E$6/Streams!$E$15</f>
        <v>1.5</v>
      </c>
      <c r="AH10" s="10" t="n">
        <f aca="false">AH4*Streams!$E$6/Streams!$E$15</f>
        <v>1.5</v>
      </c>
      <c r="AI10" s="10" t="n">
        <f aca="false">AI4*Streams!$E$6/Streams!$E$15</f>
        <v>1.5</v>
      </c>
      <c r="AJ10" s="10" t="n">
        <f aca="false">AJ4*Streams!$E$6/Streams!$E$15</f>
        <v>1.5</v>
      </c>
      <c r="AK10" s="10" t="n">
        <f aca="false">AK4*Streams!$E$6/Streams!$E$15</f>
        <v>1.5</v>
      </c>
      <c r="AL10" s="10" t="n">
        <f aca="false">AL4*Streams!$E$6/Streams!$E$15</f>
        <v>1.5</v>
      </c>
      <c r="AM10" s="10" t="n">
        <f aca="false">AM4*Streams!$E$6/Streams!$E$15</f>
        <v>1.5</v>
      </c>
      <c r="AN10" s="10" t="n">
        <f aca="false">AN4*Streams!$E$6/Streams!$E$15</f>
        <v>1.5</v>
      </c>
      <c r="AO10" s="10" t="n">
        <f aca="false">AO4*Streams!$E$6/Streams!$E$15</f>
        <v>1.5</v>
      </c>
      <c r="AP10" s="10" t="n">
        <f aca="false">AP4*Streams!$E$6/Streams!$E$15</f>
        <v>1.5</v>
      </c>
      <c r="AQ10" s="10" t="n">
        <f aca="false">AQ4*Streams!$E$6/Streams!$E$15</f>
        <v>1.5</v>
      </c>
      <c r="AR10" s="10" t="n">
        <f aca="false">AR4*Streams!$E$6/Streams!$E$15</f>
        <v>1.5</v>
      </c>
      <c r="AS10" s="10" t="n">
        <f aca="false">AS4*Streams!$E$6/Streams!$E$15</f>
        <v>1.5</v>
      </c>
      <c r="AT10" s="10" t="n">
        <f aca="false">AT4*Streams!$E$6/Streams!$E$15</f>
        <v>1.5</v>
      </c>
      <c r="AU10" s="10" t="n">
        <f aca="false">AU4*Streams!$E$6/Streams!$E$15</f>
        <v>1.5</v>
      </c>
      <c r="AV10" s="10" t="n">
        <f aca="false">AV4*Streams!$E$6/Streams!$E$15</f>
        <v>1.5</v>
      </c>
      <c r="AW10" s="10" t="n">
        <f aca="false">AW4*Streams!$E$6/Streams!$E$15</f>
        <v>1.5</v>
      </c>
      <c r="AX10" s="10" t="n">
        <f aca="false">AX4*Streams!$E$6/Streams!$E$15</f>
        <v>1.5</v>
      </c>
      <c r="AY10" s="10" t="n">
        <f aca="false">AY4*Streams!$E$6/Streams!$E$15</f>
        <v>1.5</v>
      </c>
      <c r="AZ10" s="10" t="n">
        <f aca="false">AZ4*Streams!$E$6/Streams!$E$15</f>
        <v>1.5</v>
      </c>
      <c r="BA10" s="10" t="n">
        <f aca="false">BA4*Streams!$E$6/Streams!$E$15</f>
        <v>1.5</v>
      </c>
      <c r="BB10" s="10" t="n">
        <f aca="false">BB4*Streams!$E$6/Streams!$E$15</f>
        <v>1.5</v>
      </c>
      <c r="BC10" s="10" t="n">
        <f aca="false">BC4*Streams!$E$6/Streams!$E$15</f>
        <v>1.5</v>
      </c>
      <c r="BD10" s="10" t="n">
        <f aca="false">BD4*Streams!$E$6/Streams!$E$15</f>
        <v>1.5</v>
      </c>
      <c r="BE10" s="10" t="n">
        <f aca="false">BE4*Streams!$E$6/Streams!$E$15</f>
        <v>1.5</v>
      </c>
      <c r="BF10" s="10" t="n">
        <f aca="false">BF4*Streams!$E$6/Streams!$E$15</f>
        <v>1.5</v>
      </c>
      <c r="BG10" s="10" t="n">
        <f aca="false">BG4*Streams!$E$6/Streams!$E$15</f>
        <v>1.5</v>
      </c>
      <c r="BH10" s="10" t="n">
        <f aca="false">BH4*Streams!$E$6/Streams!$E$15</f>
        <v>1.5</v>
      </c>
      <c r="BI10" s="10" t="n">
        <f aca="false">BI4*Streams!$E$6/Streams!$E$15</f>
        <v>1.5</v>
      </c>
      <c r="BJ10" s="10" t="n">
        <f aca="false">BJ4*Streams!$E$6/Streams!$E$15</f>
        <v>1.5</v>
      </c>
      <c r="BK10" s="10" t="n">
        <f aca="false">BK4*Streams!$E$6/Streams!$E$15</f>
        <v>1.5</v>
      </c>
      <c r="BL10" s="10" t="n">
        <f aca="false">BL4*Streams!$E$6/Streams!$E$15</f>
        <v>1.5</v>
      </c>
      <c r="BM10" s="10" t="n">
        <f aca="false">BM4*Streams!$E$6/Streams!$E$15</f>
        <v>1.5</v>
      </c>
      <c r="BN10" s="10" t="n">
        <f aca="false">BN4*Streams!$E$6/Streams!$E$15</f>
        <v>1.5</v>
      </c>
      <c r="BO10" s="10" t="n">
        <f aca="false">BO4*Streams!$E$6/Streams!$E$15</f>
        <v>1.5</v>
      </c>
      <c r="BP10" s="10" t="n">
        <f aca="false">BP4*Streams!$E$6/Streams!$E$15</f>
        <v>1.5</v>
      </c>
      <c r="BQ10" s="10" t="n">
        <f aca="false">BQ4*Streams!$E$6/Streams!$E$15</f>
        <v>1.5</v>
      </c>
      <c r="BR10" s="10" t="n">
        <f aca="false">BR4*Streams!$E$6/Streams!$E$15</f>
        <v>1.5</v>
      </c>
      <c r="BS10" s="10" t="n">
        <f aca="false">BS4*Streams!$E$6/Streams!$E$15</f>
        <v>1.5</v>
      </c>
      <c r="BT10" s="10" t="n">
        <f aca="false">BT4*Streams!$E$6/Streams!$E$15</f>
        <v>1.5</v>
      </c>
      <c r="BU10" s="10" t="n">
        <f aca="false">BU4*Streams!$E$6/Streams!$E$15</f>
        <v>1.5</v>
      </c>
      <c r="BV10" s="10" t="n">
        <f aca="false">BV4*Streams!$E$6/Streams!$E$15</f>
        <v>1.5</v>
      </c>
      <c r="BW10" s="10" t="n">
        <f aca="false">BW4*Streams!$E$6/Streams!$E$15</f>
        <v>1.5</v>
      </c>
      <c r="BX10" s="10" t="n">
        <f aca="false">BX4*Streams!$E$6/Streams!$E$15</f>
        <v>1.5</v>
      </c>
      <c r="BY10" s="10" t="n">
        <f aca="false">BY4*Streams!$E$6/Streams!$E$15</f>
        <v>1.5</v>
      </c>
      <c r="BZ10" s="10" t="n">
        <f aca="false">BZ4*Streams!$E$6/Streams!$E$15</f>
        <v>1.5</v>
      </c>
      <c r="CA10" s="10" t="n">
        <f aca="false">CA4*Streams!$E$6/Streams!$E$15</f>
        <v>1.5</v>
      </c>
      <c r="CB10" s="10" t="n">
        <f aca="false">CB4*Streams!$E$6/Streams!$E$15</f>
        <v>1.5</v>
      </c>
      <c r="CC10" s="10" t="n">
        <f aca="false">CC4*Streams!$E$6/Streams!$E$15</f>
        <v>1.5</v>
      </c>
      <c r="CD10" s="10" t="n">
        <f aca="false">CD4*Streams!$E$6/Streams!$E$15</f>
        <v>1.5</v>
      </c>
      <c r="CE10" s="10" t="n">
        <f aca="false">CE4*Streams!$E$6/Streams!$E$15</f>
        <v>1.5</v>
      </c>
      <c r="CF10" s="10" t="n">
        <f aca="false">CF4*Streams!$E$6/Streams!$E$15</f>
        <v>1.5</v>
      </c>
      <c r="CG10" s="10" t="n">
        <f aca="false">CG4*Streams!$E$6/Streams!$E$15</f>
        <v>1.5</v>
      </c>
      <c r="CH10" s="10" t="n">
        <f aca="false">CH4*Streams!$E$6/Streams!$E$15</f>
        <v>1.5</v>
      </c>
      <c r="CI10" s="10" t="n">
        <f aca="false">CI4*Streams!$E$6/Streams!$E$15</f>
        <v>1.5</v>
      </c>
      <c r="CJ10" s="10" t="n">
        <f aca="false">CJ4*Streams!$E$6/Streams!$E$15</f>
        <v>1.5</v>
      </c>
      <c r="CK10" s="10" t="n">
        <f aca="false">CK4*Streams!$E$6/Streams!$E$15</f>
        <v>1.5</v>
      </c>
      <c r="CL10" s="10" t="n">
        <f aca="false">CL4*Streams!$E$6/Streams!$E$15</f>
        <v>1.5</v>
      </c>
      <c r="CM10" s="10" t="n">
        <f aca="false">CM4*Streams!$E$6/Streams!$E$15</f>
        <v>1.5</v>
      </c>
      <c r="CN10" s="10" t="n">
        <f aca="false">CN4*Streams!$E$6/Streams!$E$15</f>
        <v>1.5</v>
      </c>
      <c r="CO10" s="10" t="n">
        <f aca="false">CO4*Streams!$E$6/Streams!$E$15</f>
        <v>1.5</v>
      </c>
      <c r="CP10" s="10" t="n">
        <f aca="false">CP4*Streams!$E$6/Streams!$E$15</f>
        <v>1.5</v>
      </c>
      <c r="CQ10" s="10" t="n">
        <f aca="false">CQ4*Streams!$E$6/Streams!$E$15</f>
        <v>1.5</v>
      </c>
      <c r="CR10" s="10" t="n">
        <f aca="false">CR4*Streams!$E$6/Streams!$E$15</f>
        <v>1.5</v>
      </c>
      <c r="CS10" s="10" t="n">
        <f aca="false">CS4*Streams!$E$6/Streams!$E$15</f>
        <v>1.5</v>
      </c>
      <c r="CT10" s="10" t="n">
        <f aca="false">CT4*Streams!$E$6/Streams!$E$15</f>
        <v>1.5</v>
      </c>
      <c r="CU10" s="10" t="n">
        <f aca="false">CU4*Streams!$E$6/Streams!$E$15</f>
        <v>1.5</v>
      </c>
      <c r="CV10" s="10" t="n">
        <f aca="false">CV4*Streams!$E$6/Streams!$E$15</f>
        <v>1.5</v>
      </c>
      <c r="CW10" s="10" t="n">
        <f aca="false">CW4*Streams!$E$6/Streams!$E$15</f>
        <v>1.5</v>
      </c>
      <c r="CX10" s="10" t="n">
        <f aca="false">CX4*Streams!$E$6/Streams!$E$15</f>
        <v>1.5</v>
      </c>
      <c r="CY10" s="10" t="n">
        <f aca="false">CY4*Streams!$E$6/Streams!$E$15</f>
        <v>1.5</v>
      </c>
      <c r="CZ10" s="10" t="n">
        <f aca="false">CZ4*Streams!$E$6/Streams!$E$15</f>
        <v>1.5</v>
      </c>
      <c r="DA10" s="10" t="n">
        <f aca="false">DA4*Streams!$E$6/Streams!$E$15</f>
        <v>1.5</v>
      </c>
      <c r="DB10" s="10" t="n">
        <f aca="false">DB4*Streams!$E$6/Streams!$E$15</f>
        <v>1.5</v>
      </c>
      <c r="DC10" s="10" t="n">
        <f aca="false">DC4*Streams!$E$6/Streams!$E$15</f>
        <v>1.5</v>
      </c>
      <c r="DD10" s="10" t="n">
        <f aca="false">DD4*Streams!$E$6/Streams!$E$15</f>
        <v>1.5</v>
      </c>
      <c r="DE10" s="10" t="n">
        <f aca="false">DE4*Streams!$E$6/Streams!$E$15</f>
        <v>1.5</v>
      </c>
      <c r="DF10" s="10" t="n">
        <f aca="false">DF4*Streams!$E$6/Streams!$E$15</f>
        <v>1.5</v>
      </c>
      <c r="DG10" s="10" t="n">
        <f aca="false">DG4*Streams!$E$6/Streams!$E$15</f>
        <v>1.5</v>
      </c>
      <c r="DH10" s="10" t="n">
        <f aca="false">DH4*Streams!$E$6/Streams!$E$15</f>
        <v>1.5</v>
      </c>
      <c r="DI10" s="10" t="n">
        <f aca="false">DI4*Streams!$E$6/Streams!$E$15</f>
        <v>1.5</v>
      </c>
      <c r="DJ10" s="10" t="n">
        <f aca="false">DJ4*Streams!$E$6/Streams!$E$15</f>
        <v>1.5</v>
      </c>
      <c r="DK10" s="10" t="n">
        <f aca="false">DK4*Streams!$E$6/Streams!$E$15</f>
        <v>1.5</v>
      </c>
      <c r="DL10" s="10" t="n">
        <f aca="false">DL4*Streams!$E$6/Streams!$E$15</f>
        <v>1.5</v>
      </c>
      <c r="DM10" s="10" t="n">
        <f aca="false">DM4*Streams!$E$6/Streams!$E$15</f>
        <v>1.5</v>
      </c>
      <c r="DN10" s="10" t="n">
        <f aca="false">DN4*Streams!$E$6/Streams!$E$15</f>
        <v>1.5</v>
      </c>
      <c r="DO10" s="10" t="n">
        <f aca="false">DO4*Streams!$E$6/Streams!$E$15</f>
        <v>1.5</v>
      </c>
      <c r="DP10" s="10" t="n">
        <f aca="false">DP4*Streams!$E$6/Streams!$E$15</f>
        <v>1.5</v>
      </c>
      <c r="DQ10" s="10" t="n">
        <f aca="false">DQ4*Streams!$E$6/Streams!$E$15</f>
        <v>1.5</v>
      </c>
      <c r="DR10" s="10" t="n">
        <f aca="false">DR4*Streams!$E$6/Streams!$E$15</f>
        <v>1.5</v>
      </c>
    </row>
    <row r="11" customFormat="false" ht="15" hidden="false" customHeight="false" outlineLevel="0" collapsed="false">
      <c r="A11" s="9" t="s">
        <v>180</v>
      </c>
      <c r="B11" s="10" t="n">
        <f aca="false">B4*Streams!$E$7/Streams!$E$15</f>
        <v>0</v>
      </c>
      <c r="C11" s="10" t="n">
        <f aca="false">C4*Streams!$E$7/Streams!$E$15</f>
        <v>0</v>
      </c>
      <c r="D11" s="10" t="n">
        <f aca="false">D4*Streams!$E$7/Streams!$E$15</f>
        <v>0</v>
      </c>
      <c r="E11" s="10" t="n">
        <f aca="false">E4*Streams!$E$7/Streams!$E$15</f>
        <v>0</v>
      </c>
      <c r="F11" s="10" t="n">
        <f aca="false">F4*Streams!$E$7/Streams!$E$15</f>
        <v>0</v>
      </c>
      <c r="G11" s="10" t="n">
        <f aca="false">G4*Streams!$E$7/Streams!$E$15</f>
        <v>0</v>
      </c>
      <c r="H11" s="10" t="n">
        <f aca="false">H4*Streams!$E$7/Streams!$E$15</f>
        <v>2.14285714285714</v>
      </c>
      <c r="I11" s="10" t="n">
        <f aca="false">I4*Streams!$E$7/Streams!$E$15</f>
        <v>2.14285714285714</v>
      </c>
      <c r="J11" s="10" t="n">
        <f aca="false">J4*Streams!$E$7/Streams!$E$15</f>
        <v>2.14285714285714</v>
      </c>
      <c r="K11" s="10" t="n">
        <f aca="false">K4*Streams!$E$7/Streams!$E$15</f>
        <v>3.57142857142857</v>
      </c>
      <c r="L11" s="10" t="n">
        <f aca="false">L4*Streams!$E$7/Streams!$E$15</f>
        <v>3.57142857142857</v>
      </c>
      <c r="M11" s="10" t="n">
        <f aca="false">M4*Streams!$E$7/Streams!$E$15</f>
        <v>3.57142857142857</v>
      </c>
      <c r="N11" s="10" t="n">
        <f aca="false">N4*Streams!$E$7/Streams!$E$15</f>
        <v>5</v>
      </c>
      <c r="O11" s="10" t="n">
        <f aca="false">O4*Streams!$E$7/Streams!$E$15</f>
        <v>5</v>
      </c>
      <c r="P11" s="10" t="n">
        <f aca="false">P4*Streams!$E$7/Streams!$E$15</f>
        <v>5</v>
      </c>
      <c r="Q11" s="10" t="n">
        <f aca="false">Q4*Streams!$E$7/Streams!$E$15</f>
        <v>5</v>
      </c>
      <c r="R11" s="10" t="n">
        <f aca="false">R4*Streams!$E$7/Streams!$E$15</f>
        <v>5</v>
      </c>
      <c r="S11" s="10" t="n">
        <f aca="false">S4*Streams!$E$7/Streams!$E$15</f>
        <v>5</v>
      </c>
      <c r="T11" s="10" t="n">
        <f aca="false">T4*Streams!$E$7/Streams!$E$15</f>
        <v>5</v>
      </c>
      <c r="U11" s="10" t="n">
        <f aca="false">U4*Streams!$E$7/Streams!$E$15</f>
        <v>5</v>
      </c>
      <c r="V11" s="10" t="n">
        <f aca="false">V4*Streams!$E$7/Streams!$E$15</f>
        <v>5</v>
      </c>
      <c r="W11" s="10" t="n">
        <f aca="false">W4*Streams!$E$7/Streams!$E$15</f>
        <v>5</v>
      </c>
      <c r="X11" s="10" t="n">
        <f aca="false">X4*Streams!$E$7/Streams!$E$15</f>
        <v>5</v>
      </c>
      <c r="Y11" s="10" t="n">
        <f aca="false">Y4*Streams!$E$7/Streams!$E$15</f>
        <v>5</v>
      </c>
      <c r="Z11" s="10" t="n">
        <f aca="false">Z4*Streams!$E$7/Streams!$E$15</f>
        <v>5</v>
      </c>
      <c r="AA11" s="10" t="n">
        <f aca="false">AA4*Streams!$E$7/Streams!$E$15</f>
        <v>5</v>
      </c>
      <c r="AB11" s="10" t="n">
        <f aca="false">AB4*Streams!$E$7/Streams!$E$15</f>
        <v>5</v>
      </c>
      <c r="AC11" s="10" t="n">
        <f aca="false">AC4*Streams!$E$7/Streams!$E$15</f>
        <v>5</v>
      </c>
      <c r="AD11" s="10" t="n">
        <f aca="false">AD4*Streams!$E$7/Streams!$E$15</f>
        <v>5</v>
      </c>
      <c r="AE11" s="10" t="n">
        <f aca="false">AE4*Streams!$E$7/Streams!$E$15</f>
        <v>5</v>
      </c>
      <c r="AF11" s="10" t="n">
        <f aca="false">AF4*Streams!$E$7/Streams!$E$15</f>
        <v>5</v>
      </c>
      <c r="AG11" s="10" t="n">
        <f aca="false">AG4*Streams!$E$7/Streams!$E$15</f>
        <v>5</v>
      </c>
      <c r="AH11" s="10" t="n">
        <f aca="false">AH4*Streams!$E$7/Streams!$E$15</f>
        <v>5</v>
      </c>
      <c r="AI11" s="10" t="n">
        <f aca="false">AI4*Streams!$E$7/Streams!$E$15</f>
        <v>5</v>
      </c>
      <c r="AJ11" s="10" t="n">
        <f aca="false">AJ4*Streams!$E$7/Streams!$E$15</f>
        <v>5</v>
      </c>
      <c r="AK11" s="10" t="n">
        <f aca="false">AK4*Streams!$E$7/Streams!$E$15</f>
        <v>5</v>
      </c>
      <c r="AL11" s="10" t="n">
        <f aca="false">AL4*Streams!$E$7/Streams!$E$15</f>
        <v>5</v>
      </c>
      <c r="AM11" s="10" t="n">
        <f aca="false">AM4*Streams!$E$7/Streams!$E$15</f>
        <v>5</v>
      </c>
      <c r="AN11" s="10" t="n">
        <f aca="false">AN4*Streams!$E$7/Streams!$E$15</f>
        <v>5</v>
      </c>
      <c r="AO11" s="10" t="n">
        <f aca="false">AO4*Streams!$E$7/Streams!$E$15</f>
        <v>5</v>
      </c>
      <c r="AP11" s="10" t="n">
        <f aca="false">AP4*Streams!$E$7/Streams!$E$15</f>
        <v>5</v>
      </c>
      <c r="AQ11" s="10" t="n">
        <f aca="false">AQ4*Streams!$E$7/Streams!$E$15</f>
        <v>5</v>
      </c>
      <c r="AR11" s="10" t="n">
        <f aca="false">AR4*Streams!$E$7/Streams!$E$15</f>
        <v>5</v>
      </c>
      <c r="AS11" s="10" t="n">
        <f aca="false">AS4*Streams!$E$7/Streams!$E$15</f>
        <v>5</v>
      </c>
      <c r="AT11" s="10" t="n">
        <f aca="false">AT4*Streams!$E$7/Streams!$E$15</f>
        <v>5</v>
      </c>
      <c r="AU11" s="10" t="n">
        <f aca="false">AU4*Streams!$E$7/Streams!$E$15</f>
        <v>5</v>
      </c>
      <c r="AV11" s="10" t="n">
        <f aca="false">AV4*Streams!$E$7/Streams!$E$15</f>
        <v>5</v>
      </c>
      <c r="AW11" s="10" t="n">
        <f aca="false">AW4*Streams!$E$7/Streams!$E$15</f>
        <v>5</v>
      </c>
      <c r="AX11" s="10" t="n">
        <f aca="false">AX4*Streams!$E$7/Streams!$E$15</f>
        <v>5</v>
      </c>
      <c r="AY11" s="10" t="n">
        <f aca="false">AY4*Streams!$E$7/Streams!$E$15</f>
        <v>5</v>
      </c>
      <c r="AZ11" s="10" t="n">
        <f aca="false">AZ4*Streams!$E$7/Streams!$E$15</f>
        <v>5</v>
      </c>
      <c r="BA11" s="10" t="n">
        <f aca="false">BA4*Streams!$E$7/Streams!$E$15</f>
        <v>5</v>
      </c>
      <c r="BB11" s="10" t="n">
        <f aca="false">BB4*Streams!$E$7/Streams!$E$15</f>
        <v>5</v>
      </c>
      <c r="BC11" s="10" t="n">
        <f aca="false">BC4*Streams!$E$7/Streams!$E$15</f>
        <v>5</v>
      </c>
      <c r="BD11" s="10" t="n">
        <f aca="false">BD4*Streams!$E$7/Streams!$E$15</f>
        <v>5</v>
      </c>
      <c r="BE11" s="10" t="n">
        <f aca="false">BE4*Streams!$E$7/Streams!$E$15</f>
        <v>5</v>
      </c>
      <c r="BF11" s="10" t="n">
        <f aca="false">BF4*Streams!$E$7/Streams!$E$15</f>
        <v>5</v>
      </c>
      <c r="BG11" s="10" t="n">
        <f aca="false">BG4*Streams!$E$7/Streams!$E$15</f>
        <v>5</v>
      </c>
      <c r="BH11" s="10" t="n">
        <f aca="false">BH4*Streams!$E$7/Streams!$E$15</f>
        <v>5</v>
      </c>
      <c r="BI11" s="10" t="n">
        <f aca="false">BI4*Streams!$E$7/Streams!$E$15</f>
        <v>5</v>
      </c>
      <c r="BJ11" s="10" t="n">
        <f aca="false">BJ4*Streams!$E$7/Streams!$E$15</f>
        <v>5</v>
      </c>
      <c r="BK11" s="10" t="n">
        <f aca="false">BK4*Streams!$E$7/Streams!$E$15</f>
        <v>5</v>
      </c>
      <c r="BL11" s="10" t="n">
        <f aca="false">BL4*Streams!$E$7/Streams!$E$15</f>
        <v>5</v>
      </c>
      <c r="BM11" s="10" t="n">
        <f aca="false">BM4*Streams!$E$7/Streams!$E$15</f>
        <v>5</v>
      </c>
      <c r="BN11" s="10" t="n">
        <f aca="false">BN4*Streams!$E$7/Streams!$E$15</f>
        <v>5</v>
      </c>
      <c r="BO11" s="10" t="n">
        <f aca="false">BO4*Streams!$E$7/Streams!$E$15</f>
        <v>5</v>
      </c>
      <c r="BP11" s="10" t="n">
        <f aca="false">BP4*Streams!$E$7/Streams!$E$15</f>
        <v>5</v>
      </c>
      <c r="BQ11" s="10" t="n">
        <f aca="false">BQ4*Streams!$E$7/Streams!$E$15</f>
        <v>5</v>
      </c>
      <c r="BR11" s="10" t="n">
        <f aca="false">BR4*Streams!$E$7/Streams!$E$15</f>
        <v>5</v>
      </c>
      <c r="BS11" s="10" t="n">
        <f aca="false">BS4*Streams!$E$7/Streams!$E$15</f>
        <v>5</v>
      </c>
      <c r="BT11" s="10" t="n">
        <f aca="false">BT4*Streams!$E$7/Streams!$E$15</f>
        <v>5</v>
      </c>
      <c r="BU11" s="10" t="n">
        <f aca="false">BU4*Streams!$E$7/Streams!$E$15</f>
        <v>5</v>
      </c>
      <c r="BV11" s="10" t="n">
        <f aca="false">BV4*Streams!$E$7/Streams!$E$15</f>
        <v>5</v>
      </c>
      <c r="BW11" s="10" t="n">
        <f aca="false">BW4*Streams!$E$7/Streams!$E$15</f>
        <v>5</v>
      </c>
      <c r="BX11" s="10" t="n">
        <f aca="false">BX4*Streams!$E$7/Streams!$E$15</f>
        <v>5</v>
      </c>
      <c r="BY11" s="10" t="n">
        <f aca="false">BY4*Streams!$E$7/Streams!$E$15</f>
        <v>5</v>
      </c>
      <c r="BZ11" s="10" t="n">
        <f aca="false">BZ4*Streams!$E$7/Streams!$E$15</f>
        <v>5</v>
      </c>
      <c r="CA11" s="10" t="n">
        <f aca="false">CA4*Streams!$E$7/Streams!$E$15</f>
        <v>5</v>
      </c>
      <c r="CB11" s="10" t="n">
        <f aca="false">CB4*Streams!$E$7/Streams!$E$15</f>
        <v>5</v>
      </c>
      <c r="CC11" s="10" t="n">
        <f aca="false">CC4*Streams!$E$7/Streams!$E$15</f>
        <v>5</v>
      </c>
      <c r="CD11" s="10" t="n">
        <f aca="false">CD4*Streams!$E$7/Streams!$E$15</f>
        <v>5</v>
      </c>
      <c r="CE11" s="10" t="n">
        <f aca="false">CE4*Streams!$E$7/Streams!$E$15</f>
        <v>5</v>
      </c>
      <c r="CF11" s="10" t="n">
        <f aca="false">CF4*Streams!$E$7/Streams!$E$15</f>
        <v>5</v>
      </c>
      <c r="CG11" s="10" t="n">
        <f aca="false">CG4*Streams!$E$7/Streams!$E$15</f>
        <v>5</v>
      </c>
      <c r="CH11" s="10" t="n">
        <f aca="false">CH4*Streams!$E$7/Streams!$E$15</f>
        <v>5</v>
      </c>
      <c r="CI11" s="10" t="n">
        <f aca="false">CI4*Streams!$E$7/Streams!$E$15</f>
        <v>5</v>
      </c>
      <c r="CJ11" s="10" t="n">
        <f aca="false">CJ4*Streams!$E$7/Streams!$E$15</f>
        <v>5</v>
      </c>
      <c r="CK11" s="10" t="n">
        <f aca="false">CK4*Streams!$E$7/Streams!$E$15</f>
        <v>5</v>
      </c>
      <c r="CL11" s="10" t="n">
        <f aca="false">CL4*Streams!$E$7/Streams!$E$15</f>
        <v>5</v>
      </c>
      <c r="CM11" s="10" t="n">
        <f aca="false">CM4*Streams!$E$7/Streams!$E$15</f>
        <v>5</v>
      </c>
      <c r="CN11" s="10" t="n">
        <f aca="false">CN4*Streams!$E$7/Streams!$E$15</f>
        <v>5</v>
      </c>
      <c r="CO11" s="10" t="n">
        <f aca="false">CO4*Streams!$E$7/Streams!$E$15</f>
        <v>5</v>
      </c>
      <c r="CP11" s="10" t="n">
        <f aca="false">CP4*Streams!$E$7/Streams!$E$15</f>
        <v>5</v>
      </c>
      <c r="CQ11" s="10" t="n">
        <f aca="false">CQ4*Streams!$E$7/Streams!$E$15</f>
        <v>5</v>
      </c>
      <c r="CR11" s="10" t="n">
        <f aca="false">CR4*Streams!$E$7/Streams!$E$15</f>
        <v>5</v>
      </c>
      <c r="CS11" s="10" t="n">
        <f aca="false">CS4*Streams!$E$7/Streams!$E$15</f>
        <v>5</v>
      </c>
      <c r="CT11" s="10" t="n">
        <f aca="false">CT4*Streams!$E$7/Streams!$E$15</f>
        <v>5</v>
      </c>
      <c r="CU11" s="10" t="n">
        <f aca="false">CU4*Streams!$E$7/Streams!$E$15</f>
        <v>5</v>
      </c>
      <c r="CV11" s="10" t="n">
        <f aca="false">CV4*Streams!$E$7/Streams!$E$15</f>
        <v>5</v>
      </c>
      <c r="CW11" s="10" t="n">
        <f aca="false">CW4*Streams!$E$7/Streams!$E$15</f>
        <v>5</v>
      </c>
      <c r="CX11" s="10" t="n">
        <f aca="false">CX4*Streams!$E$7/Streams!$E$15</f>
        <v>5</v>
      </c>
      <c r="CY11" s="10" t="n">
        <f aca="false">CY4*Streams!$E$7/Streams!$E$15</f>
        <v>5</v>
      </c>
      <c r="CZ11" s="10" t="n">
        <f aca="false">CZ4*Streams!$E$7/Streams!$E$15</f>
        <v>5</v>
      </c>
      <c r="DA11" s="10" t="n">
        <f aca="false">DA4*Streams!$E$7/Streams!$E$15</f>
        <v>5</v>
      </c>
      <c r="DB11" s="10" t="n">
        <f aca="false">DB4*Streams!$E$7/Streams!$E$15</f>
        <v>5</v>
      </c>
      <c r="DC11" s="10" t="n">
        <f aca="false">DC4*Streams!$E$7/Streams!$E$15</f>
        <v>5</v>
      </c>
      <c r="DD11" s="10" t="n">
        <f aca="false">DD4*Streams!$E$7/Streams!$E$15</f>
        <v>5</v>
      </c>
      <c r="DE11" s="10" t="n">
        <f aca="false">DE4*Streams!$E$7/Streams!$E$15</f>
        <v>5</v>
      </c>
      <c r="DF11" s="10" t="n">
        <f aca="false">DF4*Streams!$E$7/Streams!$E$15</f>
        <v>5</v>
      </c>
      <c r="DG11" s="10" t="n">
        <f aca="false">DG4*Streams!$E$7/Streams!$E$15</f>
        <v>5</v>
      </c>
      <c r="DH11" s="10" t="n">
        <f aca="false">DH4*Streams!$E$7/Streams!$E$15</f>
        <v>5</v>
      </c>
      <c r="DI11" s="10" t="n">
        <f aca="false">DI4*Streams!$E$7/Streams!$E$15</f>
        <v>5</v>
      </c>
      <c r="DJ11" s="10" t="n">
        <f aca="false">DJ4*Streams!$E$7/Streams!$E$15</f>
        <v>5</v>
      </c>
      <c r="DK11" s="10" t="n">
        <f aca="false">DK4*Streams!$E$7/Streams!$E$15</f>
        <v>5</v>
      </c>
      <c r="DL11" s="10" t="n">
        <f aca="false">DL4*Streams!$E$7/Streams!$E$15</f>
        <v>5</v>
      </c>
      <c r="DM11" s="10" t="n">
        <f aca="false">DM4*Streams!$E$7/Streams!$E$15</f>
        <v>5</v>
      </c>
      <c r="DN11" s="10" t="n">
        <f aca="false">DN4*Streams!$E$7/Streams!$E$15</f>
        <v>5</v>
      </c>
      <c r="DO11" s="10" t="n">
        <f aca="false">DO4*Streams!$E$7/Streams!$E$15</f>
        <v>5</v>
      </c>
      <c r="DP11" s="10" t="n">
        <f aca="false">DP4*Streams!$E$7/Streams!$E$15</f>
        <v>5</v>
      </c>
      <c r="DQ11" s="10" t="n">
        <f aca="false">DQ4*Streams!$E$7/Streams!$E$15</f>
        <v>5</v>
      </c>
      <c r="DR11" s="10" t="n">
        <f aca="false">DR4*Streams!$E$7/Streams!$E$15</f>
        <v>5</v>
      </c>
    </row>
    <row r="12" customFormat="false" ht="15" hidden="false" customHeight="false" outlineLevel="0" collapsed="false">
      <c r="A12" s="9" t="s">
        <v>181</v>
      </c>
      <c r="B12" s="10" t="n">
        <f aca="false">B4*Streams!$E$8/Streams!$E$15</f>
        <v>0</v>
      </c>
      <c r="C12" s="10" t="n">
        <f aca="false">C4*Streams!$E$8/Streams!$E$15</f>
        <v>0</v>
      </c>
      <c r="D12" s="10" t="n">
        <f aca="false">D4*Streams!$E$8/Streams!$E$15</f>
        <v>0</v>
      </c>
      <c r="E12" s="10" t="n">
        <f aca="false">E4*Streams!$E$8/Streams!$E$15</f>
        <v>0</v>
      </c>
      <c r="F12" s="10" t="n">
        <f aca="false">F4*Streams!$E$8/Streams!$E$15</f>
        <v>0</v>
      </c>
      <c r="G12" s="10" t="n">
        <f aca="false">G4*Streams!$E$8/Streams!$E$15</f>
        <v>0</v>
      </c>
      <c r="H12" s="10" t="n">
        <f aca="false">H4*Streams!$E$8/Streams!$E$15</f>
        <v>1.07142857142857</v>
      </c>
      <c r="I12" s="10" t="n">
        <f aca="false">I4*Streams!$E$8/Streams!$E$15</f>
        <v>1.07142857142857</v>
      </c>
      <c r="J12" s="10" t="n">
        <f aca="false">J4*Streams!$E$8/Streams!$E$15</f>
        <v>1.07142857142857</v>
      </c>
      <c r="K12" s="10" t="n">
        <f aca="false">K4*Streams!$E$8/Streams!$E$15</f>
        <v>1.78571428571429</v>
      </c>
      <c r="L12" s="10" t="n">
        <f aca="false">L4*Streams!$E$8/Streams!$E$15</f>
        <v>1.78571428571429</v>
      </c>
      <c r="M12" s="10" t="n">
        <f aca="false">M4*Streams!$E$8/Streams!$E$15</f>
        <v>1.78571428571429</v>
      </c>
      <c r="N12" s="10" t="n">
        <f aca="false">N4*Streams!$E$8/Streams!$E$15</f>
        <v>2.5</v>
      </c>
      <c r="O12" s="10" t="n">
        <f aca="false">O4*Streams!$E$8/Streams!$E$15</f>
        <v>2.5</v>
      </c>
      <c r="P12" s="10" t="n">
        <f aca="false">P4*Streams!$E$8/Streams!$E$15</f>
        <v>2.5</v>
      </c>
      <c r="Q12" s="10" t="n">
        <f aca="false">Q4*Streams!$E$8/Streams!$E$15</f>
        <v>2.5</v>
      </c>
      <c r="R12" s="10" t="n">
        <f aca="false">R4*Streams!$E$8/Streams!$E$15</f>
        <v>2.5</v>
      </c>
      <c r="S12" s="10" t="n">
        <f aca="false">S4*Streams!$E$8/Streams!$E$15</f>
        <v>2.5</v>
      </c>
      <c r="T12" s="10" t="n">
        <f aca="false">T4*Streams!$E$8/Streams!$E$15</f>
        <v>2.5</v>
      </c>
      <c r="U12" s="10" t="n">
        <f aca="false">U4*Streams!$E$8/Streams!$E$15</f>
        <v>2.5</v>
      </c>
      <c r="V12" s="10" t="n">
        <f aca="false">V4*Streams!$E$8/Streams!$E$15</f>
        <v>2.5</v>
      </c>
      <c r="W12" s="10" t="n">
        <f aca="false">W4*Streams!$E$8/Streams!$E$15</f>
        <v>2.5</v>
      </c>
      <c r="X12" s="10" t="n">
        <f aca="false">X4*Streams!$E$8/Streams!$E$15</f>
        <v>2.5</v>
      </c>
      <c r="Y12" s="10" t="n">
        <f aca="false">Y4*Streams!$E$8/Streams!$E$15</f>
        <v>2.5</v>
      </c>
      <c r="Z12" s="10" t="n">
        <f aca="false">Z4*Streams!$E$8/Streams!$E$15</f>
        <v>2.5</v>
      </c>
      <c r="AA12" s="10" t="n">
        <f aca="false">AA4*Streams!$E$8/Streams!$E$15</f>
        <v>2.5</v>
      </c>
      <c r="AB12" s="10" t="n">
        <f aca="false">AB4*Streams!$E$8/Streams!$E$15</f>
        <v>2.5</v>
      </c>
      <c r="AC12" s="10" t="n">
        <f aca="false">AC4*Streams!$E$8/Streams!$E$15</f>
        <v>2.5</v>
      </c>
      <c r="AD12" s="10" t="n">
        <f aca="false">AD4*Streams!$E$8/Streams!$E$15</f>
        <v>2.5</v>
      </c>
      <c r="AE12" s="10" t="n">
        <f aca="false">AE4*Streams!$E$8/Streams!$E$15</f>
        <v>2.5</v>
      </c>
      <c r="AF12" s="10" t="n">
        <f aca="false">AF4*Streams!$E$8/Streams!$E$15</f>
        <v>2.5</v>
      </c>
      <c r="AG12" s="10" t="n">
        <f aca="false">AG4*Streams!$E$8/Streams!$E$15</f>
        <v>2.5</v>
      </c>
      <c r="AH12" s="10" t="n">
        <f aca="false">AH4*Streams!$E$8/Streams!$E$15</f>
        <v>2.5</v>
      </c>
      <c r="AI12" s="10" t="n">
        <f aca="false">AI4*Streams!$E$8/Streams!$E$15</f>
        <v>2.5</v>
      </c>
      <c r="AJ12" s="10" t="n">
        <f aca="false">AJ4*Streams!$E$8/Streams!$E$15</f>
        <v>2.5</v>
      </c>
      <c r="AK12" s="10" t="n">
        <f aca="false">AK4*Streams!$E$8/Streams!$E$15</f>
        <v>2.5</v>
      </c>
      <c r="AL12" s="10" t="n">
        <f aca="false">AL4*Streams!$E$8/Streams!$E$15</f>
        <v>2.5</v>
      </c>
      <c r="AM12" s="10" t="n">
        <f aca="false">AM4*Streams!$E$8/Streams!$E$15</f>
        <v>2.5</v>
      </c>
      <c r="AN12" s="10" t="n">
        <f aca="false">AN4*Streams!$E$8/Streams!$E$15</f>
        <v>2.5</v>
      </c>
      <c r="AO12" s="10" t="n">
        <f aca="false">AO4*Streams!$E$8/Streams!$E$15</f>
        <v>2.5</v>
      </c>
      <c r="AP12" s="10" t="n">
        <f aca="false">AP4*Streams!$E$8/Streams!$E$15</f>
        <v>2.5</v>
      </c>
      <c r="AQ12" s="10" t="n">
        <f aca="false">AQ4*Streams!$E$8/Streams!$E$15</f>
        <v>2.5</v>
      </c>
      <c r="AR12" s="10" t="n">
        <f aca="false">AR4*Streams!$E$8/Streams!$E$15</f>
        <v>2.5</v>
      </c>
      <c r="AS12" s="10" t="n">
        <f aca="false">AS4*Streams!$E$8/Streams!$E$15</f>
        <v>2.5</v>
      </c>
      <c r="AT12" s="10" t="n">
        <f aca="false">AT4*Streams!$E$8/Streams!$E$15</f>
        <v>2.5</v>
      </c>
      <c r="AU12" s="10" t="n">
        <f aca="false">AU4*Streams!$E$8/Streams!$E$15</f>
        <v>2.5</v>
      </c>
      <c r="AV12" s="10" t="n">
        <f aca="false">AV4*Streams!$E$8/Streams!$E$15</f>
        <v>2.5</v>
      </c>
      <c r="AW12" s="10" t="n">
        <f aca="false">AW4*Streams!$E$8/Streams!$E$15</f>
        <v>2.5</v>
      </c>
      <c r="AX12" s="10" t="n">
        <f aca="false">AX4*Streams!$E$8/Streams!$E$15</f>
        <v>2.5</v>
      </c>
      <c r="AY12" s="10" t="n">
        <f aca="false">AY4*Streams!$E$8/Streams!$E$15</f>
        <v>2.5</v>
      </c>
      <c r="AZ12" s="10" t="n">
        <f aca="false">AZ4*Streams!$E$8/Streams!$E$15</f>
        <v>2.5</v>
      </c>
      <c r="BA12" s="10" t="n">
        <f aca="false">BA4*Streams!$E$8/Streams!$E$15</f>
        <v>2.5</v>
      </c>
      <c r="BB12" s="10" t="n">
        <f aca="false">BB4*Streams!$E$8/Streams!$E$15</f>
        <v>2.5</v>
      </c>
      <c r="BC12" s="10" t="n">
        <f aca="false">BC4*Streams!$E$8/Streams!$E$15</f>
        <v>2.5</v>
      </c>
      <c r="BD12" s="10" t="n">
        <f aca="false">BD4*Streams!$E$8/Streams!$E$15</f>
        <v>2.5</v>
      </c>
      <c r="BE12" s="10" t="n">
        <f aca="false">BE4*Streams!$E$8/Streams!$E$15</f>
        <v>2.5</v>
      </c>
      <c r="BF12" s="10" t="n">
        <f aca="false">BF4*Streams!$E$8/Streams!$E$15</f>
        <v>2.5</v>
      </c>
      <c r="BG12" s="10" t="n">
        <f aca="false">BG4*Streams!$E$8/Streams!$E$15</f>
        <v>2.5</v>
      </c>
      <c r="BH12" s="10" t="n">
        <f aca="false">BH4*Streams!$E$8/Streams!$E$15</f>
        <v>2.5</v>
      </c>
      <c r="BI12" s="10" t="n">
        <f aca="false">BI4*Streams!$E$8/Streams!$E$15</f>
        <v>2.5</v>
      </c>
      <c r="BJ12" s="10" t="n">
        <f aca="false">BJ4*Streams!$E$8/Streams!$E$15</f>
        <v>2.5</v>
      </c>
      <c r="BK12" s="10" t="n">
        <f aca="false">BK4*Streams!$E$8/Streams!$E$15</f>
        <v>2.5</v>
      </c>
      <c r="BL12" s="10" t="n">
        <f aca="false">BL4*Streams!$E$8/Streams!$E$15</f>
        <v>2.5</v>
      </c>
      <c r="BM12" s="10" t="n">
        <f aca="false">BM4*Streams!$E$8/Streams!$E$15</f>
        <v>2.5</v>
      </c>
      <c r="BN12" s="10" t="n">
        <f aca="false">BN4*Streams!$E$8/Streams!$E$15</f>
        <v>2.5</v>
      </c>
      <c r="BO12" s="10" t="n">
        <f aca="false">BO4*Streams!$E$8/Streams!$E$15</f>
        <v>2.5</v>
      </c>
      <c r="BP12" s="10" t="n">
        <f aca="false">BP4*Streams!$E$8/Streams!$E$15</f>
        <v>2.5</v>
      </c>
      <c r="BQ12" s="10" t="n">
        <f aca="false">BQ4*Streams!$E$8/Streams!$E$15</f>
        <v>2.5</v>
      </c>
      <c r="BR12" s="10" t="n">
        <f aca="false">BR4*Streams!$E$8/Streams!$E$15</f>
        <v>2.5</v>
      </c>
      <c r="BS12" s="10" t="n">
        <f aca="false">BS4*Streams!$E$8/Streams!$E$15</f>
        <v>2.5</v>
      </c>
      <c r="BT12" s="10" t="n">
        <f aca="false">BT4*Streams!$E$8/Streams!$E$15</f>
        <v>2.5</v>
      </c>
      <c r="BU12" s="10" t="n">
        <f aca="false">BU4*Streams!$E$8/Streams!$E$15</f>
        <v>2.5</v>
      </c>
      <c r="BV12" s="10" t="n">
        <f aca="false">BV4*Streams!$E$8/Streams!$E$15</f>
        <v>2.5</v>
      </c>
      <c r="BW12" s="10" t="n">
        <f aca="false">BW4*Streams!$E$8/Streams!$E$15</f>
        <v>2.5</v>
      </c>
      <c r="BX12" s="10" t="n">
        <f aca="false">BX4*Streams!$E$8/Streams!$E$15</f>
        <v>2.5</v>
      </c>
      <c r="BY12" s="10" t="n">
        <f aca="false">BY4*Streams!$E$8/Streams!$E$15</f>
        <v>2.5</v>
      </c>
      <c r="BZ12" s="10" t="n">
        <f aca="false">BZ4*Streams!$E$8/Streams!$E$15</f>
        <v>2.5</v>
      </c>
      <c r="CA12" s="10" t="n">
        <f aca="false">CA4*Streams!$E$8/Streams!$E$15</f>
        <v>2.5</v>
      </c>
      <c r="CB12" s="10" t="n">
        <f aca="false">CB4*Streams!$E$8/Streams!$E$15</f>
        <v>2.5</v>
      </c>
      <c r="CC12" s="10" t="n">
        <f aca="false">CC4*Streams!$E$8/Streams!$E$15</f>
        <v>2.5</v>
      </c>
      <c r="CD12" s="10" t="n">
        <f aca="false">CD4*Streams!$E$8/Streams!$E$15</f>
        <v>2.5</v>
      </c>
      <c r="CE12" s="10" t="n">
        <f aca="false">CE4*Streams!$E$8/Streams!$E$15</f>
        <v>2.5</v>
      </c>
      <c r="CF12" s="10" t="n">
        <f aca="false">CF4*Streams!$E$8/Streams!$E$15</f>
        <v>2.5</v>
      </c>
      <c r="CG12" s="10" t="n">
        <f aca="false">CG4*Streams!$E$8/Streams!$E$15</f>
        <v>2.5</v>
      </c>
      <c r="CH12" s="10" t="n">
        <f aca="false">CH4*Streams!$E$8/Streams!$E$15</f>
        <v>2.5</v>
      </c>
      <c r="CI12" s="10" t="n">
        <f aca="false">CI4*Streams!$E$8/Streams!$E$15</f>
        <v>2.5</v>
      </c>
      <c r="CJ12" s="10" t="n">
        <f aca="false">CJ4*Streams!$E$8/Streams!$E$15</f>
        <v>2.5</v>
      </c>
      <c r="CK12" s="10" t="n">
        <f aca="false">CK4*Streams!$E$8/Streams!$E$15</f>
        <v>2.5</v>
      </c>
      <c r="CL12" s="10" t="n">
        <f aca="false">CL4*Streams!$E$8/Streams!$E$15</f>
        <v>2.5</v>
      </c>
      <c r="CM12" s="10" t="n">
        <f aca="false">CM4*Streams!$E$8/Streams!$E$15</f>
        <v>2.5</v>
      </c>
      <c r="CN12" s="10" t="n">
        <f aca="false">CN4*Streams!$E$8/Streams!$E$15</f>
        <v>2.5</v>
      </c>
      <c r="CO12" s="10" t="n">
        <f aca="false">CO4*Streams!$E$8/Streams!$E$15</f>
        <v>2.5</v>
      </c>
      <c r="CP12" s="10" t="n">
        <f aca="false">CP4*Streams!$E$8/Streams!$E$15</f>
        <v>2.5</v>
      </c>
      <c r="CQ12" s="10" t="n">
        <f aca="false">CQ4*Streams!$E$8/Streams!$E$15</f>
        <v>2.5</v>
      </c>
      <c r="CR12" s="10" t="n">
        <f aca="false">CR4*Streams!$E$8/Streams!$E$15</f>
        <v>2.5</v>
      </c>
      <c r="CS12" s="10" t="n">
        <f aca="false">CS4*Streams!$E$8/Streams!$E$15</f>
        <v>2.5</v>
      </c>
      <c r="CT12" s="10" t="n">
        <f aca="false">CT4*Streams!$E$8/Streams!$E$15</f>
        <v>2.5</v>
      </c>
      <c r="CU12" s="10" t="n">
        <f aca="false">CU4*Streams!$E$8/Streams!$E$15</f>
        <v>2.5</v>
      </c>
      <c r="CV12" s="10" t="n">
        <f aca="false">CV4*Streams!$E$8/Streams!$E$15</f>
        <v>2.5</v>
      </c>
      <c r="CW12" s="10" t="n">
        <f aca="false">CW4*Streams!$E$8/Streams!$E$15</f>
        <v>2.5</v>
      </c>
      <c r="CX12" s="10" t="n">
        <f aca="false">CX4*Streams!$E$8/Streams!$E$15</f>
        <v>2.5</v>
      </c>
      <c r="CY12" s="10" t="n">
        <f aca="false">CY4*Streams!$E$8/Streams!$E$15</f>
        <v>2.5</v>
      </c>
      <c r="CZ12" s="10" t="n">
        <f aca="false">CZ4*Streams!$E$8/Streams!$E$15</f>
        <v>2.5</v>
      </c>
      <c r="DA12" s="10" t="n">
        <f aca="false">DA4*Streams!$E$8/Streams!$E$15</f>
        <v>2.5</v>
      </c>
      <c r="DB12" s="10" t="n">
        <f aca="false">DB4*Streams!$E$8/Streams!$E$15</f>
        <v>2.5</v>
      </c>
      <c r="DC12" s="10" t="n">
        <f aca="false">DC4*Streams!$E$8/Streams!$E$15</f>
        <v>2.5</v>
      </c>
      <c r="DD12" s="10" t="n">
        <f aca="false">DD4*Streams!$E$8/Streams!$E$15</f>
        <v>2.5</v>
      </c>
      <c r="DE12" s="10" t="n">
        <f aca="false">DE4*Streams!$E$8/Streams!$E$15</f>
        <v>2.5</v>
      </c>
      <c r="DF12" s="10" t="n">
        <f aca="false">DF4*Streams!$E$8/Streams!$E$15</f>
        <v>2.5</v>
      </c>
      <c r="DG12" s="10" t="n">
        <f aca="false">DG4*Streams!$E$8/Streams!$E$15</f>
        <v>2.5</v>
      </c>
      <c r="DH12" s="10" t="n">
        <f aca="false">DH4*Streams!$E$8/Streams!$E$15</f>
        <v>2.5</v>
      </c>
      <c r="DI12" s="10" t="n">
        <f aca="false">DI4*Streams!$E$8/Streams!$E$15</f>
        <v>2.5</v>
      </c>
      <c r="DJ12" s="10" t="n">
        <f aca="false">DJ4*Streams!$E$8/Streams!$E$15</f>
        <v>2.5</v>
      </c>
      <c r="DK12" s="10" t="n">
        <f aca="false">DK4*Streams!$E$8/Streams!$E$15</f>
        <v>2.5</v>
      </c>
      <c r="DL12" s="10" t="n">
        <f aca="false">DL4*Streams!$E$8/Streams!$E$15</f>
        <v>2.5</v>
      </c>
      <c r="DM12" s="10" t="n">
        <f aca="false">DM4*Streams!$E$8/Streams!$E$15</f>
        <v>2.5</v>
      </c>
      <c r="DN12" s="10" t="n">
        <f aca="false">DN4*Streams!$E$8/Streams!$E$15</f>
        <v>2.5</v>
      </c>
      <c r="DO12" s="10" t="n">
        <f aca="false">DO4*Streams!$E$8/Streams!$E$15</f>
        <v>2.5</v>
      </c>
      <c r="DP12" s="10" t="n">
        <f aca="false">DP4*Streams!$E$8/Streams!$E$15</f>
        <v>2.5</v>
      </c>
      <c r="DQ12" s="10" t="n">
        <f aca="false">DQ4*Streams!$E$8/Streams!$E$15</f>
        <v>2.5</v>
      </c>
      <c r="DR12" s="10" t="n">
        <f aca="false">DR4*Streams!$E$8/Streams!$E$15</f>
        <v>2.5</v>
      </c>
    </row>
    <row r="13" customFormat="false" ht="15" hidden="false" customHeight="false" outlineLevel="0" collapsed="false">
      <c r="A13" s="9" t="s">
        <v>182</v>
      </c>
      <c r="B13" s="10" t="n">
        <f aca="false">B4*Streams!$E$9/Streams!$E$15</f>
        <v>0</v>
      </c>
      <c r="C13" s="10" t="n">
        <f aca="false">C4*Streams!$E$9/Streams!$E$15</f>
        <v>0</v>
      </c>
      <c r="D13" s="10" t="n">
        <f aca="false">D4*Streams!$E$9/Streams!$E$15</f>
        <v>0</v>
      </c>
      <c r="E13" s="10" t="n">
        <f aca="false">E4*Streams!$E$9/Streams!$E$15</f>
        <v>0</v>
      </c>
      <c r="F13" s="10" t="n">
        <f aca="false">F4*Streams!$E$9/Streams!$E$15</f>
        <v>0</v>
      </c>
      <c r="G13" s="10" t="n">
        <f aca="false">G4*Streams!$E$9/Streams!$E$15</f>
        <v>0</v>
      </c>
      <c r="H13" s="10" t="n">
        <f aca="false">H4*Streams!$E$9/Streams!$E$15</f>
        <v>0.642857142857143</v>
      </c>
      <c r="I13" s="10" t="n">
        <f aca="false">I4*Streams!$E$9/Streams!$E$15</f>
        <v>0.642857142857143</v>
      </c>
      <c r="J13" s="10" t="n">
        <f aca="false">J4*Streams!$E$9/Streams!$E$15</f>
        <v>0.642857142857143</v>
      </c>
      <c r="K13" s="10" t="n">
        <f aca="false">K4*Streams!$E$9/Streams!$E$15</f>
        <v>1.07142857142857</v>
      </c>
      <c r="L13" s="10" t="n">
        <f aca="false">L4*Streams!$E$9/Streams!$E$15</f>
        <v>1.07142857142857</v>
      </c>
      <c r="M13" s="10" t="n">
        <f aca="false">M4*Streams!$E$9/Streams!$E$15</f>
        <v>1.07142857142857</v>
      </c>
      <c r="N13" s="10" t="n">
        <f aca="false">N4*Streams!$E$9/Streams!$E$15</f>
        <v>1.5</v>
      </c>
      <c r="O13" s="10" t="n">
        <f aca="false">O4*Streams!$E$9/Streams!$E$15</f>
        <v>1.5</v>
      </c>
      <c r="P13" s="10" t="n">
        <f aca="false">P4*Streams!$E$9/Streams!$E$15</f>
        <v>1.5</v>
      </c>
      <c r="Q13" s="10" t="n">
        <f aca="false">Q4*Streams!$E$9/Streams!$E$15</f>
        <v>1.5</v>
      </c>
      <c r="R13" s="10" t="n">
        <f aca="false">R4*Streams!$E$9/Streams!$E$15</f>
        <v>1.5</v>
      </c>
      <c r="S13" s="10" t="n">
        <f aca="false">S4*Streams!$E$9/Streams!$E$15</f>
        <v>1.5</v>
      </c>
      <c r="T13" s="10" t="n">
        <f aca="false">T4*Streams!$E$9/Streams!$E$15</f>
        <v>1.5</v>
      </c>
      <c r="U13" s="10" t="n">
        <f aca="false">U4*Streams!$E$9/Streams!$E$15</f>
        <v>1.5</v>
      </c>
      <c r="V13" s="10" t="n">
        <f aca="false">V4*Streams!$E$9/Streams!$E$15</f>
        <v>1.5</v>
      </c>
      <c r="W13" s="10" t="n">
        <f aca="false">W4*Streams!$E$9/Streams!$E$15</f>
        <v>1.5</v>
      </c>
      <c r="X13" s="10" t="n">
        <f aca="false">X4*Streams!$E$9/Streams!$E$15</f>
        <v>1.5</v>
      </c>
      <c r="Y13" s="10" t="n">
        <f aca="false">Y4*Streams!$E$9/Streams!$E$15</f>
        <v>1.5</v>
      </c>
      <c r="Z13" s="10" t="n">
        <f aca="false">Z4*Streams!$E$9/Streams!$E$15</f>
        <v>1.5</v>
      </c>
      <c r="AA13" s="10" t="n">
        <f aca="false">AA4*Streams!$E$9/Streams!$E$15</f>
        <v>1.5</v>
      </c>
      <c r="AB13" s="10" t="n">
        <f aca="false">AB4*Streams!$E$9/Streams!$E$15</f>
        <v>1.5</v>
      </c>
      <c r="AC13" s="10" t="n">
        <f aca="false">AC4*Streams!$E$9/Streams!$E$15</f>
        <v>1.5</v>
      </c>
      <c r="AD13" s="10" t="n">
        <f aca="false">AD4*Streams!$E$9/Streams!$E$15</f>
        <v>1.5</v>
      </c>
      <c r="AE13" s="10" t="n">
        <f aca="false">AE4*Streams!$E$9/Streams!$E$15</f>
        <v>1.5</v>
      </c>
      <c r="AF13" s="10" t="n">
        <f aca="false">AF4*Streams!$E$9/Streams!$E$15</f>
        <v>1.5</v>
      </c>
      <c r="AG13" s="10" t="n">
        <f aca="false">AG4*Streams!$E$9/Streams!$E$15</f>
        <v>1.5</v>
      </c>
      <c r="AH13" s="10" t="n">
        <f aca="false">AH4*Streams!$E$9/Streams!$E$15</f>
        <v>1.5</v>
      </c>
      <c r="AI13" s="10" t="n">
        <f aca="false">AI4*Streams!$E$9/Streams!$E$15</f>
        <v>1.5</v>
      </c>
      <c r="AJ13" s="10" t="n">
        <f aca="false">AJ4*Streams!$E$9/Streams!$E$15</f>
        <v>1.5</v>
      </c>
      <c r="AK13" s="10" t="n">
        <f aca="false">AK4*Streams!$E$9/Streams!$E$15</f>
        <v>1.5</v>
      </c>
      <c r="AL13" s="10" t="n">
        <f aca="false">AL4*Streams!$E$9/Streams!$E$15</f>
        <v>1.5</v>
      </c>
      <c r="AM13" s="10" t="n">
        <f aca="false">AM4*Streams!$E$9/Streams!$E$15</f>
        <v>1.5</v>
      </c>
      <c r="AN13" s="10" t="n">
        <f aca="false">AN4*Streams!$E$9/Streams!$E$15</f>
        <v>1.5</v>
      </c>
      <c r="AO13" s="10" t="n">
        <f aca="false">AO4*Streams!$E$9/Streams!$E$15</f>
        <v>1.5</v>
      </c>
      <c r="AP13" s="10" t="n">
        <f aca="false">AP4*Streams!$E$9/Streams!$E$15</f>
        <v>1.5</v>
      </c>
      <c r="AQ13" s="10" t="n">
        <f aca="false">AQ4*Streams!$E$9/Streams!$E$15</f>
        <v>1.5</v>
      </c>
      <c r="AR13" s="10" t="n">
        <f aca="false">AR4*Streams!$E$9/Streams!$E$15</f>
        <v>1.5</v>
      </c>
      <c r="AS13" s="10" t="n">
        <f aca="false">AS4*Streams!$E$9/Streams!$E$15</f>
        <v>1.5</v>
      </c>
      <c r="AT13" s="10" t="n">
        <f aca="false">AT4*Streams!$E$9/Streams!$E$15</f>
        <v>1.5</v>
      </c>
      <c r="AU13" s="10" t="n">
        <f aca="false">AU4*Streams!$E$9/Streams!$E$15</f>
        <v>1.5</v>
      </c>
      <c r="AV13" s="10" t="n">
        <f aca="false">AV4*Streams!$E$9/Streams!$E$15</f>
        <v>1.5</v>
      </c>
      <c r="AW13" s="10" t="n">
        <f aca="false">AW4*Streams!$E$9/Streams!$E$15</f>
        <v>1.5</v>
      </c>
      <c r="AX13" s="10" t="n">
        <f aca="false">AX4*Streams!$E$9/Streams!$E$15</f>
        <v>1.5</v>
      </c>
      <c r="AY13" s="10" t="n">
        <f aca="false">AY4*Streams!$E$9/Streams!$E$15</f>
        <v>1.5</v>
      </c>
      <c r="AZ13" s="10" t="n">
        <f aca="false">AZ4*Streams!$E$9/Streams!$E$15</f>
        <v>1.5</v>
      </c>
      <c r="BA13" s="10" t="n">
        <f aca="false">BA4*Streams!$E$9/Streams!$E$15</f>
        <v>1.5</v>
      </c>
      <c r="BB13" s="10" t="n">
        <f aca="false">BB4*Streams!$E$9/Streams!$E$15</f>
        <v>1.5</v>
      </c>
      <c r="BC13" s="10" t="n">
        <f aca="false">BC4*Streams!$E$9/Streams!$E$15</f>
        <v>1.5</v>
      </c>
      <c r="BD13" s="10" t="n">
        <f aca="false">BD4*Streams!$E$9/Streams!$E$15</f>
        <v>1.5</v>
      </c>
      <c r="BE13" s="10" t="n">
        <f aca="false">BE4*Streams!$E$9/Streams!$E$15</f>
        <v>1.5</v>
      </c>
      <c r="BF13" s="10" t="n">
        <f aca="false">BF4*Streams!$E$9/Streams!$E$15</f>
        <v>1.5</v>
      </c>
      <c r="BG13" s="10" t="n">
        <f aca="false">BG4*Streams!$E$9/Streams!$E$15</f>
        <v>1.5</v>
      </c>
      <c r="BH13" s="10" t="n">
        <f aca="false">BH4*Streams!$E$9/Streams!$E$15</f>
        <v>1.5</v>
      </c>
      <c r="BI13" s="10" t="n">
        <f aca="false">BI4*Streams!$E$9/Streams!$E$15</f>
        <v>1.5</v>
      </c>
      <c r="BJ13" s="10" t="n">
        <f aca="false">BJ4*Streams!$E$9/Streams!$E$15</f>
        <v>1.5</v>
      </c>
      <c r="BK13" s="10" t="n">
        <f aca="false">BK4*Streams!$E$9/Streams!$E$15</f>
        <v>1.5</v>
      </c>
      <c r="BL13" s="10" t="n">
        <f aca="false">BL4*Streams!$E$9/Streams!$E$15</f>
        <v>1.5</v>
      </c>
      <c r="BM13" s="10" t="n">
        <f aca="false">BM4*Streams!$E$9/Streams!$E$15</f>
        <v>1.5</v>
      </c>
      <c r="BN13" s="10" t="n">
        <f aca="false">BN4*Streams!$E$9/Streams!$E$15</f>
        <v>1.5</v>
      </c>
      <c r="BO13" s="10" t="n">
        <f aca="false">BO4*Streams!$E$9/Streams!$E$15</f>
        <v>1.5</v>
      </c>
      <c r="BP13" s="10" t="n">
        <f aca="false">BP4*Streams!$E$9/Streams!$E$15</f>
        <v>1.5</v>
      </c>
      <c r="BQ13" s="10" t="n">
        <f aca="false">BQ4*Streams!$E$9/Streams!$E$15</f>
        <v>1.5</v>
      </c>
      <c r="BR13" s="10" t="n">
        <f aca="false">BR4*Streams!$E$9/Streams!$E$15</f>
        <v>1.5</v>
      </c>
      <c r="BS13" s="10" t="n">
        <f aca="false">BS4*Streams!$E$9/Streams!$E$15</f>
        <v>1.5</v>
      </c>
      <c r="BT13" s="10" t="n">
        <f aca="false">BT4*Streams!$E$9/Streams!$E$15</f>
        <v>1.5</v>
      </c>
      <c r="BU13" s="10" t="n">
        <f aca="false">BU4*Streams!$E$9/Streams!$E$15</f>
        <v>1.5</v>
      </c>
      <c r="BV13" s="10" t="n">
        <f aca="false">BV4*Streams!$E$9/Streams!$E$15</f>
        <v>1.5</v>
      </c>
      <c r="BW13" s="10" t="n">
        <f aca="false">BW4*Streams!$E$9/Streams!$E$15</f>
        <v>1.5</v>
      </c>
      <c r="BX13" s="10" t="n">
        <f aca="false">BX4*Streams!$E$9/Streams!$E$15</f>
        <v>1.5</v>
      </c>
      <c r="BY13" s="10" t="n">
        <f aca="false">BY4*Streams!$E$9/Streams!$E$15</f>
        <v>1.5</v>
      </c>
      <c r="BZ13" s="10" t="n">
        <f aca="false">BZ4*Streams!$E$9/Streams!$E$15</f>
        <v>1.5</v>
      </c>
      <c r="CA13" s="10" t="n">
        <f aca="false">CA4*Streams!$E$9/Streams!$E$15</f>
        <v>1.5</v>
      </c>
      <c r="CB13" s="10" t="n">
        <f aca="false">CB4*Streams!$E$9/Streams!$E$15</f>
        <v>1.5</v>
      </c>
      <c r="CC13" s="10" t="n">
        <f aca="false">CC4*Streams!$E$9/Streams!$E$15</f>
        <v>1.5</v>
      </c>
      <c r="CD13" s="10" t="n">
        <f aca="false">CD4*Streams!$E$9/Streams!$E$15</f>
        <v>1.5</v>
      </c>
      <c r="CE13" s="10" t="n">
        <f aca="false">CE4*Streams!$E$9/Streams!$E$15</f>
        <v>1.5</v>
      </c>
      <c r="CF13" s="10" t="n">
        <f aca="false">CF4*Streams!$E$9/Streams!$E$15</f>
        <v>1.5</v>
      </c>
      <c r="CG13" s="10" t="n">
        <f aca="false">CG4*Streams!$E$9/Streams!$E$15</f>
        <v>1.5</v>
      </c>
      <c r="CH13" s="10" t="n">
        <f aca="false">CH4*Streams!$E$9/Streams!$E$15</f>
        <v>1.5</v>
      </c>
      <c r="CI13" s="10" t="n">
        <f aca="false">CI4*Streams!$E$9/Streams!$E$15</f>
        <v>1.5</v>
      </c>
      <c r="CJ13" s="10" t="n">
        <f aca="false">CJ4*Streams!$E$9/Streams!$E$15</f>
        <v>1.5</v>
      </c>
      <c r="CK13" s="10" t="n">
        <f aca="false">CK4*Streams!$E$9/Streams!$E$15</f>
        <v>1.5</v>
      </c>
      <c r="CL13" s="10" t="n">
        <f aca="false">CL4*Streams!$E$9/Streams!$E$15</f>
        <v>1.5</v>
      </c>
      <c r="CM13" s="10" t="n">
        <f aca="false">CM4*Streams!$E$9/Streams!$E$15</f>
        <v>1.5</v>
      </c>
      <c r="CN13" s="10" t="n">
        <f aca="false">CN4*Streams!$E$9/Streams!$E$15</f>
        <v>1.5</v>
      </c>
      <c r="CO13" s="10" t="n">
        <f aca="false">CO4*Streams!$E$9/Streams!$E$15</f>
        <v>1.5</v>
      </c>
      <c r="CP13" s="10" t="n">
        <f aca="false">CP4*Streams!$E$9/Streams!$E$15</f>
        <v>1.5</v>
      </c>
      <c r="CQ13" s="10" t="n">
        <f aca="false">CQ4*Streams!$E$9/Streams!$E$15</f>
        <v>1.5</v>
      </c>
      <c r="CR13" s="10" t="n">
        <f aca="false">CR4*Streams!$E$9/Streams!$E$15</f>
        <v>1.5</v>
      </c>
      <c r="CS13" s="10" t="n">
        <f aca="false">CS4*Streams!$E$9/Streams!$E$15</f>
        <v>1.5</v>
      </c>
      <c r="CT13" s="10" t="n">
        <f aca="false">CT4*Streams!$E$9/Streams!$E$15</f>
        <v>1.5</v>
      </c>
      <c r="CU13" s="10" t="n">
        <f aca="false">CU4*Streams!$E$9/Streams!$E$15</f>
        <v>1.5</v>
      </c>
      <c r="CV13" s="10" t="n">
        <f aca="false">CV4*Streams!$E$9/Streams!$E$15</f>
        <v>1.5</v>
      </c>
      <c r="CW13" s="10" t="n">
        <f aca="false">CW4*Streams!$E$9/Streams!$E$15</f>
        <v>1.5</v>
      </c>
      <c r="CX13" s="10" t="n">
        <f aca="false">CX4*Streams!$E$9/Streams!$E$15</f>
        <v>1.5</v>
      </c>
      <c r="CY13" s="10" t="n">
        <f aca="false">CY4*Streams!$E$9/Streams!$E$15</f>
        <v>1.5</v>
      </c>
      <c r="CZ13" s="10" t="n">
        <f aca="false">CZ4*Streams!$E$9/Streams!$E$15</f>
        <v>1.5</v>
      </c>
      <c r="DA13" s="10" t="n">
        <f aca="false">DA4*Streams!$E$9/Streams!$E$15</f>
        <v>1.5</v>
      </c>
      <c r="DB13" s="10" t="n">
        <f aca="false">DB4*Streams!$E$9/Streams!$E$15</f>
        <v>1.5</v>
      </c>
      <c r="DC13" s="10" t="n">
        <f aca="false">DC4*Streams!$E$9/Streams!$E$15</f>
        <v>1.5</v>
      </c>
      <c r="DD13" s="10" t="n">
        <f aca="false">DD4*Streams!$E$9/Streams!$E$15</f>
        <v>1.5</v>
      </c>
      <c r="DE13" s="10" t="n">
        <f aca="false">DE4*Streams!$E$9/Streams!$E$15</f>
        <v>1.5</v>
      </c>
      <c r="DF13" s="10" t="n">
        <f aca="false">DF4*Streams!$E$9/Streams!$E$15</f>
        <v>1.5</v>
      </c>
      <c r="DG13" s="10" t="n">
        <f aca="false">DG4*Streams!$E$9/Streams!$E$15</f>
        <v>1.5</v>
      </c>
      <c r="DH13" s="10" t="n">
        <f aca="false">DH4*Streams!$E$9/Streams!$E$15</f>
        <v>1.5</v>
      </c>
      <c r="DI13" s="10" t="n">
        <f aca="false">DI4*Streams!$E$9/Streams!$E$15</f>
        <v>1.5</v>
      </c>
      <c r="DJ13" s="10" t="n">
        <f aca="false">DJ4*Streams!$E$9/Streams!$E$15</f>
        <v>1.5</v>
      </c>
      <c r="DK13" s="10" t="n">
        <f aca="false">DK4*Streams!$E$9/Streams!$E$15</f>
        <v>1.5</v>
      </c>
      <c r="DL13" s="10" t="n">
        <f aca="false">DL4*Streams!$E$9/Streams!$E$15</f>
        <v>1.5</v>
      </c>
      <c r="DM13" s="10" t="n">
        <f aca="false">DM4*Streams!$E$9/Streams!$E$15</f>
        <v>1.5</v>
      </c>
      <c r="DN13" s="10" t="n">
        <f aca="false">DN4*Streams!$E$9/Streams!$E$15</f>
        <v>1.5</v>
      </c>
      <c r="DO13" s="10" t="n">
        <f aca="false">DO4*Streams!$E$9/Streams!$E$15</f>
        <v>1.5</v>
      </c>
      <c r="DP13" s="10" t="n">
        <f aca="false">DP4*Streams!$E$9/Streams!$E$15</f>
        <v>1.5</v>
      </c>
      <c r="DQ13" s="10" t="n">
        <f aca="false">DQ4*Streams!$E$9/Streams!$E$15</f>
        <v>1.5</v>
      </c>
      <c r="DR13" s="10" t="n">
        <f aca="false">DR4*Streams!$E$9/Streams!$E$15</f>
        <v>1.5</v>
      </c>
    </row>
    <row r="14" customFormat="false" ht="15" hidden="false" customHeight="false" outlineLevel="0" collapsed="false">
      <c r="A14" s="9" t="s">
        <v>183</v>
      </c>
      <c r="B14" s="10" t="n">
        <f aca="false">B4*Streams!$E$10/Streams!$E$15</f>
        <v>0</v>
      </c>
      <c r="C14" s="10" t="n">
        <f aca="false">C4*Streams!$E$10/Streams!$E$15</f>
        <v>0</v>
      </c>
      <c r="D14" s="10" t="n">
        <f aca="false">D4*Streams!$E$10/Streams!$E$15</f>
        <v>0</v>
      </c>
      <c r="E14" s="10" t="n">
        <f aca="false">E4*Streams!$E$10/Streams!$E$15</f>
        <v>0</v>
      </c>
      <c r="F14" s="10" t="n">
        <f aca="false">F4*Streams!$E$10/Streams!$E$15</f>
        <v>0</v>
      </c>
      <c r="G14" s="10" t="n">
        <f aca="false">G4*Streams!$E$10/Streams!$E$15</f>
        <v>0</v>
      </c>
      <c r="H14" s="10" t="n">
        <f aca="false">H4*Streams!$E$10/Streams!$E$15</f>
        <v>1.28571428571429</v>
      </c>
      <c r="I14" s="10" t="n">
        <f aca="false">I4*Streams!$E$10/Streams!$E$15</f>
        <v>1.28571428571429</v>
      </c>
      <c r="J14" s="10" t="n">
        <f aca="false">J4*Streams!$E$10/Streams!$E$15</f>
        <v>1.28571428571429</v>
      </c>
      <c r="K14" s="10" t="n">
        <f aca="false">K4*Streams!$E$10/Streams!$E$15</f>
        <v>2.14285714285714</v>
      </c>
      <c r="L14" s="10" t="n">
        <f aca="false">L4*Streams!$E$10/Streams!$E$15</f>
        <v>2.14285714285714</v>
      </c>
      <c r="M14" s="10" t="n">
        <f aca="false">M4*Streams!$E$10/Streams!$E$15</f>
        <v>2.14285714285714</v>
      </c>
      <c r="N14" s="10" t="n">
        <f aca="false">N4*Streams!$E$10/Streams!$E$15</f>
        <v>3</v>
      </c>
      <c r="O14" s="10" t="n">
        <f aca="false">O4*Streams!$E$10/Streams!$E$15</f>
        <v>3</v>
      </c>
      <c r="P14" s="10" t="n">
        <f aca="false">P4*Streams!$E$10/Streams!$E$15</f>
        <v>3</v>
      </c>
      <c r="Q14" s="10" t="n">
        <f aca="false">Q4*Streams!$E$10/Streams!$E$15</f>
        <v>3</v>
      </c>
      <c r="R14" s="10" t="n">
        <f aca="false">R4*Streams!$E$10/Streams!$E$15</f>
        <v>3</v>
      </c>
      <c r="S14" s="10" t="n">
        <f aca="false">S4*Streams!$E$10/Streams!$E$15</f>
        <v>3</v>
      </c>
      <c r="T14" s="10" t="n">
        <f aca="false">T4*Streams!$E$10/Streams!$E$15</f>
        <v>3</v>
      </c>
      <c r="U14" s="10" t="n">
        <f aca="false">U4*Streams!$E$10/Streams!$E$15</f>
        <v>3</v>
      </c>
      <c r="V14" s="10" t="n">
        <f aca="false">V4*Streams!$E$10/Streams!$E$15</f>
        <v>3</v>
      </c>
      <c r="W14" s="10" t="n">
        <f aca="false">W4*Streams!$E$10/Streams!$E$15</f>
        <v>3</v>
      </c>
      <c r="X14" s="10" t="n">
        <f aca="false">X4*Streams!$E$10/Streams!$E$15</f>
        <v>3</v>
      </c>
      <c r="Y14" s="10" t="n">
        <f aca="false">Y4*Streams!$E$10/Streams!$E$15</f>
        <v>3</v>
      </c>
      <c r="Z14" s="10" t="n">
        <f aca="false">Z4*Streams!$E$10/Streams!$E$15</f>
        <v>3</v>
      </c>
      <c r="AA14" s="10" t="n">
        <f aca="false">AA4*Streams!$E$10/Streams!$E$15</f>
        <v>3</v>
      </c>
      <c r="AB14" s="10" t="n">
        <f aca="false">AB4*Streams!$E$10/Streams!$E$15</f>
        <v>3</v>
      </c>
      <c r="AC14" s="10" t="n">
        <f aca="false">AC4*Streams!$E$10/Streams!$E$15</f>
        <v>3</v>
      </c>
      <c r="AD14" s="10" t="n">
        <f aca="false">AD4*Streams!$E$10/Streams!$E$15</f>
        <v>3</v>
      </c>
      <c r="AE14" s="10" t="n">
        <f aca="false">AE4*Streams!$E$10/Streams!$E$15</f>
        <v>3</v>
      </c>
      <c r="AF14" s="10" t="n">
        <f aca="false">AF4*Streams!$E$10/Streams!$E$15</f>
        <v>3</v>
      </c>
      <c r="AG14" s="10" t="n">
        <f aca="false">AG4*Streams!$E$10/Streams!$E$15</f>
        <v>3</v>
      </c>
      <c r="AH14" s="10" t="n">
        <f aca="false">AH4*Streams!$E$10/Streams!$E$15</f>
        <v>3</v>
      </c>
      <c r="AI14" s="10" t="n">
        <f aca="false">AI4*Streams!$E$10/Streams!$E$15</f>
        <v>3</v>
      </c>
      <c r="AJ14" s="10" t="n">
        <f aca="false">AJ4*Streams!$E$10/Streams!$E$15</f>
        <v>3</v>
      </c>
      <c r="AK14" s="10" t="n">
        <f aca="false">AK4*Streams!$E$10/Streams!$E$15</f>
        <v>3</v>
      </c>
      <c r="AL14" s="10" t="n">
        <f aca="false">AL4*Streams!$E$10/Streams!$E$15</f>
        <v>3</v>
      </c>
      <c r="AM14" s="10" t="n">
        <f aca="false">AM4*Streams!$E$10/Streams!$E$15</f>
        <v>3</v>
      </c>
      <c r="AN14" s="10" t="n">
        <f aca="false">AN4*Streams!$E$10/Streams!$E$15</f>
        <v>3</v>
      </c>
      <c r="AO14" s="10" t="n">
        <f aca="false">AO4*Streams!$E$10/Streams!$E$15</f>
        <v>3</v>
      </c>
      <c r="AP14" s="10" t="n">
        <f aca="false">AP4*Streams!$E$10/Streams!$E$15</f>
        <v>3</v>
      </c>
      <c r="AQ14" s="10" t="n">
        <f aca="false">AQ4*Streams!$E$10/Streams!$E$15</f>
        <v>3</v>
      </c>
      <c r="AR14" s="10" t="n">
        <f aca="false">AR4*Streams!$E$10/Streams!$E$15</f>
        <v>3</v>
      </c>
      <c r="AS14" s="10" t="n">
        <f aca="false">AS4*Streams!$E$10/Streams!$E$15</f>
        <v>3</v>
      </c>
      <c r="AT14" s="10" t="n">
        <f aca="false">AT4*Streams!$E$10/Streams!$E$15</f>
        <v>3</v>
      </c>
      <c r="AU14" s="10" t="n">
        <f aca="false">AU4*Streams!$E$10/Streams!$E$15</f>
        <v>3</v>
      </c>
      <c r="AV14" s="10" t="n">
        <f aca="false">AV4*Streams!$E$10/Streams!$E$15</f>
        <v>3</v>
      </c>
      <c r="AW14" s="10" t="n">
        <f aca="false">AW4*Streams!$E$10/Streams!$E$15</f>
        <v>3</v>
      </c>
      <c r="AX14" s="10" t="n">
        <f aca="false">AX4*Streams!$E$10/Streams!$E$15</f>
        <v>3</v>
      </c>
      <c r="AY14" s="10" t="n">
        <f aca="false">AY4*Streams!$E$10/Streams!$E$15</f>
        <v>3</v>
      </c>
      <c r="AZ14" s="10" t="n">
        <f aca="false">AZ4*Streams!$E$10/Streams!$E$15</f>
        <v>3</v>
      </c>
      <c r="BA14" s="10" t="n">
        <f aca="false">BA4*Streams!$E$10/Streams!$E$15</f>
        <v>3</v>
      </c>
      <c r="BB14" s="10" t="n">
        <f aca="false">BB4*Streams!$E$10/Streams!$E$15</f>
        <v>3</v>
      </c>
      <c r="BC14" s="10" t="n">
        <f aca="false">BC4*Streams!$E$10/Streams!$E$15</f>
        <v>3</v>
      </c>
      <c r="BD14" s="10" t="n">
        <f aca="false">BD4*Streams!$E$10/Streams!$E$15</f>
        <v>3</v>
      </c>
      <c r="BE14" s="10" t="n">
        <f aca="false">BE4*Streams!$E$10/Streams!$E$15</f>
        <v>3</v>
      </c>
      <c r="BF14" s="10" t="n">
        <f aca="false">BF4*Streams!$E$10/Streams!$E$15</f>
        <v>3</v>
      </c>
      <c r="BG14" s="10" t="n">
        <f aca="false">BG4*Streams!$E$10/Streams!$E$15</f>
        <v>3</v>
      </c>
      <c r="BH14" s="10" t="n">
        <f aca="false">BH4*Streams!$E$10/Streams!$E$15</f>
        <v>3</v>
      </c>
      <c r="BI14" s="10" t="n">
        <f aca="false">BI4*Streams!$E$10/Streams!$E$15</f>
        <v>3</v>
      </c>
      <c r="BJ14" s="10" t="n">
        <f aca="false">BJ4*Streams!$E$10/Streams!$E$15</f>
        <v>3</v>
      </c>
      <c r="BK14" s="10" t="n">
        <f aca="false">BK4*Streams!$E$10/Streams!$E$15</f>
        <v>3</v>
      </c>
      <c r="BL14" s="10" t="n">
        <f aca="false">BL4*Streams!$E$10/Streams!$E$15</f>
        <v>3</v>
      </c>
      <c r="BM14" s="10" t="n">
        <f aca="false">BM4*Streams!$E$10/Streams!$E$15</f>
        <v>3</v>
      </c>
      <c r="BN14" s="10" t="n">
        <f aca="false">BN4*Streams!$E$10/Streams!$E$15</f>
        <v>3</v>
      </c>
      <c r="BO14" s="10" t="n">
        <f aca="false">BO4*Streams!$E$10/Streams!$E$15</f>
        <v>3</v>
      </c>
      <c r="BP14" s="10" t="n">
        <f aca="false">BP4*Streams!$E$10/Streams!$E$15</f>
        <v>3</v>
      </c>
      <c r="BQ14" s="10" t="n">
        <f aca="false">BQ4*Streams!$E$10/Streams!$E$15</f>
        <v>3</v>
      </c>
      <c r="BR14" s="10" t="n">
        <f aca="false">BR4*Streams!$E$10/Streams!$E$15</f>
        <v>3</v>
      </c>
      <c r="BS14" s="10" t="n">
        <f aca="false">BS4*Streams!$E$10/Streams!$E$15</f>
        <v>3</v>
      </c>
      <c r="BT14" s="10" t="n">
        <f aca="false">BT4*Streams!$E$10/Streams!$E$15</f>
        <v>3</v>
      </c>
      <c r="BU14" s="10" t="n">
        <f aca="false">BU4*Streams!$E$10/Streams!$E$15</f>
        <v>3</v>
      </c>
      <c r="BV14" s="10" t="n">
        <f aca="false">BV4*Streams!$E$10/Streams!$E$15</f>
        <v>3</v>
      </c>
      <c r="BW14" s="10" t="n">
        <f aca="false">BW4*Streams!$E$10/Streams!$E$15</f>
        <v>3</v>
      </c>
      <c r="BX14" s="10" t="n">
        <f aca="false">BX4*Streams!$E$10/Streams!$E$15</f>
        <v>3</v>
      </c>
      <c r="BY14" s="10" t="n">
        <f aca="false">BY4*Streams!$E$10/Streams!$E$15</f>
        <v>3</v>
      </c>
      <c r="BZ14" s="10" t="n">
        <f aca="false">BZ4*Streams!$E$10/Streams!$E$15</f>
        <v>3</v>
      </c>
      <c r="CA14" s="10" t="n">
        <f aca="false">CA4*Streams!$E$10/Streams!$E$15</f>
        <v>3</v>
      </c>
      <c r="CB14" s="10" t="n">
        <f aca="false">CB4*Streams!$E$10/Streams!$E$15</f>
        <v>3</v>
      </c>
      <c r="CC14" s="10" t="n">
        <f aca="false">CC4*Streams!$E$10/Streams!$E$15</f>
        <v>3</v>
      </c>
      <c r="CD14" s="10" t="n">
        <f aca="false">CD4*Streams!$E$10/Streams!$E$15</f>
        <v>3</v>
      </c>
      <c r="CE14" s="10" t="n">
        <f aca="false">CE4*Streams!$E$10/Streams!$E$15</f>
        <v>3</v>
      </c>
      <c r="CF14" s="10" t="n">
        <f aca="false">CF4*Streams!$E$10/Streams!$E$15</f>
        <v>3</v>
      </c>
      <c r="CG14" s="10" t="n">
        <f aca="false">CG4*Streams!$E$10/Streams!$E$15</f>
        <v>3</v>
      </c>
      <c r="CH14" s="10" t="n">
        <f aca="false">CH4*Streams!$E$10/Streams!$E$15</f>
        <v>3</v>
      </c>
      <c r="CI14" s="10" t="n">
        <f aca="false">CI4*Streams!$E$10/Streams!$E$15</f>
        <v>3</v>
      </c>
      <c r="CJ14" s="10" t="n">
        <f aca="false">CJ4*Streams!$E$10/Streams!$E$15</f>
        <v>3</v>
      </c>
      <c r="CK14" s="10" t="n">
        <f aca="false">CK4*Streams!$E$10/Streams!$E$15</f>
        <v>3</v>
      </c>
      <c r="CL14" s="10" t="n">
        <f aca="false">CL4*Streams!$E$10/Streams!$E$15</f>
        <v>3</v>
      </c>
      <c r="CM14" s="10" t="n">
        <f aca="false">CM4*Streams!$E$10/Streams!$E$15</f>
        <v>3</v>
      </c>
      <c r="CN14" s="10" t="n">
        <f aca="false">CN4*Streams!$E$10/Streams!$E$15</f>
        <v>3</v>
      </c>
      <c r="CO14" s="10" t="n">
        <f aca="false">CO4*Streams!$E$10/Streams!$E$15</f>
        <v>3</v>
      </c>
      <c r="CP14" s="10" t="n">
        <f aca="false">CP4*Streams!$E$10/Streams!$E$15</f>
        <v>3</v>
      </c>
      <c r="CQ14" s="10" t="n">
        <f aca="false">CQ4*Streams!$E$10/Streams!$E$15</f>
        <v>3</v>
      </c>
      <c r="CR14" s="10" t="n">
        <f aca="false">CR4*Streams!$E$10/Streams!$E$15</f>
        <v>3</v>
      </c>
      <c r="CS14" s="10" t="n">
        <f aca="false">CS4*Streams!$E$10/Streams!$E$15</f>
        <v>3</v>
      </c>
      <c r="CT14" s="10" t="n">
        <f aca="false">CT4*Streams!$E$10/Streams!$E$15</f>
        <v>3</v>
      </c>
      <c r="CU14" s="10" t="n">
        <f aca="false">CU4*Streams!$E$10/Streams!$E$15</f>
        <v>3</v>
      </c>
      <c r="CV14" s="10" t="n">
        <f aca="false">CV4*Streams!$E$10/Streams!$E$15</f>
        <v>3</v>
      </c>
      <c r="CW14" s="10" t="n">
        <f aca="false">CW4*Streams!$E$10/Streams!$E$15</f>
        <v>3</v>
      </c>
      <c r="CX14" s="10" t="n">
        <f aca="false">CX4*Streams!$E$10/Streams!$E$15</f>
        <v>3</v>
      </c>
      <c r="CY14" s="10" t="n">
        <f aca="false">CY4*Streams!$E$10/Streams!$E$15</f>
        <v>3</v>
      </c>
      <c r="CZ14" s="10" t="n">
        <f aca="false">CZ4*Streams!$E$10/Streams!$E$15</f>
        <v>3</v>
      </c>
      <c r="DA14" s="10" t="n">
        <f aca="false">DA4*Streams!$E$10/Streams!$E$15</f>
        <v>3</v>
      </c>
      <c r="DB14" s="10" t="n">
        <f aca="false">DB4*Streams!$E$10/Streams!$E$15</f>
        <v>3</v>
      </c>
      <c r="DC14" s="10" t="n">
        <f aca="false">DC4*Streams!$E$10/Streams!$E$15</f>
        <v>3</v>
      </c>
      <c r="DD14" s="10" t="n">
        <f aca="false">DD4*Streams!$E$10/Streams!$E$15</f>
        <v>3</v>
      </c>
      <c r="DE14" s="10" t="n">
        <f aca="false">DE4*Streams!$E$10/Streams!$E$15</f>
        <v>3</v>
      </c>
      <c r="DF14" s="10" t="n">
        <f aca="false">DF4*Streams!$E$10/Streams!$E$15</f>
        <v>3</v>
      </c>
      <c r="DG14" s="10" t="n">
        <f aca="false">DG4*Streams!$E$10/Streams!$E$15</f>
        <v>3</v>
      </c>
      <c r="DH14" s="10" t="n">
        <f aca="false">DH4*Streams!$E$10/Streams!$E$15</f>
        <v>3</v>
      </c>
      <c r="DI14" s="10" t="n">
        <f aca="false">DI4*Streams!$E$10/Streams!$E$15</f>
        <v>3</v>
      </c>
      <c r="DJ14" s="10" t="n">
        <f aca="false">DJ4*Streams!$E$10/Streams!$E$15</f>
        <v>3</v>
      </c>
      <c r="DK14" s="10" t="n">
        <f aca="false">DK4*Streams!$E$10/Streams!$E$15</f>
        <v>3</v>
      </c>
      <c r="DL14" s="10" t="n">
        <f aca="false">DL4*Streams!$E$10/Streams!$E$15</f>
        <v>3</v>
      </c>
      <c r="DM14" s="10" t="n">
        <f aca="false">DM4*Streams!$E$10/Streams!$E$15</f>
        <v>3</v>
      </c>
      <c r="DN14" s="10" t="n">
        <f aca="false">DN4*Streams!$E$10/Streams!$E$15</f>
        <v>3</v>
      </c>
      <c r="DO14" s="10" t="n">
        <f aca="false">DO4*Streams!$E$10/Streams!$E$15</f>
        <v>3</v>
      </c>
      <c r="DP14" s="10" t="n">
        <f aca="false">DP4*Streams!$E$10/Streams!$E$15</f>
        <v>3</v>
      </c>
      <c r="DQ14" s="10" t="n">
        <f aca="false">DQ4*Streams!$E$10/Streams!$E$15</f>
        <v>3</v>
      </c>
      <c r="DR14" s="10" t="n">
        <f aca="false">DR4*Streams!$E$10/Streams!$E$15</f>
        <v>3</v>
      </c>
    </row>
    <row r="15" customFormat="false" ht="15" hidden="false" customHeight="false" outlineLevel="0" collapsed="false">
      <c r="A15" s="9" t="s">
        <v>184</v>
      </c>
      <c r="B15" s="10" t="n">
        <f aca="false">B4*Streams!$E$11/Streams!$E$15</f>
        <v>0</v>
      </c>
      <c r="C15" s="10" t="n">
        <f aca="false">C4*Streams!$E$11/Streams!$E$15</f>
        <v>0</v>
      </c>
      <c r="D15" s="10" t="n">
        <f aca="false">D4*Streams!$E$11/Streams!$E$15</f>
        <v>0</v>
      </c>
      <c r="E15" s="10" t="n">
        <f aca="false">E4*Streams!$E$11/Streams!$E$15</f>
        <v>0</v>
      </c>
      <c r="F15" s="10" t="n">
        <f aca="false">F4*Streams!$E$11/Streams!$E$15</f>
        <v>0</v>
      </c>
      <c r="G15" s="10" t="n">
        <f aca="false">G4*Streams!$E$11/Streams!$E$15</f>
        <v>0</v>
      </c>
      <c r="H15" s="10" t="n">
        <f aca="false">H4*Streams!$E$11/Streams!$E$15</f>
        <v>0.428571428571429</v>
      </c>
      <c r="I15" s="10" t="n">
        <f aca="false">I4*Streams!$E$11/Streams!$E$15</f>
        <v>0.428571428571429</v>
      </c>
      <c r="J15" s="10" t="n">
        <f aca="false">J4*Streams!$E$11/Streams!$E$15</f>
        <v>0.428571428571429</v>
      </c>
      <c r="K15" s="10" t="n">
        <f aca="false">K4*Streams!$E$11/Streams!$E$15</f>
        <v>0.714285714285714</v>
      </c>
      <c r="L15" s="10" t="n">
        <f aca="false">L4*Streams!$E$11/Streams!$E$15</f>
        <v>0.714285714285714</v>
      </c>
      <c r="M15" s="10" t="n">
        <f aca="false">M4*Streams!$E$11/Streams!$E$15</f>
        <v>0.714285714285714</v>
      </c>
      <c r="N15" s="10" t="n">
        <f aca="false">N4*Streams!$E$11/Streams!$E$15</f>
        <v>1</v>
      </c>
      <c r="O15" s="10" t="n">
        <f aca="false">O4*Streams!$E$11/Streams!$E$15</f>
        <v>1</v>
      </c>
      <c r="P15" s="10" t="n">
        <f aca="false">P4*Streams!$E$11/Streams!$E$15</f>
        <v>1</v>
      </c>
      <c r="Q15" s="10" t="n">
        <f aca="false">Q4*Streams!$E$11/Streams!$E$15</f>
        <v>1</v>
      </c>
      <c r="R15" s="10" t="n">
        <f aca="false">R4*Streams!$E$11/Streams!$E$15</f>
        <v>1</v>
      </c>
      <c r="S15" s="10" t="n">
        <f aca="false">S4*Streams!$E$11/Streams!$E$15</f>
        <v>1</v>
      </c>
      <c r="T15" s="10" t="n">
        <f aca="false">T4*Streams!$E$11/Streams!$E$15</f>
        <v>1</v>
      </c>
      <c r="U15" s="10" t="n">
        <f aca="false">U4*Streams!$E$11/Streams!$E$15</f>
        <v>1</v>
      </c>
      <c r="V15" s="10" t="n">
        <f aca="false">V4*Streams!$E$11/Streams!$E$15</f>
        <v>1</v>
      </c>
      <c r="W15" s="10" t="n">
        <f aca="false">W4*Streams!$E$11/Streams!$E$15</f>
        <v>1</v>
      </c>
      <c r="X15" s="10" t="n">
        <f aca="false">X4*Streams!$E$11/Streams!$E$15</f>
        <v>1</v>
      </c>
      <c r="Y15" s="10" t="n">
        <f aca="false">Y4*Streams!$E$11/Streams!$E$15</f>
        <v>1</v>
      </c>
      <c r="Z15" s="10" t="n">
        <f aca="false">Z4*Streams!$E$11/Streams!$E$15</f>
        <v>1</v>
      </c>
      <c r="AA15" s="10" t="n">
        <f aca="false">AA4*Streams!$E$11/Streams!$E$15</f>
        <v>1</v>
      </c>
      <c r="AB15" s="10" t="n">
        <f aca="false">AB4*Streams!$E$11/Streams!$E$15</f>
        <v>1</v>
      </c>
      <c r="AC15" s="10" t="n">
        <f aca="false">AC4*Streams!$E$11/Streams!$E$15</f>
        <v>1</v>
      </c>
      <c r="AD15" s="10" t="n">
        <f aca="false">AD4*Streams!$E$11/Streams!$E$15</f>
        <v>1</v>
      </c>
      <c r="AE15" s="10" t="n">
        <f aca="false">AE4*Streams!$E$11/Streams!$E$15</f>
        <v>1</v>
      </c>
      <c r="AF15" s="10" t="n">
        <f aca="false">AF4*Streams!$E$11/Streams!$E$15</f>
        <v>1</v>
      </c>
      <c r="AG15" s="10" t="n">
        <f aca="false">AG4*Streams!$E$11/Streams!$E$15</f>
        <v>1</v>
      </c>
      <c r="AH15" s="10" t="n">
        <f aca="false">AH4*Streams!$E$11/Streams!$E$15</f>
        <v>1</v>
      </c>
      <c r="AI15" s="10" t="n">
        <f aca="false">AI4*Streams!$E$11/Streams!$E$15</f>
        <v>1</v>
      </c>
      <c r="AJ15" s="10" t="n">
        <f aca="false">AJ4*Streams!$E$11/Streams!$E$15</f>
        <v>1</v>
      </c>
      <c r="AK15" s="10" t="n">
        <f aca="false">AK4*Streams!$E$11/Streams!$E$15</f>
        <v>1</v>
      </c>
      <c r="AL15" s="10" t="n">
        <f aca="false">AL4*Streams!$E$11/Streams!$E$15</f>
        <v>1</v>
      </c>
      <c r="AM15" s="10" t="n">
        <f aca="false">AM4*Streams!$E$11/Streams!$E$15</f>
        <v>1</v>
      </c>
      <c r="AN15" s="10" t="n">
        <f aca="false">AN4*Streams!$E$11/Streams!$E$15</f>
        <v>1</v>
      </c>
      <c r="AO15" s="10" t="n">
        <f aca="false">AO4*Streams!$E$11/Streams!$E$15</f>
        <v>1</v>
      </c>
      <c r="AP15" s="10" t="n">
        <f aca="false">AP4*Streams!$E$11/Streams!$E$15</f>
        <v>1</v>
      </c>
      <c r="AQ15" s="10" t="n">
        <f aca="false">AQ4*Streams!$E$11/Streams!$E$15</f>
        <v>1</v>
      </c>
      <c r="AR15" s="10" t="n">
        <f aca="false">AR4*Streams!$E$11/Streams!$E$15</f>
        <v>1</v>
      </c>
      <c r="AS15" s="10" t="n">
        <f aca="false">AS4*Streams!$E$11/Streams!$E$15</f>
        <v>1</v>
      </c>
      <c r="AT15" s="10" t="n">
        <f aca="false">AT4*Streams!$E$11/Streams!$E$15</f>
        <v>1</v>
      </c>
      <c r="AU15" s="10" t="n">
        <f aca="false">AU4*Streams!$E$11/Streams!$E$15</f>
        <v>1</v>
      </c>
      <c r="AV15" s="10" t="n">
        <f aca="false">AV4*Streams!$E$11/Streams!$E$15</f>
        <v>1</v>
      </c>
      <c r="AW15" s="10" t="n">
        <f aca="false">AW4*Streams!$E$11/Streams!$E$15</f>
        <v>1</v>
      </c>
      <c r="AX15" s="10" t="n">
        <f aca="false">AX4*Streams!$E$11/Streams!$E$15</f>
        <v>1</v>
      </c>
      <c r="AY15" s="10" t="n">
        <f aca="false">AY4*Streams!$E$11/Streams!$E$15</f>
        <v>1</v>
      </c>
      <c r="AZ15" s="10" t="n">
        <f aca="false">AZ4*Streams!$E$11/Streams!$E$15</f>
        <v>1</v>
      </c>
      <c r="BA15" s="10" t="n">
        <f aca="false">BA4*Streams!$E$11/Streams!$E$15</f>
        <v>1</v>
      </c>
      <c r="BB15" s="10" t="n">
        <f aca="false">BB4*Streams!$E$11/Streams!$E$15</f>
        <v>1</v>
      </c>
      <c r="BC15" s="10" t="n">
        <f aca="false">BC4*Streams!$E$11/Streams!$E$15</f>
        <v>1</v>
      </c>
      <c r="BD15" s="10" t="n">
        <f aca="false">BD4*Streams!$E$11/Streams!$E$15</f>
        <v>1</v>
      </c>
      <c r="BE15" s="10" t="n">
        <f aca="false">BE4*Streams!$E$11/Streams!$E$15</f>
        <v>1</v>
      </c>
      <c r="BF15" s="10" t="n">
        <f aca="false">BF4*Streams!$E$11/Streams!$E$15</f>
        <v>1</v>
      </c>
      <c r="BG15" s="10" t="n">
        <f aca="false">BG4*Streams!$E$11/Streams!$E$15</f>
        <v>1</v>
      </c>
      <c r="BH15" s="10" t="n">
        <f aca="false">BH4*Streams!$E$11/Streams!$E$15</f>
        <v>1</v>
      </c>
      <c r="BI15" s="10" t="n">
        <f aca="false">BI4*Streams!$E$11/Streams!$E$15</f>
        <v>1</v>
      </c>
      <c r="BJ15" s="10" t="n">
        <f aca="false">BJ4*Streams!$E$11/Streams!$E$15</f>
        <v>1</v>
      </c>
      <c r="BK15" s="10" t="n">
        <f aca="false">BK4*Streams!$E$11/Streams!$E$15</f>
        <v>1</v>
      </c>
      <c r="BL15" s="10" t="n">
        <f aca="false">BL4*Streams!$E$11/Streams!$E$15</f>
        <v>1</v>
      </c>
      <c r="BM15" s="10" t="n">
        <f aca="false">BM4*Streams!$E$11/Streams!$E$15</f>
        <v>1</v>
      </c>
      <c r="BN15" s="10" t="n">
        <f aca="false">BN4*Streams!$E$11/Streams!$E$15</f>
        <v>1</v>
      </c>
      <c r="BO15" s="10" t="n">
        <f aca="false">BO4*Streams!$E$11/Streams!$E$15</f>
        <v>1</v>
      </c>
      <c r="BP15" s="10" t="n">
        <f aca="false">BP4*Streams!$E$11/Streams!$E$15</f>
        <v>1</v>
      </c>
      <c r="BQ15" s="10" t="n">
        <f aca="false">BQ4*Streams!$E$11/Streams!$E$15</f>
        <v>1</v>
      </c>
      <c r="BR15" s="10" t="n">
        <f aca="false">BR4*Streams!$E$11/Streams!$E$15</f>
        <v>1</v>
      </c>
      <c r="BS15" s="10" t="n">
        <f aca="false">BS4*Streams!$E$11/Streams!$E$15</f>
        <v>1</v>
      </c>
      <c r="BT15" s="10" t="n">
        <f aca="false">BT4*Streams!$E$11/Streams!$E$15</f>
        <v>1</v>
      </c>
      <c r="BU15" s="10" t="n">
        <f aca="false">BU4*Streams!$E$11/Streams!$E$15</f>
        <v>1</v>
      </c>
      <c r="BV15" s="10" t="n">
        <f aca="false">BV4*Streams!$E$11/Streams!$E$15</f>
        <v>1</v>
      </c>
      <c r="BW15" s="10" t="n">
        <f aca="false">BW4*Streams!$E$11/Streams!$E$15</f>
        <v>1</v>
      </c>
      <c r="BX15" s="10" t="n">
        <f aca="false">BX4*Streams!$E$11/Streams!$E$15</f>
        <v>1</v>
      </c>
      <c r="BY15" s="10" t="n">
        <f aca="false">BY4*Streams!$E$11/Streams!$E$15</f>
        <v>1</v>
      </c>
      <c r="BZ15" s="10" t="n">
        <f aca="false">BZ4*Streams!$E$11/Streams!$E$15</f>
        <v>1</v>
      </c>
      <c r="CA15" s="10" t="n">
        <f aca="false">CA4*Streams!$E$11/Streams!$E$15</f>
        <v>1</v>
      </c>
      <c r="CB15" s="10" t="n">
        <f aca="false">CB4*Streams!$E$11/Streams!$E$15</f>
        <v>1</v>
      </c>
      <c r="CC15" s="10" t="n">
        <f aca="false">CC4*Streams!$E$11/Streams!$E$15</f>
        <v>1</v>
      </c>
      <c r="CD15" s="10" t="n">
        <f aca="false">CD4*Streams!$E$11/Streams!$E$15</f>
        <v>1</v>
      </c>
      <c r="CE15" s="10" t="n">
        <f aca="false">CE4*Streams!$E$11/Streams!$E$15</f>
        <v>1</v>
      </c>
      <c r="CF15" s="10" t="n">
        <f aca="false">CF4*Streams!$E$11/Streams!$E$15</f>
        <v>1</v>
      </c>
      <c r="CG15" s="10" t="n">
        <f aca="false">CG4*Streams!$E$11/Streams!$E$15</f>
        <v>1</v>
      </c>
      <c r="CH15" s="10" t="n">
        <f aca="false">CH4*Streams!$E$11/Streams!$E$15</f>
        <v>1</v>
      </c>
      <c r="CI15" s="10" t="n">
        <f aca="false">CI4*Streams!$E$11/Streams!$E$15</f>
        <v>1</v>
      </c>
      <c r="CJ15" s="10" t="n">
        <f aca="false">CJ4*Streams!$E$11/Streams!$E$15</f>
        <v>1</v>
      </c>
      <c r="CK15" s="10" t="n">
        <f aca="false">CK4*Streams!$E$11/Streams!$E$15</f>
        <v>1</v>
      </c>
      <c r="CL15" s="10" t="n">
        <f aca="false">CL4*Streams!$E$11/Streams!$E$15</f>
        <v>1</v>
      </c>
      <c r="CM15" s="10" t="n">
        <f aca="false">CM4*Streams!$E$11/Streams!$E$15</f>
        <v>1</v>
      </c>
      <c r="CN15" s="10" t="n">
        <f aca="false">CN4*Streams!$E$11/Streams!$E$15</f>
        <v>1</v>
      </c>
      <c r="CO15" s="10" t="n">
        <f aca="false">CO4*Streams!$E$11/Streams!$E$15</f>
        <v>1</v>
      </c>
      <c r="CP15" s="10" t="n">
        <f aca="false">CP4*Streams!$E$11/Streams!$E$15</f>
        <v>1</v>
      </c>
      <c r="CQ15" s="10" t="n">
        <f aca="false">CQ4*Streams!$E$11/Streams!$E$15</f>
        <v>1</v>
      </c>
      <c r="CR15" s="10" t="n">
        <f aca="false">CR4*Streams!$E$11/Streams!$E$15</f>
        <v>1</v>
      </c>
      <c r="CS15" s="10" t="n">
        <f aca="false">CS4*Streams!$E$11/Streams!$E$15</f>
        <v>1</v>
      </c>
      <c r="CT15" s="10" t="n">
        <f aca="false">CT4*Streams!$E$11/Streams!$E$15</f>
        <v>1</v>
      </c>
      <c r="CU15" s="10" t="n">
        <f aca="false">CU4*Streams!$E$11/Streams!$E$15</f>
        <v>1</v>
      </c>
      <c r="CV15" s="10" t="n">
        <f aca="false">CV4*Streams!$E$11/Streams!$E$15</f>
        <v>1</v>
      </c>
      <c r="CW15" s="10" t="n">
        <f aca="false">CW4*Streams!$E$11/Streams!$E$15</f>
        <v>1</v>
      </c>
      <c r="CX15" s="10" t="n">
        <f aca="false">CX4*Streams!$E$11/Streams!$E$15</f>
        <v>1</v>
      </c>
      <c r="CY15" s="10" t="n">
        <f aca="false">CY4*Streams!$E$11/Streams!$E$15</f>
        <v>1</v>
      </c>
      <c r="CZ15" s="10" t="n">
        <f aca="false">CZ4*Streams!$E$11/Streams!$E$15</f>
        <v>1</v>
      </c>
      <c r="DA15" s="10" t="n">
        <f aca="false">DA4*Streams!$E$11/Streams!$E$15</f>
        <v>1</v>
      </c>
      <c r="DB15" s="10" t="n">
        <f aca="false">DB4*Streams!$E$11/Streams!$E$15</f>
        <v>1</v>
      </c>
      <c r="DC15" s="10" t="n">
        <f aca="false">DC4*Streams!$E$11/Streams!$E$15</f>
        <v>1</v>
      </c>
      <c r="DD15" s="10" t="n">
        <f aca="false">DD4*Streams!$E$11/Streams!$E$15</f>
        <v>1</v>
      </c>
      <c r="DE15" s="10" t="n">
        <f aca="false">DE4*Streams!$E$11/Streams!$E$15</f>
        <v>1</v>
      </c>
      <c r="DF15" s="10" t="n">
        <f aca="false">DF4*Streams!$E$11/Streams!$E$15</f>
        <v>1</v>
      </c>
      <c r="DG15" s="10" t="n">
        <f aca="false">DG4*Streams!$E$11/Streams!$E$15</f>
        <v>1</v>
      </c>
      <c r="DH15" s="10" t="n">
        <f aca="false">DH4*Streams!$E$11/Streams!$E$15</f>
        <v>1</v>
      </c>
      <c r="DI15" s="10" t="n">
        <f aca="false">DI4*Streams!$E$11/Streams!$E$15</f>
        <v>1</v>
      </c>
      <c r="DJ15" s="10" t="n">
        <f aca="false">DJ4*Streams!$E$11/Streams!$E$15</f>
        <v>1</v>
      </c>
      <c r="DK15" s="10" t="n">
        <f aca="false">DK4*Streams!$E$11/Streams!$E$15</f>
        <v>1</v>
      </c>
      <c r="DL15" s="10" t="n">
        <f aca="false">DL4*Streams!$E$11/Streams!$E$15</f>
        <v>1</v>
      </c>
      <c r="DM15" s="10" t="n">
        <f aca="false">DM4*Streams!$E$11/Streams!$E$15</f>
        <v>1</v>
      </c>
      <c r="DN15" s="10" t="n">
        <f aca="false">DN4*Streams!$E$11/Streams!$E$15</f>
        <v>1</v>
      </c>
      <c r="DO15" s="10" t="n">
        <f aca="false">DO4*Streams!$E$11/Streams!$E$15</f>
        <v>1</v>
      </c>
      <c r="DP15" s="10" t="n">
        <f aca="false">DP4*Streams!$E$11/Streams!$E$15</f>
        <v>1</v>
      </c>
      <c r="DQ15" s="10" t="n">
        <f aca="false">DQ4*Streams!$E$11/Streams!$E$15</f>
        <v>1</v>
      </c>
      <c r="DR15" s="10" t="n">
        <f aca="false">DR4*Streams!$E$11/Streams!$E$15</f>
        <v>1</v>
      </c>
    </row>
    <row r="16" customFormat="false" ht="15" hidden="false" customHeight="false" outlineLevel="0" collapsed="false">
      <c r="A16" s="9" t="s">
        <v>185</v>
      </c>
      <c r="B16" s="10" t="n">
        <f aca="false">B4*Streams!$E$12/Streams!$E$15</f>
        <v>0</v>
      </c>
      <c r="C16" s="10" t="n">
        <f aca="false">C4*Streams!$E$12/Streams!$E$15</f>
        <v>0</v>
      </c>
      <c r="D16" s="10" t="n">
        <f aca="false">D4*Streams!$E$12/Streams!$E$15</f>
        <v>0</v>
      </c>
      <c r="E16" s="10" t="n">
        <f aca="false">E4*Streams!$E$12/Streams!$E$15</f>
        <v>0</v>
      </c>
      <c r="F16" s="10" t="n">
        <f aca="false">F4*Streams!$E$12/Streams!$E$15</f>
        <v>0</v>
      </c>
      <c r="G16" s="10" t="n">
        <f aca="false">G4*Streams!$E$12/Streams!$E$15</f>
        <v>0</v>
      </c>
      <c r="H16" s="10" t="n">
        <f aca="false">H4*Streams!$E$12/Streams!$E$15</f>
        <v>0.428571428571429</v>
      </c>
      <c r="I16" s="10" t="n">
        <f aca="false">I4*Streams!$E$12/Streams!$E$15</f>
        <v>0.428571428571429</v>
      </c>
      <c r="J16" s="10" t="n">
        <f aca="false">J4*Streams!$E$12/Streams!$E$15</f>
        <v>0.428571428571429</v>
      </c>
      <c r="K16" s="10" t="n">
        <f aca="false">K4*Streams!$E$12/Streams!$E$15</f>
        <v>0.714285714285714</v>
      </c>
      <c r="L16" s="10" t="n">
        <f aca="false">L4*Streams!$E$12/Streams!$E$15</f>
        <v>0.714285714285714</v>
      </c>
      <c r="M16" s="10" t="n">
        <f aca="false">M4*Streams!$E$12/Streams!$E$15</f>
        <v>0.714285714285714</v>
      </c>
      <c r="N16" s="10" t="n">
        <f aca="false">N4*Streams!$E$12/Streams!$E$15</f>
        <v>1</v>
      </c>
      <c r="O16" s="10" t="n">
        <f aca="false">O4*Streams!$E$12/Streams!$E$15</f>
        <v>1</v>
      </c>
      <c r="P16" s="10" t="n">
        <f aca="false">P4*Streams!$E$12/Streams!$E$15</f>
        <v>1</v>
      </c>
      <c r="Q16" s="10" t="n">
        <f aca="false">Q4*Streams!$E$12/Streams!$E$15</f>
        <v>1</v>
      </c>
      <c r="R16" s="10" t="n">
        <f aca="false">R4*Streams!$E$12/Streams!$E$15</f>
        <v>1</v>
      </c>
      <c r="S16" s="10" t="n">
        <f aca="false">S4*Streams!$E$12/Streams!$E$15</f>
        <v>1</v>
      </c>
      <c r="T16" s="10" t="n">
        <f aca="false">T4*Streams!$E$12/Streams!$E$15</f>
        <v>1</v>
      </c>
      <c r="U16" s="10" t="n">
        <f aca="false">U4*Streams!$E$12/Streams!$E$15</f>
        <v>1</v>
      </c>
      <c r="V16" s="10" t="n">
        <f aca="false">V4*Streams!$E$12/Streams!$E$15</f>
        <v>1</v>
      </c>
      <c r="W16" s="10" t="n">
        <f aca="false">W4*Streams!$E$12/Streams!$E$15</f>
        <v>1</v>
      </c>
      <c r="X16" s="10" t="n">
        <f aca="false">X4*Streams!$E$12/Streams!$E$15</f>
        <v>1</v>
      </c>
      <c r="Y16" s="10" t="n">
        <f aca="false">Y4*Streams!$E$12/Streams!$E$15</f>
        <v>1</v>
      </c>
      <c r="Z16" s="10" t="n">
        <f aca="false">Z4*Streams!$E$12/Streams!$E$15</f>
        <v>1</v>
      </c>
      <c r="AA16" s="10" t="n">
        <f aca="false">AA4*Streams!$E$12/Streams!$E$15</f>
        <v>1</v>
      </c>
      <c r="AB16" s="10" t="n">
        <f aca="false">AB4*Streams!$E$12/Streams!$E$15</f>
        <v>1</v>
      </c>
      <c r="AC16" s="10" t="n">
        <f aca="false">AC4*Streams!$E$12/Streams!$E$15</f>
        <v>1</v>
      </c>
      <c r="AD16" s="10" t="n">
        <f aca="false">AD4*Streams!$E$12/Streams!$E$15</f>
        <v>1</v>
      </c>
      <c r="AE16" s="10" t="n">
        <f aca="false">AE4*Streams!$E$12/Streams!$E$15</f>
        <v>1</v>
      </c>
      <c r="AF16" s="10" t="n">
        <f aca="false">AF4*Streams!$E$12/Streams!$E$15</f>
        <v>1</v>
      </c>
      <c r="AG16" s="10" t="n">
        <f aca="false">AG4*Streams!$E$12/Streams!$E$15</f>
        <v>1</v>
      </c>
      <c r="AH16" s="10" t="n">
        <f aca="false">AH4*Streams!$E$12/Streams!$E$15</f>
        <v>1</v>
      </c>
      <c r="AI16" s="10" t="n">
        <f aca="false">AI4*Streams!$E$12/Streams!$E$15</f>
        <v>1</v>
      </c>
      <c r="AJ16" s="10" t="n">
        <f aca="false">AJ4*Streams!$E$12/Streams!$E$15</f>
        <v>1</v>
      </c>
      <c r="AK16" s="10" t="n">
        <f aca="false">AK4*Streams!$E$12/Streams!$E$15</f>
        <v>1</v>
      </c>
      <c r="AL16" s="10" t="n">
        <f aca="false">AL4*Streams!$E$12/Streams!$E$15</f>
        <v>1</v>
      </c>
      <c r="AM16" s="10" t="n">
        <f aca="false">AM4*Streams!$E$12/Streams!$E$15</f>
        <v>1</v>
      </c>
      <c r="AN16" s="10" t="n">
        <f aca="false">AN4*Streams!$E$12/Streams!$E$15</f>
        <v>1</v>
      </c>
      <c r="AO16" s="10" t="n">
        <f aca="false">AO4*Streams!$E$12/Streams!$E$15</f>
        <v>1</v>
      </c>
      <c r="AP16" s="10" t="n">
        <f aca="false">AP4*Streams!$E$12/Streams!$E$15</f>
        <v>1</v>
      </c>
      <c r="AQ16" s="10" t="n">
        <f aca="false">AQ4*Streams!$E$12/Streams!$E$15</f>
        <v>1</v>
      </c>
      <c r="AR16" s="10" t="n">
        <f aca="false">AR4*Streams!$E$12/Streams!$E$15</f>
        <v>1</v>
      </c>
      <c r="AS16" s="10" t="n">
        <f aca="false">AS4*Streams!$E$12/Streams!$E$15</f>
        <v>1</v>
      </c>
      <c r="AT16" s="10" t="n">
        <f aca="false">AT4*Streams!$E$12/Streams!$E$15</f>
        <v>1</v>
      </c>
      <c r="AU16" s="10" t="n">
        <f aca="false">AU4*Streams!$E$12/Streams!$E$15</f>
        <v>1</v>
      </c>
      <c r="AV16" s="10" t="n">
        <f aca="false">AV4*Streams!$E$12/Streams!$E$15</f>
        <v>1</v>
      </c>
      <c r="AW16" s="10" t="n">
        <f aca="false">AW4*Streams!$E$12/Streams!$E$15</f>
        <v>1</v>
      </c>
      <c r="AX16" s="10" t="n">
        <f aca="false">AX4*Streams!$E$12/Streams!$E$15</f>
        <v>1</v>
      </c>
      <c r="AY16" s="10" t="n">
        <f aca="false">AY4*Streams!$E$12/Streams!$E$15</f>
        <v>1</v>
      </c>
      <c r="AZ16" s="10" t="n">
        <f aca="false">AZ4*Streams!$E$12/Streams!$E$15</f>
        <v>1</v>
      </c>
      <c r="BA16" s="10" t="n">
        <f aca="false">BA4*Streams!$E$12/Streams!$E$15</f>
        <v>1</v>
      </c>
      <c r="BB16" s="10" t="n">
        <f aca="false">BB4*Streams!$E$12/Streams!$E$15</f>
        <v>1</v>
      </c>
      <c r="BC16" s="10" t="n">
        <f aca="false">BC4*Streams!$E$12/Streams!$E$15</f>
        <v>1</v>
      </c>
      <c r="BD16" s="10" t="n">
        <f aca="false">BD4*Streams!$E$12/Streams!$E$15</f>
        <v>1</v>
      </c>
      <c r="BE16" s="10" t="n">
        <f aca="false">BE4*Streams!$E$12/Streams!$E$15</f>
        <v>1</v>
      </c>
      <c r="BF16" s="10" t="n">
        <f aca="false">BF4*Streams!$E$12/Streams!$E$15</f>
        <v>1</v>
      </c>
      <c r="BG16" s="10" t="n">
        <f aca="false">BG4*Streams!$E$12/Streams!$E$15</f>
        <v>1</v>
      </c>
      <c r="BH16" s="10" t="n">
        <f aca="false">BH4*Streams!$E$12/Streams!$E$15</f>
        <v>1</v>
      </c>
      <c r="BI16" s="10" t="n">
        <f aca="false">BI4*Streams!$E$12/Streams!$E$15</f>
        <v>1</v>
      </c>
      <c r="BJ16" s="10" t="n">
        <f aca="false">BJ4*Streams!$E$12/Streams!$E$15</f>
        <v>1</v>
      </c>
      <c r="BK16" s="10" t="n">
        <f aca="false">BK4*Streams!$E$12/Streams!$E$15</f>
        <v>1</v>
      </c>
      <c r="BL16" s="10" t="n">
        <f aca="false">BL4*Streams!$E$12/Streams!$E$15</f>
        <v>1</v>
      </c>
      <c r="BM16" s="10" t="n">
        <f aca="false">BM4*Streams!$E$12/Streams!$E$15</f>
        <v>1</v>
      </c>
      <c r="BN16" s="10" t="n">
        <f aca="false">BN4*Streams!$E$12/Streams!$E$15</f>
        <v>1</v>
      </c>
      <c r="BO16" s="10" t="n">
        <f aca="false">BO4*Streams!$E$12/Streams!$E$15</f>
        <v>1</v>
      </c>
      <c r="BP16" s="10" t="n">
        <f aca="false">BP4*Streams!$E$12/Streams!$E$15</f>
        <v>1</v>
      </c>
      <c r="BQ16" s="10" t="n">
        <f aca="false">BQ4*Streams!$E$12/Streams!$E$15</f>
        <v>1</v>
      </c>
      <c r="BR16" s="10" t="n">
        <f aca="false">BR4*Streams!$E$12/Streams!$E$15</f>
        <v>1</v>
      </c>
      <c r="BS16" s="10" t="n">
        <f aca="false">BS4*Streams!$E$12/Streams!$E$15</f>
        <v>1</v>
      </c>
      <c r="BT16" s="10" t="n">
        <f aca="false">BT4*Streams!$E$12/Streams!$E$15</f>
        <v>1</v>
      </c>
      <c r="BU16" s="10" t="n">
        <f aca="false">BU4*Streams!$E$12/Streams!$E$15</f>
        <v>1</v>
      </c>
      <c r="BV16" s="10" t="n">
        <f aca="false">BV4*Streams!$E$12/Streams!$E$15</f>
        <v>1</v>
      </c>
      <c r="BW16" s="10" t="n">
        <f aca="false">BW4*Streams!$E$12/Streams!$E$15</f>
        <v>1</v>
      </c>
      <c r="BX16" s="10" t="n">
        <f aca="false">BX4*Streams!$E$12/Streams!$E$15</f>
        <v>1</v>
      </c>
      <c r="BY16" s="10" t="n">
        <f aca="false">BY4*Streams!$E$12/Streams!$E$15</f>
        <v>1</v>
      </c>
      <c r="BZ16" s="10" t="n">
        <f aca="false">BZ4*Streams!$E$12/Streams!$E$15</f>
        <v>1</v>
      </c>
      <c r="CA16" s="10" t="n">
        <f aca="false">CA4*Streams!$E$12/Streams!$E$15</f>
        <v>1</v>
      </c>
      <c r="CB16" s="10" t="n">
        <f aca="false">CB4*Streams!$E$12/Streams!$E$15</f>
        <v>1</v>
      </c>
      <c r="CC16" s="10" t="n">
        <f aca="false">CC4*Streams!$E$12/Streams!$E$15</f>
        <v>1</v>
      </c>
      <c r="CD16" s="10" t="n">
        <f aca="false">CD4*Streams!$E$12/Streams!$E$15</f>
        <v>1</v>
      </c>
      <c r="CE16" s="10" t="n">
        <f aca="false">CE4*Streams!$E$12/Streams!$E$15</f>
        <v>1</v>
      </c>
      <c r="CF16" s="10" t="n">
        <f aca="false">CF4*Streams!$E$12/Streams!$E$15</f>
        <v>1</v>
      </c>
      <c r="CG16" s="10" t="n">
        <f aca="false">CG4*Streams!$E$12/Streams!$E$15</f>
        <v>1</v>
      </c>
      <c r="CH16" s="10" t="n">
        <f aca="false">CH4*Streams!$E$12/Streams!$E$15</f>
        <v>1</v>
      </c>
      <c r="CI16" s="10" t="n">
        <f aca="false">CI4*Streams!$E$12/Streams!$E$15</f>
        <v>1</v>
      </c>
      <c r="CJ16" s="10" t="n">
        <f aca="false">CJ4*Streams!$E$12/Streams!$E$15</f>
        <v>1</v>
      </c>
      <c r="CK16" s="10" t="n">
        <f aca="false">CK4*Streams!$E$12/Streams!$E$15</f>
        <v>1</v>
      </c>
      <c r="CL16" s="10" t="n">
        <f aca="false">CL4*Streams!$E$12/Streams!$E$15</f>
        <v>1</v>
      </c>
      <c r="CM16" s="10" t="n">
        <f aca="false">CM4*Streams!$E$12/Streams!$E$15</f>
        <v>1</v>
      </c>
      <c r="CN16" s="10" t="n">
        <f aca="false">CN4*Streams!$E$12/Streams!$E$15</f>
        <v>1</v>
      </c>
      <c r="CO16" s="10" t="n">
        <f aca="false">CO4*Streams!$E$12/Streams!$E$15</f>
        <v>1</v>
      </c>
      <c r="CP16" s="10" t="n">
        <f aca="false">CP4*Streams!$E$12/Streams!$E$15</f>
        <v>1</v>
      </c>
      <c r="CQ16" s="10" t="n">
        <f aca="false">CQ4*Streams!$E$12/Streams!$E$15</f>
        <v>1</v>
      </c>
      <c r="CR16" s="10" t="n">
        <f aca="false">CR4*Streams!$E$12/Streams!$E$15</f>
        <v>1</v>
      </c>
      <c r="CS16" s="10" t="n">
        <f aca="false">CS4*Streams!$E$12/Streams!$E$15</f>
        <v>1</v>
      </c>
      <c r="CT16" s="10" t="n">
        <f aca="false">CT4*Streams!$E$12/Streams!$E$15</f>
        <v>1</v>
      </c>
      <c r="CU16" s="10" t="n">
        <f aca="false">CU4*Streams!$E$12/Streams!$E$15</f>
        <v>1</v>
      </c>
      <c r="CV16" s="10" t="n">
        <f aca="false">CV4*Streams!$E$12/Streams!$E$15</f>
        <v>1</v>
      </c>
      <c r="CW16" s="10" t="n">
        <f aca="false">CW4*Streams!$E$12/Streams!$E$15</f>
        <v>1</v>
      </c>
      <c r="CX16" s="10" t="n">
        <f aca="false">CX4*Streams!$E$12/Streams!$E$15</f>
        <v>1</v>
      </c>
      <c r="CY16" s="10" t="n">
        <f aca="false">CY4*Streams!$E$12/Streams!$E$15</f>
        <v>1</v>
      </c>
      <c r="CZ16" s="10" t="n">
        <f aca="false">CZ4*Streams!$E$12/Streams!$E$15</f>
        <v>1</v>
      </c>
      <c r="DA16" s="10" t="n">
        <f aca="false">DA4*Streams!$E$12/Streams!$E$15</f>
        <v>1</v>
      </c>
      <c r="DB16" s="10" t="n">
        <f aca="false">DB4*Streams!$E$12/Streams!$E$15</f>
        <v>1</v>
      </c>
      <c r="DC16" s="10" t="n">
        <f aca="false">DC4*Streams!$E$12/Streams!$E$15</f>
        <v>1</v>
      </c>
      <c r="DD16" s="10" t="n">
        <f aca="false">DD4*Streams!$E$12/Streams!$E$15</f>
        <v>1</v>
      </c>
      <c r="DE16" s="10" t="n">
        <f aca="false">DE4*Streams!$E$12/Streams!$E$15</f>
        <v>1</v>
      </c>
      <c r="DF16" s="10" t="n">
        <f aca="false">DF4*Streams!$E$12/Streams!$E$15</f>
        <v>1</v>
      </c>
      <c r="DG16" s="10" t="n">
        <f aca="false">DG4*Streams!$E$12/Streams!$E$15</f>
        <v>1</v>
      </c>
      <c r="DH16" s="10" t="n">
        <f aca="false">DH4*Streams!$E$12/Streams!$E$15</f>
        <v>1</v>
      </c>
      <c r="DI16" s="10" t="n">
        <f aca="false">DI4*Streams!$E$12/Streams!$E$15</f>
        <v>1</v>
      </c>
      <c r="DJ16" s="10" t="n">
        <f aca="false">DJ4*Streams!$E$12/Streams!$E$15</f>
        <v>1</v>
      </c>
      <c r="DK16" s="10" t="n">
        <f aca="false">DK4*Streams!$E$12/Streams!$E$15</f>
        <v>1</v>
      </c>
      <c r="DL16" s="10" t="n">
        <f aca="false">DL4*Streams!$E$12/Streams!$E$15</f>
        <v>1</v>
      </c>
      <c r="DM16" s="10" t="n">
        <f aca="false">DM4*Streams!$E$12/Streams!$E$15</f>
        <v>1</v>
      </c>
      <c r="DN16" s="10" t="n">
        <f aca="false">DN4*Streams!$E$12/Streams!$E$15</f>
        <v>1</v>
      </c>
      <c r="DO16" s="10" t="n">
        <f aca="false">DO4*Streams!$E$12/Streams!$E$15</f>
        <v>1</v>
      </c>
      <c r="DP16" s="10" t="n">
        <f aca="false">DP4*Streams!$E$12/Streams!$E$15</f>
        <v>1</v>
      </c>
      <c r="DQ16" s="10" t="n">
        <f aca="false">DQ4*Streams!$E$12/Streams!$E$15</f>
        <v>1</v>
      </c>
      <c r="DR16" s="10" t="n">
        <f aca="false">DR4*Streams!$E$12/Streams!$E$15</f>
        <v>1</v>
      </c>
    </row>
    <row r="17" customFormat="false" ht="15" hidden="false" customHeight="false" outlineLevel="0" collapsed="false">
      <c r="A17" s="9" t="s">
        <v>186</v>
      </c>
      <c r="B17" s="10" t="n">
        <f aca="false">B4*Streams!$E$13/Streams!$E$15</f>
        <v>0</v>
      </c>
      <c r="C17" s="10" t="n">
        <f aca="false">C4*Streams!$E$13/Streams!$E$15</f>
        <v>0</v>
      </c>
      <c r="D17" s="10" t="n">
        <f aca="false">D4*Streams!$E$13/Streams!$E$15</f>
        <v>0</v>
      </c>
      <c r="E17" s="10" t="n">
        <f aca="false">E4*Streams!$E$13/Streams!$E$15</f>
        <v>0</v>
      </c>
      <c r="F17" s="10" t="n">
        <f aca="false">F4*Streams!$E$13/Streams!$E$15</f>
        <v>0</v>
      </c>
      <c r="G17" s="10" t="n">
        <f aca="false">G4*Streams!$E$13/Streams!$E$15</f>
        <v>0</v>
      </c>
      <c r="H17" s="10" t="n">
        <f aca="false">H4*Streams!$E$13/Streams!$E$15</f>
        <v>0.857142857142857</v>
      </c>
      <c r="I17" s="10" t="n">
        <f aca="false">I4*Streams!$E$13/Streams!$E$15</f>
        <v>0.857142857142857</v>
      </c>
      <c r="J17" s="10" t="n">
        <f aca="false">J4*Streams!$E$13/Streams!$E$15</f>
        <v>0.857142857142857</v>
      </c>
      <c r="K17" s="10" t="n">
        <f aca="false">K4*Streams!$E$13/Streams!$E$15</f>
        <v>1.42857142857143</v>
      </c>
      <c r="L17" s="10" t="n">
        <f aca="false">L4*Streams!$E$13/Streams!$E$15</f>
        <v>1.42857142857143</v>
      </c>
      <c r="M17" s="10" t="n">
        <f aca="false">M4*Streams!$E$13/Streams!$E$15</f>
        <v>1.42857142857143</v>
      </c>
      <c r="N17" s="10" t="n">
        <f aca="false">N4*Streams!$E$13/Streams!$E$15</f>
        <v>2</v>
      </c>
      <c r="O17" s="10" t="n">
        <f aca="false">O4*Streams!$E$13/Streams!$E$15</f>
        <v>2</v>
      </c>
      <c r="P17" s="10" t="n">
        <f aca="false">P4*Streams!$E$13/Streams!$E$15</f>
        <v>2</v>
      </c>
      <c r="Q17" s="10" t="n">
        <f aca="false">Q4*Streams!$E$13/Streams!$E$15</f>
        <v>2</v>
      </c>
      <c r="R17" s="10" t="n">
        <f aca="false">R4*Streams!$E$13/Streams!$E$15</f>
        <v>2</v>
      </c>
      <c r="S17" s="10" t="n">
        <f aca="false">S4*Streams!$E$13/Streams!$E$15</f>
        <v>2</v>
      </c>
      <c r="T17" s="10" t="n">
        <f aca="false">T4*Streams!$E$13/Streams!$E$15</f>
        <v>2</v>
      </c>
      <c r="U17" s="10" t="n">
        <f aca="false">U4*Streams!$E$13/Streams!$E$15</f>
        <v>2</v>
      </c>
      <c r="V17" s="10" t="n">
        <f aca="false">V4*Streams!$E$13/Streams!$E$15</f>
        <v>2</v>
      </c>
      <c r="W17" s="10" t="n">
        <f aca="false">W4*Streams!$E$13/Streams!$E$15</f>
        <v>2</v>
      </c>
      <c r="X17" s="10" t="n">
        <f aca="false">X4*Streams!$E$13/Streams!$E$15</f>
        <v>2</v>
      </c>
      <c r="Y17" s="10" t="n">
        <f aca="false">Y4*Streams!$E$13/Streams!$E$15</f>
        <v>2</v>
      </c>
      <c r="Z17" s="10" t="n">
        <f aca="false">Z4*Streams!$E$13/Streams!$E$15</f>
        <v>2</v>
      </c>
      <c r="AA17" s="10" t="n">
        <f aca="false">AA4*Streams!$E$13/Streams!$E$15</f>
        <v>2</v>
      </c>
      <c r="AB17" s="10" t="n">
        <f aca="false">AB4*Streams!$E$13/Streams!$E$15</f>
        <v>2</v>
      </c>
      <c r="AC17" s="10" t="n">
        <f aca="false">AC4*Streams!$E$13/Streams!$E$15</f>
        <v>2</v>
      </c>
      <c r="AD17" s="10" t="n">
        <f aca="false">AD4*Streams!$E$13/Streams!$E$15</f>
        <v>2</v>
      </c>
      <c r="AE17" s="10" t="n">
        <f aca="false">AE4*Streams!$E$13/Streams!$E$15</f>
        <v>2</v>
      </c>
      <c r="AF17" s="10" t="n">
        <f aca="false">AF4*Streams!$E$13/Streams!$E$15</f>
        <v>2</v>
      </c>
      <c r="AG17" s="10" t="n">
        <f aca="false">AG4*Streams!$E$13/Streams!$E$15</f>
        <v>2</v>
      </c>
      <c r="AH17" s="10" t="n">
        <f aca="false">AH4*Streams!$E$13/Streams!$E$15</f>
        <v>2</v>
      </c>
      <c r="AI17" s="10" t="n">
        <f aca="false">AI4*Streams!$E$13/Streams!$E$15</f>
        <v>2</v>
      </c>
      <c r="AJ17" s="10" t="n">
        <f aca="false">AJ4*Streams!$E$13/Streams!$E$15</f>
        <v>2</v>
      </c>
      <c r="AK17" s="10" t="n">
        <f aca="false">AK4*Streams!$E$13/Streams!$E$15</f>
        <v>2</v>
      </c>
      <c r="AL17" s="10" t="n">
        <f aca="false">AL4*Streams!$E$13/Streams!$E$15</f>
        <v>2</v>
      </c>
      <c r="AM17" s="10" t="n">
        <f aca="false">AM4*Streams!$E$13/Streams!$E$15</f>
        <v>2</v>
      </c>
      <c r="AN17" s="10" t="n">
        <f aca="false">AN4*Streams!$E$13/Streams!$E$15</f>
        <v>2</v>
      </c>
      <c r="AO17" s="10" t="n">
        <f aca="false">AO4*Streams!$E$13/Streams!$E$15</f>
        <v>2</v>
      </c>
      <c r="AP17" s="10" t="n">
        <f aca="false">AP4*Streams!$E$13/Streams!$E$15</f>
        <v>2</v>
      </c>
      <c r="AQ17" s="10" t="n">
        <f aca="false">AQ4*Streams!$E$13/Streams!$E$15</f>
        <v>2</v>
      </c>
      <c r="AR17" s="10" t="n">
        <f aca="false">AR4*Streams!$E$13/Streams!$E$15</f>
        <v>2</v>
      </c>
      <c r="AS17" s="10" t="n">
        <f aca="false">AS4*Streams!$E$13/Streams!$E$15</f>
        <v>2</v>
      </c>
      <c r="AT17" s="10" t="n">
        <f aca="false">AT4*Streams!$E$13/Streams!$E$15</f>
        <v>2</v>
      </c>
      <c r="AU17" s="10" t="n">
        <f aca="false">AU4*Streams!$E$13/Streams!$E$15</f>
        <v>2</v>
      </c>
      <c r="AV17" s="10" t="n">
        <f aca="false">AV4*Streams!$E$13/Streams!$E$15</f>
        <v>2</v>
      </c>
      <c r="AW17" s="10" t="n">
        <f aca="false">AW4*Streams!$E$13/Streams!$E$15</f>
        <v>2</v>
      </c>
      <c r="AX17" s="10" t="n">
        <f aca="false">AX4*Streams!$E$13/Streams!$E$15</f>
        <v>2</v>
      </c>
      <c r="AY17" s="10" t="n">
        <f aca="false">AY4*Streams!$E$13/Streams!$E$15</f>
        <v>2</v>
      </c>
      <c r="AZ17" s="10" t="n">
        <f aca="false">AZ4*Streams!$E$13/Streams!$E$15</f>
        <v>2</v>
      </c>
      <c r="BA17" s="10" t="n">
        <f aca="false">BA4*Streams!$E$13/Streams!$E$15</f>
        <v>2</v>
      </c>
      <c r="BB17" s="10" t="n">
        <f aca="false">BB4*Streams!$E$13/Streams!$E$15</f>
        <v>2</v>
      </c>
      <c r="BC17" s="10" t="n">
        <f aca="false">BC4*Streams!$E$13/Streams!$E$15</f>
        <v>2</v>
      </c>
      <c r="BD17" s="10" t="n">
        <f aca="false">BD4*Streams!$E$13/Streams!$E$15</f>
        <v>2</v>
      </c>
      <c r="BE17" s="10" t="n">
        <f aca="false">BE4*Streams!$E$13/Streams!$E$15</f>
        <v>2</v>
      </c>
      <c r="BF17" s="10" t="n">
        <f aca="false">BF4*Streams!$E$13/Streams!$E$15</f>
        <v>2</v>
      </c>
      <c r="BG17" s="10" t="n">
        <f aca="false">BG4*Streams!$E$13/Streams!$E$15</f>
        <v>2</v>
      </c>
      <c r="BH17" s="10" t="n">
        <f aca="false">BH4*Streams!$E$13/Streams!$E$15</f>
        <v>2</v>
      </c>
      <c r="BI17" s="10" t="n">
        <f aca="false">BI4*Streams!$E$13/Streams!$E$15</f>
        <v>2</v>
      </c>
      <c r="BJ17" s="10" t="n">
        <f aca="false">BJ4*Streams!$E$13/Streams!$E$15</f>
        <v>2</v>
      </c>
      <c r="BK17" s="10" t="n">
        <f aca="false">BK4*Streams!$E$13/Streams!$E$15</f>
        <v>2</v>
      </c>
      <c r="BL17" s="10" t="n">
        <f aca="false">BL4*Streams!$E$13/Streams!$E$15</f>
        <v>2</v>
      </c>
      <c r="BM17" s="10" t="n">
        <f aca="false">BM4*Streams!$E$13/Streams!$E$15</f>
        <v>2</v>
      </c>
      <c r="BN17" s="10" t="n">
        <f aca="false">BN4*Streams!$E$13/Streams!$E$15</f>
        <v>2</v>
      </c>
      <c r="BO17" s="10" t="n">
        <f aca="false">BO4*Streams!$E$13/Streams!$E$15</f>
        <v>2</v>
      </c>
      <c r="BP17" s="10" t="n">
        <f aca="false">BP4*Streams!$E$13/Streams!$E$15</f>
        <v>2</v>
      </c>
      <c r="BQ17" s="10" t="n">
        <f aca="false">BQ4*Streams!$E$13/Streams!$E$15</f>
        <v>2</v>
      </c>
      <c r="BR17" s="10" t="n">
        <f aca="false">BR4*Streams!$E$13/Streams!$E$15</f>
        <v>2</v>
      </c>
      <c r="BS17" s="10" t="n">
        <f aca="false">BS4*Streams!$E$13/Streams!$E$15</f>
        <v>2</v>
      </c>
      <c r="BT17" s="10" t="n">
        <f aca="false">BT4*Streams!$E$13/Streams!$E$15</f>
        <v>2</v>
      </c>
      <c r="BU17" s="10" t="n">
        <f aca="false">BU4*Streams!$E$13/Streams!$E$15</f>
        <v>2</v>
      </c>
      <c r="BV17" s="10" t="n">
        <f aca="false">BV4*Streams!$E$13/Streams!$E$15</f>
        <v>2</v>
      </c>
      <c r="BW17" s="10" t="n">
        <f aca="false">BW4*Streams!$E$13/Streams!$E$15</f>
        <v>2</v>
      </c>
      <c r="BX17" s="10" t="n">
        <f aca="false">BX4*Streams!$E$13/Streams!$E$15</f>
        <v>2</v>
      </c>
      <c r="BY17" s="10" t="n">
        <f aca="false">BY4*Streams!$E$13/Streams!$E$15</f>
        <v>2</v>
      </c>
      <c r="BZ17" s="10" t="n">
        <f aca="false">BZ4*Streams!$E$13/Streams!$E$15</f>
        <v>2</v>
      </c>
      <c r="CA17" s="10" t="n">
        <f aca="false">CA4*Streams!$E$13/Streams!$E$15</f>
        <v>2</v>
      </c>
      <c r="CB17" s="10" t="n">
        <f aca="false">CB4*Streams!$E$13/Streams!$E$15</f>
        <v>2</v>
      </c>
      <c r="CC17" s="10" t="n">
        <f aca="false">CC4*Streams!$E$13/Streams!$E$15</f>
        <v>2</v>
      </c>
      <c r="CD17" s="10" t="n">
        <f aca="false">CD4*Streams!$E$13/Streams!$E$15</f>
        <v>2</v>
      </c>
      <c r="CE17" s="10" t="n">
        <f aca="false">CE4*Streams!$E$13/Streams!$E$15</f>
        <v>2</v>
      </c>
      <c r="CF17" s="10" t="n">
        <f aca="false">CF4*Streams!$E$13/Streams!$E$15</f>
        <v>2</v>
      </c>
      <c r="CG17" s="10" t="n">
        <f aca="false">CG4*Streams!$E$13/Streams!$E$15</f>
        <v>2</v>
      </c>
      <c r="CH17" s="10" t="n">
        <f aca="false">CH4*Streams!$E$13/Streams!$E$15</f>
        <v>2</v>
      </c>
      <c r="CI17" s="10" t="n">
        <f aca="false">CI4*Streams!$E$13/Streams!$E$15</f>
        <v>2</v>
      </c>
      <c r="CJ17" s="10" t="n">
        <f aca="false">CJ4*Streams!$E$13/Streams!$E$15</f>
        <v>2</v>
      </c>
      <c r="CK17" s="10" t="n">
        <f aca="false">CK4*Streams!$E$13/Streams!$E$15</f>
        <v>2</v>
      </c>
      <c r="CL17" s="10" t="n">
        <f aca="false">CL4*Streams!$E$13/Streams!$E$15</f>
        <v>2</v>
      </c>
      <c r="CM17" s="10" t="n">
        <f aca="false">CM4*Streams!$E$13/Streams!$E$15</f>
        <v>2</v>
      </c>
      <c r="CN17" s="10" t="n">
        <f aca="false">CN4*Streams!$E$13/Streams!$E$15</f>
        <v>2</v>
      </c>
      <c r="CO17" s="10" t="n">
        <f aca="false">CO4*Streams!$E$13/Streams!$E$15</f>
        <v>2</v>
      </c>
      <c r="CP17" s="10" t="n">
        <f aca="false">CP4*Streams!$E$13/Streams!$E$15</f>
        <v>2</v>
      </c>
      <c r="CQ17" s="10" t="n">
        <f aca="false">CQ4*Streams!$E$13/Streams!$E$15</f>
        <v>2</v>
      </c>
      <c r="CR17" s="10" t="n">
        <f aca="false">CR4*Streams!$E$13/Streams!$E$15</f>
        <v>2</v>
      </c>
      <c r="CS17" s="10" t="n">
        <f aca="false">CS4*Streams!$E$13/Streams!$E$15</f>
        <v>2</v>
      </c>
      <c r="CT17" s="10" t="n">
        <f aca="false">CT4*Streams!$E$13/Streams!$E$15</f>
        <v>2</v>
      </c>
      <c r="CU17" s="10" t="n">
        <f aca="false">CU4*Streams!$E$13/Streams!$E$15</f>
        <v>2</v>
      </c>
      <c r="CV17" s="10" t="n">
        <f aca="false">CV4*Streams!$E$13/Streams!$E$15</f>
        <v>2</v>
      </c>
      <c r="CW17" s="10" t="n">
        <f aca="false">CW4*Streams!$E$13/Streams!$E$15</f>
        <v>2</v>
      </c>
      <c r="CX17" s="10" t="n">
        <f aca="false">CX4*Streams!$E$13/Streams!$E$15</f>
        <v>2</v>
      </c>
      <c r="CY17" s="10" t="n">
        <f aca="false">CY4*Streams!$E$13/Streams!$E$15</f>
        <v>2</v>
      </c>
      <c r="CZ17" s="10" t="n">
        <f aca="false">CZ4*Streams!$E$13/Streams!$E$15</f>
        <v>2</v>
      </c>
      <c r="DA17" s="10" t="n">
        <f aca="false">DA4*Streams!$E$13/Streams!$E$15</f>
        <v>2</v>
      </c>
      <c r="DB17" s="10" t="n">
        <f aca="false">DB4*Streams!$E$13/Streams!$E$15</f>
        <v>2</v>
      </c>
      <c r="DC17" s="10" t="n">
        <f aca="false">DC4*Streams!$E$13/Streams!$E$15</f>
        <v>2</v>
      </c>
      <c r="DD17" s="10" t="n">
        <f aca="false">DD4*Streams!$E$13/Streams!$E$15</f>
        <v>2</v>
      </c>
      <c r="DE17" s="10" t="n">
        <f aca="false">DE4*Streams!$E$13/Streams!$E$15</f>
        <v>2</v>
      </c>
      <c r="DF17" s="10" t="n">
        <f aca="false">DF4*Streams!$E$13/Streams!$E$15</f>
        <v>2</v>
      </c>
      <c r="DG17" s="10" t="n">
        <f aca="false">DG4*Streams!$E$13/Streams!$E$15</f>
        <v>2</v>
      </c>
      <c r="DH17" s="10" t="n">
        <f aca="false">DH4*Streams!$E$13/Streams!$E$15</f>
        <v>2</v>
      </c>
      <c r="DI17" s="10" t="n">
        <f aca="false">DI4*Streams!$E$13/Streams!$E$15</f>
        <v>2</v>
      </c>
      <c r="DJ17" s="10" t="n">
        <f aca="false">DJ4*Streams!$E$13/Streams!$E$15</f>
        <v>2</v>
      </c>
      <c r="DK17" s="10" t="n">
        <f aca="false">DK4*Streams!$E$13/Streams!$E$15</f>
        <v>2</v>
      </c>
      <c r="DL17" s="10" t="n">
        <f aca="false">DL4*Streams!$E$13/Streams!$E$15</f>
        <v>2</v>
      </c>
      <c r="DM17" s="10" t="n">
        <f aca="false">DM4*Streams!$E$13/Streams!$E$15</f>
        <v>2</v>
      </c>
      <c r="DN17" s="10" t="n">
        <f aca="false">DN4*Streams!$E$13/Streams!$E$15</f>
        <v>2</v>
      </c>
      <c r="DO17" s="10" t="n">
        <f aca="false">DO4*Streams!$E$13/Streams!$E$15</f>
        <v>2</v>
      </c>
      <c r="DP17" s="10" t="n">
        <f aca="false">DP4*Streams!$E$13/Streams!$E$15</f>
        <v>2</v>
      </c>
      <c r="DQ17" s="10" t="n">
        <f aca="false">DQ4*Streams!$E$13/Streams!$E$15</f>
        <v>2</v>
      </c>
      <c r="DR17" s="10" t="n">
        <f aca="false">DR4*Streams!$E$13/Streams!$E$15</f>
        <v>2</v>
      </c>
    </row>
    <row r="18" customFormat="false" ht="15" hidden="false" customHeight="false" outlineLevel="0" collapsed="false">
      <c r="A18" s="9" t="s">
        <v>187</v>
      </c>
      <c r="B18" s="10" t="n">
        <f aca="false">B4*Streams!$E$14/Streams!$E$15</f>
        <v>0</v>
      </c>
      <c r="C18" s="10" t="n">
        <f aca="false">C4*Streams!$E$14/Streams!$E$15</f>
        <v>0</v>
      </c>
      <c r="D18" s="10" t="n">
        <f aca="false">D4*Streams!$E$14/Streams!$E$15</f>
        <v>0</v>
      </c>
      <c r="E18" s="10" t="n">
        <f aca="false">E4*Streams!$E$14/Streams!$E$15</f>
        <v>0</v>
      </c>
      <c r="F18" s="10" t="n">
        <f aca="false">F4*Streams!$E$14/Streams!$E$15</f>
        <v>0</v>
      </c>
      <c r="G18" s="10" t="n">
        <f aca="false">G4*Streams!$E$14/Streams!$E$15</f>
        <v>0</v>
      </c>
      <c r="H18" s="10" t="n">
        <f aca="false">H4*Streams!$E$14/Streams!$E$15</f>
        <v>0.428571428571429</v>
      </c>
      <c r="I18" s="10" t="n">
        <f aca="false">I4*Streams!$E$14/Streams!$E$15</f>
        <v>0.428571428571429</v>
      </c>
      <c r="J18" s="10" t="n">
        <f aca="false">J4*Streams!$E$14/Streams!$E$15</f>
        <v>0.428571428571429</v>
      </c>
      <c r="K18" s="10" t="n">
        <f aca="false">K4*Streams!$E$14/Streams!$E$15</f>
        <v>0.714285714285714</v>
      </c>
      <c r="L18" s="10" t="n">
        <f aca="false">L4*Streams!$E$14/Streams!$E$15</f>
        <v>0.714285714285714</v>
      </c>
      <c r="M18" s="10" t="n">
        <f aca="false">M4*Streams!$E$14/Streams!$E$15</f>
        <v>0.714285714285714</v>
      </c>
      <c r="N18" s="10" t="n">
        <f aca="false">N4*Streams!$E$14/Streams!$E$15</f>
        <v>1</v>
      </c>
      <c r="O18" s="10" t="n">
        <f aca="false">O4*Streams!$E$14/Streams!$E$15</f>
        <v>1</v>
      </c>
      <c r="P18" s="10" t="n">
        <f aca="false">P4*Streams!$E$14/Streams!$E$15</f>
        <v>1</v>
      </c>
      <c r="Q18" s="10" t="n">
        <f aca="false">Q4*Streams!$E$14/Streams!$E$15</f>
        <v>1</v>
      </c>
      <c r="R18" s="10" t="n">
        <f aca="false">R4*Streams!$E$14/Streams!$E$15</f>
        <v>1</v>
      </c>
      <c r="S18" s="10" t="n">
        <f aca="false">S4*Streams!$E$14/Streams!$E$15</f>
        <v>1</v>
      </c>
      <c r="T18" s="10" t="n">
        <f aca="false">T4*Streams!$E$14/Streams!$E$15</f>
        <v>1</v>
      </c>
      <c r="U18" s="10" t="n">
        <f aca="false">U4*Streams!$E$14/Streams!$E$15</f>
        <v>1</v>
      </c>
      <c r="V18" s="10" t="n">
        <f aca="false">V4*Streams!$E$14/Streams!$E$15</f>
        <v>1</v>
      </c>
      <c r="W18" s="10" t="n">
        <f aca="false">W4*Streams!$E$14/Streams!$E$15</f>
        <v>1</v>
      </c>
      <c r="X18" s="10" t="n">
        <f aca="false">X4*Streams!$E$14/Streams!$E$15</f>
        <v>1</v>
      </c>
      <c r="Y18" s="10" t="n">
        <f aca="false">Y4*Streams!$E$14/Streams!$E$15</f>
        <v>1</v>
      </c>
      <c r="Z18" s="10" t="n">
        <f aca="false">Z4*Streams!$E$14/Streams!$E$15</f>
        <v>1</v>
      </c>
      <c r="AA18" s="10" t="n">
        <f aca="false">AA4*Streams!$E$14/Streams!$E$15</f>
        <v>1</v>
      </c>
      <c r="AB18" s="10" t="n">
        <f aca="false">AB4*Streams!$E$14/Streams!$E$15</f>
        <v>1</v>
      </c>
      <c r="AC18" s="10" t="n">
        <f aca="false">AC4*Streams!$E$14/Streams!$E$15</f>
        <v>1</v>
      </c>
      <c r="AD18" s="10" t="n">
        <f aca="false">AD4*Streams!$E$14/Streams!$E$15</f>
        <v>1</v>
      </c>
      <c r="AE18" s="10" t="n">
        <f aca="false">AE4*Streams!$E$14/Streams!$E$15</f>
        <v>1</v>
      </c>
      <c r="AF18" s="10" t="n">
        <f aca="false">AF4*Streams!$E$14/Streams!$E$15</f>
        <v>1</v>
      </c>
      <c r="AG18" s="10" t="n">
        <f aca="false">AG4*Streams!$E$14/Streams!$E$15</f>
        <v>1</v>
      </c>
      <c r="AH18" s="10" t="n">
        <f aca="false">AH4*Streams!$E$14/Streams!$E$15</f>
        <v>1</v>
      </c>
      <c r="AI18" s="10" t="n">
        <f aca="false">AI4*Streams!$E$14/Streams!$E$15</f>
        <v>1</v>
      </c>
      <c r="AJ18" s="10" t="n">
        <f aca="false">AJ4*Streams!$E$14/Streams!$E$15</f>
        <v>1</v>
      </c>
      <c r="AK18" s="10" t="n">
        <f aca="false">AK4*Streams!$E$14/Streams!$E$15</f>
        <v>1</v>
      </c>
      <c r="AL18" s="10" t="n">
        <f aca="false">AL4*Streams!$E$14/Streams!$E$15</f>
        <v>1</v>
      </c>
      <c r="AM18" s="10" t="n">
        <f aca="false">AM4*Streams!$E$14/Streams!$E$15</f>
        <v>1</v>
      </c>
      <c r="AN18" s="10" t="n">
        <f aca="false">AN4*Streams!$E$14/Streams!$E$15</f>
        <v>1</v>
      </c>
      <c r="AO18" s="10" t="n">
        <f aca="false">AO4*Streams!$E$14/Streams!$E$15</f>
        <v>1</v>
      </c>
      <c r="AP18" s="10" t="n">
        <f aca="false">AP4*Streams!$E$14/Streams!$E$15</f>
        <v>1</v>
      </c>
      <c r="AQ18" s="10" t="n">
        <f aca="false">AQ4*Streams!$E$14/Streams!$E$15</f>
        <v>1</v>
      </c>
      <c r="AR18" s="10" t="n">
        <f aca="false">AR4*Streams!$E$14/Streams!$E$15</f>
        <v>1</v>
      </c>
      <c r="AS18" s="10" t="n">
        <f aca="false">AS4*Streams!$E$14/Streams!$E$15</f>
        <v>1</v>
      </c>
      <c r="AT18" s="10" t="n">
        <f aca="false">AT4*Streams!$E$14/Streams!$E$15</f>
        <v>1</v>
      </c>
      <c r="AU18" s="10" t="n">
        <f aca="false">AU4*Streams!$E$14/Streams!$E$15</f>
        <v>1</v>
      </c>
      <c r="AV18" s="10" t="n">
        <f aca="false">AV4*Streams!$E$14/Streams!$E$15</f>
        <v>1</v>
      </c>
      <c r="AW18" s="10" t="n">
        <f aca="false">AW4*Streams!$E$14/Streams!$E$15</f>
        <v>1</v>
      </c>
      <c r="AX18" s="10" t="n">
        <f aca="false">AX4*Streams!$E$14/Streams!$E$15</f>
        <v>1</v>
      </c>
      <c r="AY18" s="10" t="n">
        <f aca="false">AY4*Streams!$E$14/Streams!$E$15</f>
        <v>1</v>
      </c>
      <c r="AZ18" s="10" t="n">
        <f aca="false">AZ4*Streams!$E$14/Streams!$E$15</f>
        <v>1</v>
      </c>
      <c r="BA18" s="10" t="n">
        <f aca="false">BA4*Streams!$E$14/Streams!$E$15</f>
        <v>1</v>
      </c>
      <c r="BB18" s="10" t="n">
        <f aca="false">BB4*Streams!$E$14/Streams!$E$15</f>
        <v>1</v>
      </c>
      <c r="BC18" s="10" t="n">
        <f aca="false">BC4*Streams!$E$14/Streams!$E$15</f>
        <v>1</v>
      </c>
      <c r="BD18" s="10" t="n">
        <f aca="false">BD4*Streams!$E$14/Streams!$E$15</f>
        <v>1</v>
      </c>
      <c r="BE18" s="10" t="n">
        <f aca="false">BE4*Streams!$E$14/Streams!$E$15</f>
        <v>1</v>
      </c>
      <c r="BF18" s="10" t="n">
        <f aca="false">BF4*Streams!$E$14/Streams!$E$15</f>
        <v>1</v>
      </c>
      <c r="BG18" s="10" t="n">
        <f aca="false">BG4*Streams!$E$14/Streams!$E$15</f>
        <v>1</v>
      </c>
      <c r="BH18" s="10" t="n">
        <f aca="false">BH4*Streams!$E$14/Streams!$E$15</f>
        <v>1</v>
      </c>
      <c r="BI18" s="10" t="n">
        <f aca="false">BI4*Streams!$E$14/Streams!$E$15</f>
        <v>1</v>
      </c>
      <c r="BJ18" s="10" t="n">
        <f aca="false">BJ4*Streams!$E$14/Streams!$E$15</f>
        <v>1</v>
      </c>
      <c r="BK18" s="10" t="n">
        <f aca="false">BK4*Streams!$E$14/Streams!$E$15</f>
        <v>1</v>
      </c>
      <c r="BL18" s="10" t="n">
        <f aca="false">BL4*Streams!$E$14/Streams!$E$15</f>
        <v>1</v>
      </c>
      <c r="BM18" s="10" t="n">
        <f aca="false">BM4*Streams!$E$14/Streams!$E$15</f>
        <v>1</v>
      </c>
      <c r="BN18" s="10" t="n">
        <f aca="false">BN4*Streams!$E$14/Streams!$E$15</f>
        <v>1</v>
      </c>
      <c r="BO18" s="10" t="n">
        <f aca="false">BO4*Streams!$E$14/Streams!$E$15</f>
        <v>1</v>
      </c>
      <c r="BP18" s="10" t="n">
        <f aca="false">BP4*Streams!$E$14/Streams!$E$15</f>
        <v>1</v>
      </c>
      <c r="BQ18" s="10" t="n">
        <f aca="false">BQ4*Streams!$E$14/Streams!$E$15</f>
        <v>1</v>
      </c>
      <c r="BR18" s="10" t="n">
        <f aca="false">BR4*Streams!$E$14/Streams!$E$15</f>
        <v>1</v>
      </c>
      <c r="BS18" s="10" t="n">
        <f aca="false">BS4*Streams!$E$14/Streams!$E$15</f>
        <v>1</v>
      </c>
      <c r="BT18" s="10" t="n">
        <f aca="false">BT4*Streams!$E$14/Streams!$E$15</f>
        <v>1</v>
      </c>
      <c r="BU18" s="10" t="n">
        <f aca="false">BU4*Streams!$E$14/Streams!$E$15</f>
        <v>1</v>
      </c>
      <c r="BV18" s="10" t="n">
        <f aca="false">BV4*Streams!$E$14/Streams!$E$15</f>
        <v>1</v>
      </c>
      <c r="BW18" s="10" t="n">
        <f aca="false">BW4*Streams!$E$14/Streams!$E$15</f>
        <v>1</v>
      </c>
      <c r="BX18" s="10" t="n">
        <f aca="false">BX4*Streams!$E$14/Streams!$E$15</f>
        <v>1</v>
      </c>
      <c r="BY18" s="10" t="n">
        <f aca="false">BY4*Streams!$E$14/Streams!$E$15</f>
        <v>1</v>
      </c>
      <c r="BZ18" s="10" t="n">
        <f aca="false">BZ4*Streams!$E$14/Streams!$E$15</f>
        <v>1</v>
      </c>
      <c r="CA18" s="10" t="n">
        <f aca="false">CA4*Streams!$E$14/Streams!$E$15</f>
        <v>1</v>
      </c>
      <c r="CB18" s="10" t="n">
        <f aca="false">CB4*Streams!$E$14/Streams!$E$15</f>
        <v>1</v>
      </c>
      <c r="CC18" s="10" t="n">
        <f aca="false">CC4*Streams!$E$14/Streams!$E$15</f>
        <v>1</v>
      </c>
      <c r="CD18" s="10" t="n">
        <f aca="false">CD4*Streams!$E$14/Streams!$E$15</f>
        <v>1</v>
      </c>
      <c r="CE18" s="10" t="n">
        <f aca="false">CE4*Streams!$E$14/Streams!$E$15</f>
        <v>1</v>
      </c>
      <c r="CF18" s="10" t="n">
        <f aca="false">CF4*Streams!$E$14/Streams!$E$15</f>
        <v>1</v>
      </c>
      <c r="CG18" s="10" t="n">
        <f aca="false">CG4*Streams!$E$14/Streams!$E$15</f>
        <v>1</v>
      </c>
      <c r="CH18" s="10" t="n">
        <f aca="false">CH4*Streams!$E$14/Streams!$E$15</f>
        <v>1</v>
      </c>
      <c r="CI18" s="10" t="n">
        <f aca="false">CI4*Streams!$E$14/Streams!$E$15</f>
        <v>1</v>
      </c>
      <c r="CJ18" s="10" t="n">
        <f aca="false">CJ4*Streams!$E$14/Streams!$E$15</f>
        <v>1</v>
      </c>
      <c r="CK18" s="10" t="n">
        <f aca="false">CK4*Streams!$E$14/Streams!$E$15</f>
        <v>1</v>
      </c>
      <c r="CL18" s="10" t="n">
        <f aca="false">CL4*Streams!$E$14/Streams!$E$15</f>
        <v>1</v>
      </c>
      <c r="CM18" s="10" t="n">
        <f aca="false">CM4*Streams!$E$14/Streams!$E$15</f>
        <v>1</v>
      </c>
      <c r="CN18" s="10" t="n">
        <f aca="false">CN4*Streams!$E$14/Streams!$E$15</f>
        <v>1</v>
      </c>
      <c r="CO18" s="10" t="n">
        <f aca="false">CO4*Streams!$E$14/Streams!$E$15</f>
        <v>1</v>
      </c>
      <c r="CP18" s="10" t="n">
        <f aca="false">CP4*Streams!$E$14/Streams!$E$15</f>
        <v>1</v>
      </c>
      <c r="CQ18" s="10" t="n">
        <f aca="false">CQ4*Streams!$E$14/Streams!$E$15</f>
        <v>1</v>
      </c>
      <c r="CR18" s="10" t="n">
        <f aca="false">CR4*Streams!$E$14/Streams!$E$15</f>
        <v>1</v>
      </c>
      <c r="CS18" s="10" t="n">
        <f aca="false">CS4*Streams!$E$14/Streams!$E$15</f>
        <v>1</v>
      </c>
      <c r="CT18" s="10" t="n">
        <f aca="false">CT4*Streams!$E$14/Streams!$E$15</f>
        <v>1</v>
      </c>
      <c r="CU18" s="10" t="n">
        <f aca="false">CU4*Streams!$E$14/Streams!$E$15</f>
        <v>1</v>
      </c>
      <c r="CV18" s="10" t="n">
        <f aca="false">CV4*Streams!$E$14/Streams!$E$15</f>
        <v>1</v>
      </c>
      <c r="CW18" s="10" t="n">
        <f aca="false">CW4*Streams!$E$14/Streams!$E$15</f>
        <v>1</v>
      </c>
      <c r="CX18" s="10" t="n">
        <f aca="false">CX4*Streams!$E$14/Streams!$E$15</f>
        <v>1</v>
      </c>
      <c r="CY18" s="10" t="n">
        <f aca="false">CY4*Streams!$E$14/Streams!$E$15</f>
        <v>1</v>
      </c>
      <c r="CZ18" s="10" t="n">
        <f aca="false">CZ4*Streams!$E$14/Streams!$E$15</f>
        <v>1</v>
      </c>
      <c r="DA18" s="10" t="n">
        <f aca="false">DA4*Streams!$E$14/Streams!$E$15</f>
        <v>1</v>
      </c>
      <c r="DB18" s="10" t="n">
        <f aca="false">DB4*Streams!$E$14/Streams!$E$15</f>
        <v>1</v>
      </c>
      <c r="DC18" s="10" t="n">
        <f aca="false">DC4*Streams!$E$14/Streams!$E$15</f>
        <v>1</v>
      </c>
      <c r="DD18" s="10" t="n">
        <f aca="false">DD4*Streams!$E$14/Streams!$E$15</f>
        <v>1</v>
      </c>
      <c r="DE18" s="10" t="n">
        <f aca="false">DE4*Streams!$E$14/Streams!$E$15</f>
        <v>1</v>
      </c>
      <c r="DF18" s="10" t="n">
        <f aca="false">DF4*Streams!$E$14/Streams!$E$15</f>
        <v>1</v>
      </c>
      <c r="DG18" s="10" t="n">
        <f aca="false">DG4*Streams!$E$14/Streams!$E$15</f>
        <v>1</v>
      </c>
      <c r="DH18" s="10" t="n">
        <f aca="false">DH4*Streams!$E$14/Streams!$E$15</f>
        <v>1</v>
      </c>
      <c r="DI18" s="10" t="n">
        <f aca="false">DI4*Streams!$E$14/Streams!$E$15</f>
        <v>1</v>
      </c>
      <c r="DJ18" s="10" t="n">
        <f aca="false">DJ4*Streams!$E$14/Streams!$E$15</f>
        <v>1</v>
      </c>
      <c r="DK18" s="10" t="n">
        <f aca="false">DK4*Streams!$E$14/Streams!$E$15</f>
        <v>1</v>
      </c>
      <c r="DL18" s="10" t="n">
        <f aca="false">DL4*Streams!$E$14/Streams!$E$15</f>
        <v>1</v>
      </c>
      <c r="DM18" s="10" t="n">
        <f aca="false">DM4*Streams!$E$14/Streams!$E$15</f>
        <v>1</v>
      </c>
      <c r="DN18" s="10" t="n">
        <f aca="false">DN4*Streams!$E$14/Streams!$E$15</f>
        <v>1</v>
      </c>
      <c r="DO18" s="10" t="n">
        <f aca="false">DO4*Streams!$E$14/Streams!$E$15</f>
        <v>1</v>
      </c>
      <c r="DP18" s="10" t="n">
        <f aca="false">DP4*Streams!$E$14/Streams!$E$15</f>
        <v>1</v>
      </c>
      <c r="DQ18" s="10" t="n">
        <f aca="false">DQ4*Streams!$E$14/Streams!$E$15</f>
        <v>1</v>
      </c>
      <c r="DR18" s="10" t="n">
        <f aca="false">DR4*Streams!$E$14/Streams!$E$15</f>
        <v>1</v>
      </c>
    </row>
    <row r="19" customFormat="false" ht="15" hidden="false" customHeight="false" outlineLevel="0" collapsed="false">
      <c r="A19" s="12" t="s">
        <v>188</v>
      </c>
      <c r="B19" s="13" t="n">
        <f aca="false">SUM(B6:B18)</f>
        <v>0</v>
      </c>
      <c r="C19" s="13" t="n">
        <f aca="false">SUM(C6:C18)</f>
        <v>0</v>
      </c>
      <c r="D19" s="13" t="n">
        <f aca="false">SUM(D6:D18)</f>
        <v>0</v>
      </c>
      <c r="E19" s="13" t="n">
        <f aca="false">SUM(E6:E18)</f>
        <v>0</v>
      </c>
      <c r="F19" s="13" t="n">
        <f aca="false">SUM(F6:F18)</f>
        <v>0</v>
      </c>
      <c r="G19" s="13" t="n">
        <f aca="false">SUM(G6:G18)</f>
        <v>0</v>
      </c>
      <c r="H19" s="13" t="n">
        <f aca="false">SUM(H6:H18)</f>
        <v>15</v>
      </c>
      <c r="I19" s="13" t="n">
        <f aca="false">SUM(I6:I18)</f>
        <v>15</v>
      </c>
      <c r="J19" s="13" t="n">
        <f aca="false">SUM(J6:J18)</f>
        <v>15</v>
      </c>
      <c r="K19" s="13" t="n">
        <f aca="false">SUM(K6:K18)</f>
        <v>25</v>
      </c>
      <c r="L19" s="13" t="n">
        <f aca="false">SUM(L6:L18)</f>
        <v>25</v>
      </c>
      <c r="M19" s="13" t="n">
        <f aca="false">SUM(M6:M18)</f>
        <v>25</v>
      </c>
      <c r="N19" s="13" t="n">
        <f aca="false">SUM(N6:N18)</f>
        <v>35</v>
      </c>
      <c r="O19" s="13" t="n">
        <f aca="false">SUM(O6:O18)</f>
        <v>35</v>
      </c>
      <c r="P19" s="13" t="n">
        <f aca="false">SUM(P6:P18)</f>
        <v>35</v>
      </c>
      <c r="Q19" s="13" t="n">
        <f aca="false">SUM(Q6:Q18)</f>
        <v>35</v>
      </c>
      <c r="R19" s="13" t="n">
        <f aca="false">SUM(R6:R18)</f>
        <v>35</v>
      </c>
      <c r="S19" s="13" t="n">
        <f aca="false">SUM(S6:S18)</f>
        <v>35</v>
      </c>
      <c r="T19" s="13" t="n">
        <f aca="false">SUM(T6:T18)</f>
        <v>35</v>
      </c>
      <c r="U19" s="13" t="n">
        <f aca="false">SUM(U6:U18)</f>
        <v>35</v>
      </c>
      <c r="V19" s="13" t="n">
        <f aca="false">SUM(V6:V18)</f>
        <v>35</v>
      </c>
      <c r="W19" s="13" t="n">
        <f aca="false">SUM(W6:W18)</f>
        <v>35</v>
      </c>
      <c r="X19" s="13" t="n">
        <f aca="false">SUM(X6:X18)</f>
        <v>35</v>
      </c>
      <c r="Y19" s="13" t="n">
        <f aca="false">SUM(Y6:Y18)</f>
        <v>35</v>
      </c>
      <c r="Z19" s="13" t="n">
        <f aca="false">SUM(Z6:Z18)</f>
        <v>35</v>
      </c>
      <c r="AA19" s="13" t="n">
        <f aca="false">SUM(AA6:AA18)</f>
        <v>35</v>
      </c>
      <c r="AB19" s="13" t="n">
        <f aca="false">SUM(AB6:AB18)</f>
        <v>35</v>
      </c>
      <c r="AC19" s="13" t="n">
        <f aca="false">SUM(AC6:AC18)</f>
        <v>35</v>
      </c>
      <c r="AD19" s="13" t="n">
        <f aca="false">SUM(AD6:AD18)</f>
        <v>35</v>
      </c>
      <c r="AE19" s="13" t="n">
        <f aca="false">SUM(AE6:AE18)</f>
        <v>35</v>
      </c>
      <c r="AF19" s="13" t="n">
        <f aca="false">SUM(AF6:AF18)</f>
        <v>35</v>
      </c>
      <c r="AG19" s="13" t="n">
        <f aca="false">SUM(AG6:AG18)</f>
        <v>35</v>
      </c>
      <c r="AH19" s="13" t="n">
        <f aca="false">SUM(AH6:AH18)</f>
        <v>35</v>
      </c>
      <c r="AI19" s="13" t="n">
        <f aca="false">SUM(AI6:AI18)</f>
        <v>35</v>
      </c>
      <c r="AJ19" s="13" t="n">
        <f aca="false">SUM(AJ6:AJ18)</f>
        <v>35</v>
      </c>
      <c r="AK19" s="13" t="n">
        <f aca="false">SUM(AK6:AK18)</f>
        <v>35</v>
      </c>
      <c r="AL19" s="13" t="n">
        <f aca="false">SUM(AL6:AL18)</f>
        <v>35</v>
      </c>
      <c r="AM19" s="13" t="n">
        <f aca="false">SUM(AM6:AM18)</f>
        <v>35</v>
      </c>
      <c r="AN19" s="13" t="n">
        <f aca="false">SUM(AN6:AN18)</f>
        <v>35</v>
      </c>
      <c r="AO19" s="13" t="n">
        <f aca="false">SUM(AO6:AO18)</f>
        <v>35</v>
      </c>
      <c r="AP19" s="13" t="n">
        <f aca="false">SUM(AP6:AP18)</f>
        <v>35</v>
      </c>
      <c r="AQ19" s="13" t="n">
        <f aca="false">SUM(AQ6:AQ18)</f>
        <v>35</v>
      </c>
      <c r="AR19" s="13" t="n">
        <f aca="false">SUM(AR6:AR18)</f>
        <v>35</v>
      </c>
      <c r="AS19" s="13" t="n">
        <f aca="false">SUM(AS6:AS18)</f>
        <v>35</v>
      </c>
      <c r="AT19" s="13" t="n">
        <f aca="false">SUM(AT6:AT18)</f>
        <v>35</v>
      </c>
      <c r="AU19" s="13" t="n">
        <f aca="false">SUM(AU6:AU18)</f>
        <v>35</v>
      </c>
      <c r="AV19" s="13" t="n">
        <f aca="false">SUM(AV6:AV18)</f>
        <v>35</v>
      </c>
      <c r="AW19" s="13" t="n">
        <f aca="false">SUM(AW6:AW18)</f>
        <v>35</v>
      </c>
      <c r="AX19" s="13" t="n">
        <f aca="false">SUM(AX6:AX18)</f>
        <v>35</v>
      </c>
      <c r="AY19" s="13" t="n">
        <f aca="false">SUM(AY6:AY18)</f>
        <v>35</v>
      </c>
      <c r="AZ19" s="13" t="n">
        <f aca="false">SUM(AZ6:AZ18)</f>
        <v>35</v>
      </c>
      <c r="BA19" s="13" t="n">
        <f aca="false">SUM(BA6:BA18)</f>
        <v>35</v>
      </c>
      <c r="BB19" s="13" t="n">
        <f aca="false">SUM(BB6:BB18)</f>
        <v>35</v>
      </c>
      <c r="BC19" s="13" t="n">
        <f aca="false">SUM(BC6:BC18)</f>
        <v>35</v>
      </c>
      <c r="BD19" s="13" t="n">
        <f aca="false">SUM(BD6:BD18)</f>
        <v>35</v>
      </c>
      <c r="BE19" s="13" t="n">
        <f aca="false">SUM(BE6:BE18)</f>
        <v>35</v>
      </c>
      <c r="BF19" s="13" t="n">
        <f aca="false">SUM(BF6:BF18)</f>
        <v>35</v>
      </c>
      <c r="BG19" s="13" t="n">
        <f aca="false">SUM(BG6:BG18)</f>
        <v>35</v>
      </c>
      <c r="BH19" s="13" t="n">
        <f aca="false">SUM(BH6:BH18)</f>
        <v>35</v>
      </c>
      <c r="BI19" s="13" t="n">
        <f aca="false">SUM(BI6:BI18)</f>
        <v>35</v>
      </c>
      <c r="BJ19" s="13" t="n">
        <f aca="false">SUM(BJ6:BJ18)</f>
        <v>35</v>
      </c>
      <c r="BK19" s="13" t="n">
        <f aca="false">SUM(BK6:BK18)</f>
        <v>35</v>
      </c>
      <c r="BL19" s="13" t="n">
        <f aca="false">SUM(BL6:BL18)</f>
        <v>35</v>
      </c>
      <c r="BM19" s="13" t="n">
        <f aca="false">SUM(BM6:BM18)</f>
        <v>35</v>
      </c>
      <c r="BN19" s="13" t="n">
        <f aca="false">SUM(BN6:BN18)</f>
        <v>35</v>
      </c>
      <c r="BO19" s="13" t="n">
        <f aca="false">SUM(BO6:BO18)</f>
        <v>35</v>
      </c>
      <c r="BP19" s="13" t="n">
        <f aca="false">SUM(BP6:BP18)</f>
        <v>35</v>
      </c>
      <c r="BQ19" s="13" t="n">
        <f aca="false">SUM(BQ6:BQ18)</f>
        <v>35</v>
      </c>
      <c r="BR19" s="13" t="n">
        <f aca="false">SUM(BR6:BR18)</f>
        <v>35</v>
      </c>
      <c r="BS19" s="13" t="n">
        <f aca="false">SUM(BS6:BS18)</f>
        <v>35</v>
      </c>
      <c r="BT19" s="13" t="n">
        <f aca="false">SUM(BT6:BT18)</f>
        <v>35</v>
      </c>
      <c r="BU19" s="13" t="n">
        <f aca="false">SUM(BU6:BU18)</f>
        <v>35</v>
      </c>
      <c r="BV19" s="13" t="n">
        <f aca="false">SUM(BV6:BV18)</f>
        <v>35</v>
      </c>
      <c r="BW19" s="13" t="n">
        <f aca="false">SUM(BW6:BW18)</f>
        <v>35</v>
      </c>
      <c r="BX19" s="13" t="n">
        <f aca="false">SUM(BX6:BX18)</f>
        <v>35</v>
      </c>
      <c r="BY19" s="13" t="n">
        <f aca="false">SUM(BY6:BY18)</f>
        <v>35</v>
      </c>
      <c r="BZ19" s="13" t="n">
        <f aca="false">SUM(BZ6:BZ18)</f>
        <v>35</v>
      </c>
      <c r="CA19" s="13" t="n">
        <f aca="false">SUM(CA6:CA18)</f>
        <v>35</v>
      </c>
      <c r="CB19" s="13" t="n">
        <f aca="false">SUM(CB6:CB18)</f>
        <v>35</v>
      </c>
      <c r="CC19" s="13" t="n">
        <f aca="false">SUM(CC6:CC18)</f>
        <v>35</v>
      </c>
      <c r="CD19" s="13" t="n">
        <f aca="false">SUM(CD6:CD18)</f>
        <v>35</v>
      </c>
      <c r="CE19" s="13" t="n">
        <f aca="false">SUM(CE6:CE18)</f>
        <v>35</v>
      </c>
      <c r="CF19" s="13" t="n">
        <f aca="false">SUM(CF6:CF18)</f>
        <v>35</v>
      </c>
      <c r="CG19" s="13" t="n">
        <f aca="false">SUM(CG6:CG18)</f>
        <v>35</v>
      </c>
      <c r="CH19" s="13" t="n">
        <f aca="false">SUM(CH6:CH18)</f>
        <v>35</v>
      </c>
      <c r="CI19" s="13" t="n">
        <f aca="false">SUM(CI6:CI18)</f>
        <v>35</v>
      </c>
      <c r="CJ19" s="13" t="n">
        <f aca="false">SUM(CJ6:CJ18)</f>
        <v>35</v>
      </c>
      <c r="CK19" s="13" t="n">
        <f aca="false">SUM(CK6:CK18)</f>
        <v>35</v>
      </c>
      <c r="CL19" s="13" t="n">
        <f aca="false">SUM(CL6:CL18)</f>
        <v>35</v>
      </c>
      <c r="CM19" s="13" t="n">
        <f aca="false">SUM(CM6:CM18)</f>
        <v>35</v>
      </c>
      <c r="CN19" s="13" t="n">
        <f aca="false">SUM(CN6:CN18)</f>
        <v>35</v>
      </c>
      <c r="CO19" s="13" t="n">
        <f aca="false">SUM(CO6:CO18)</f>
        <v>35</v>
      </c>
      <c r="CP19" s="13" t="n">
        <f aca="false">SUM(CP6:CP18)</f>
        <v>35</v>
      </c>
      <c r="CQ19" s="13" t="n">
        <f aca="false">SUM(CQ6:CQ18)</f>
        <v>35</v>
      </c>
      <c r="CR19" s="13" t="n">
        <f aca="false">SUM(CR6:CR18)</f>
        <v>35</v>
      </c>
      <c r="CS19" s="13" t="n">
        <f aca="false">SUM(CS6:CS18)</f>
        <v>35</v>
      </c>
      <c r="CT19" s="13" t="n">
        <f aca="false">SUM(CT6:CT18)</f>
        <v>35</v>
      </c>
      <c r="CU19" s="13" t="n">
        <f aca="false">SUM(CU6:CU18)</f>
        <v>35</v>
      </c>
      <c r="CV19" s="13" t="n">
        <f aca="false">SUM(CV6:CV18)</f>
        <v>35</v>
      </c>
      <c r="CW19" s="13" t="n">
        <f aca="false">SUM(CW6:CW18)</f>
        <v>35</v>
      </c>
      <c r="CX19" s="13" t="n">
        <f aca="false">SUM(CX6:CX18)</f>
        <v>35</v>
      </c>
      <c r="CY19" s="13" t="n">
        <f aca="false">SUM(CY6:CY18)</f>
        <v>35</v>
      </c>
      <c r="CZ19" s="13" t="n">
        <f aca="false">SUM(CZ6:CZ18)</f>
        <v>35</v>
      </c>
      <c r="DA19" s="13" t="n">
        <f aca="false">SUM(DA6:DA18)</f>
        <v>35</v>
      </c>
      <c r="DB19" s="13" t="n">
        <f aca="false">SUM(DB6:DB18)</f>
        <v>35</v>
      </c>
      <c r="DC19" s="13" t="n">
        <f aca="false">SUM(DC6:DC18)</f>
        <v>35</v>
      </c>
      <c r="DD19" s="13" t="n">
        <f aca="false">SUM(DD6:DD18)</f>
        <v>35</v>
      </c>
      <c r="DE19" s="13" t="n">
        <f aca="false">SUM(DE6:DE18)</f>
        <v>35</v>
      </c>
      <c r="DF19" s="13" t="n">
        <f aca="false">SUM(DF6:DF18)</f>
        <v>35</v>
      </c>
      <c r="DG19" s="13" t="n">
        <f aca="false">SUM(DG6:DG18)</f>
        <v>35</v>
      </c>
      <c r="DH19" s="13" t="n">
        <f aca="false">SUM(DH6:DH18)</f>
        <v>35</v>
      </c>
      <c r="DI19" s="13" t="n">
        <f aca="false">SUM(DI6:DI18)</f>
        <v>35</v>
      </c>
      <c r="DJ19" s="13" t="n">
        <f aca="false">SUM(DJ6:DJ18)</f>
        <v>35</v>
      </c>
      <c r="DK19" s="13" t="n">
        <f aca="false">SUM(DK6:DK18)</f>
        <v>35</v>
      </c>
      <c r="DL19" s="13" t="n">
        <f aca="false">SUM(DL6:DL18)</f>
        <v>35</v>
      </c>
      <c r="DM19" s="13" t="n">
        <f aca="false">SUM(DM6:DM18)</f>
        <v>35</v>
      </c>
      <c r="DN19" s="13" t="n">
        <f aca="false">SUM(DN6:DN18)</f>
        <v>35</v>
      </c>
      <c r="DO19" s="13" t="n">
        <f aca="false">SUM(DO6:DO18)</f>
        <v>35</v>
      </c>
      <c r="DP19" s="13" t="n">
        <f aca="false">SUM(DP6:DP18)</f>
        <v>35</v>
      </c>
      <c r="DQ19" s="13" t="n">
        <f aca="false">SUM(DQ6:DQ18)</f>
        <v>35</v>
      </c>
      <c r="DR19" s="13" t="n">
        <f aca="false">SUM(DR6:DR18)</f>
        <v>35</v>
      </c>
    </row>
    <row r="20" customFormat="false" ht="15" hidden="false" customHeight="false" outlineLevel="0" collapsed="false">
      <c r="A20" s="9" t="s">
        <v>189</v>
      </c>
      <c r="B20" s="10" t="n">
        <f aca="false">B19*Inputs!$B$16/Inputs!$B$18</f>
        <v>0</v>
      </c>
      <c r="C20" s="10" t="n">
        <f aca="false">C19*Inputs!$B$16/Inputs!$B$18</f>
        <v>0</v>
      </c>
      <c r="D20" s="10" t="n">
        <f aca="false">D19*Inputs!$B$16/Inputs!$B$18</f>
        <v>0</v>
      </c>
      <c r="E20" s="10" t="n">
        <f aca="false">E19*Inputs!$B$16/Inputs!$B$18</f>
        <v>0</v>
      </c>
      <c r="F20" s="10" t="n">
        <f aca="false">F19*Inputs!$B$16/Inputs!$B$18</f>
        <v>0</v>
      </c>
      <c r="G20" s="10" t="n">
        <f aca="false">G19*Inputs!$B$16/Inputs!$B$18</f>
        <v>0</v>
      </c>
      <c r="H20" s="10" t="n">
        <f aca="false">H19*Inputs!$B$16/Inputs!$B$18</f>
        <v>0</v>
      </c>
      <c r="I20" s="10" t="n">
        <f aca="false">I19*Inputs!$B$16/Inputs!$B$18</f>
        <v>0</v>
      </c>
      <c r="J20" s="10" t="n">
        <f aca="false">J19*Inputs!$B$16/Inputs!$B$18</f>
        <v>0</v>
      </c>
      <c r="K20" s="10" t="n">
        <f aca="false">K19*Inputs!$B$16/Inputs!$B$18</f>
        <v>0</v>
      </c>
      <c r="L20" s="10" t="n">
        <f aca="false">L19*Inputs!$B$16/Inputs!$B$18</f>
        <v>0</v>
      </c>
      <c r="M20" s="10" t="n">
        <f aca="false">M19*Inputs!$B$16/Inputs!$B$18</f>
        <v>0</v>
      </c>
      <c r="N20" s="10" t="n">
        <f aca="false">N19*Inputs!$B$16/Inputs!$B$18</f>
        <v>0</v>
      </c>
      <c r="O20" s="10" t="n">
        <f aca="false">O19*Inputs!$B$16/Inputs!$B$18</f>
        <v>0</v>
      </c>
      <c r="P20" s="10" t="n">
        <f aca="false">P19*Inputs!$B$16/Inputs!$B$18</f>
        <v>0</v>
      </c>
      <c r="Q20" s="10" t="n">
        <f aca="false">Q19*Inputs!$B$16/Inputs!$B$18</f>
        <v>0</v>
      </c>
      <c r="R20" s="10" t="n">
        <f aca="false">R19*Inputs!$B$16/Inputs!$B$18</f>
        <v>0</v>
      </c>
      <c r="S20" s="10" t="n">
        <f aca="false">S19*Inputs!$B$16/Inputs!$B$18</f>
        <v>0</v>
      </c>
      <c r="T20" s="10" t="n">
        <f aca="false">T19*Inputs!$B$16/Inputs!$B$18</f>
        <v>0</v>
      </c>
      <c r="U20" s="10" t="n">
        <f aca="false">U19*Inputs!$B$16/Inputs!$B$18</f>
        <v>0</v>
      </c>
      <c r="V20" s="10" t="n">
        <f aca="false">V19*Inputs!$B$16/Inputs!$B$18</f>
        <v>0</v>
      </c>
      <c r="W20" s="10" t="n">
        <f aca="false">W19*Inputs!$B$16/Inputs!$B$18</f>
        <v>0</v>
      </c>
      <c r="X20" s="10" t="n">
        <f aca="false">X19*Inputs!$B$16/Inputs!$B$18</f>
        <v>0</v>
      </c>
      <c r="Y20" s="10" t="n">
        <f aca="false">Y19*Inputs!$B$16/Inputs!$B$18</f>
        <v>0</v>
      </c>
      <c r="Z20" s="10" t="n">
        <f aca="false">Z19*Inputs!$B$16/Inputs!$B$18</f>
        <v>0</v>
      </c>
      <c r="AA20" s="10" t="n">
        <f aca="false">AA19*Inputs!$B$16/Inputs!$B$18</f>
        <v>0</v>
      </c>
      <c r="AB20" s="10" t="n">
        <f aca="false">AB19*Inputs!$B$16/Inputs!$B$18</f>
        <v>0</v>
      </c>
      <c r="AC20" s="10" t="n">
        <f aca="false">AC19*Inputs!$B$16/Inputs!$B$18</f>
        <v>0</v>
      </c>
      <c r="AD20" s="10" t="n">
        <f aca="false">AD19*Inputs!$B$16/Inputs!$B$18</f>
        <v>0</v>
      </c>
      <c r="AE20" s="10" t="n">
        <f aca="false">AE19*Inputs!$B$16/Inputs!$B$18</f>
        <v>0</v>
      </c>
      <c r="AF20" s="10" t="n">
        <f aca="false">AF19*Inputs!$B$16/Inputs!$B$18</f>
        <v>0</v>
      </c>
      <c r="AG20" s="10" t="n">
        <f aca="false">AG19*Inputs!$B$16/Inputs!$B$18</f>
        <v>0</v>
      </c>
      <c r="AH20" s="10" t="n">
        <f aca="false">AH19*Inputs!$B$16/Inputs!$B$18</f>
        <v>0</v>
      </c>
      <c r="AI20" s="10" t="n">
        <f aca="false">AI19*Inputs!$B$16/Inputs!$B$18</f>
        <v>0</v>
      </c>
      <c r="AJ20" s="10" t="n">
        <f aca="false">AJ19*Inputs!$B$16/Inputs!$B$18</f>
        <v>0</v>
      </c>
      <c r="AK20" s="10" t="n">
        <f aca="false">AK19*Inputs!$B$16/Inputs!$B$18</f>
        <v>0</v>
      </c>
      <c r="AL20" s="10" t="n">
        <f aca="false">AL19*Inputs!$B$16/Inputs!$B$18</f>
        <v>0</v>
      </c>
      <c r="AM20" s="10" t="n">
        <f aca="false">AM19*Inputs!$B$16/Inputs!$B$18</f>
        <v>0</v>
      </c>
      <c r="AN20" s="10" t="n">
        <f aca="false">AN19*Inputs!$B$16/Inputs!$B$18</f>
        <v>0</v>
      </c>
      <c r="AO20" s="10" t="n">
        <f aca="false">AO19*Inputs!$B$16/Inputs!$B$18</f>
        <v>0</v>
      </c>
      <c r="AP20" s="10" t="n">
        <f aca="false">AP19*Inputs!$B$16/Inputs!$B$18</f>
        <v>0</v>
      </c>
      <c r="AQ20" s="10" t="n">
        <f aca="false">AQ19*Inputs!$B$16/Inputs!$B$18</f>
        <v>0</v>
      </c>
      <c r="AR20" s="10" t="n">
        <f aca="false">AR19*Inputs!$B$16/Inputs!$B$18</f>
        <v>0</v>
      </c>
      <c r="AS20" s="10" t="n">
        <f aca="false">AS19*Inputs!$B$16/Inputs!$B$18</f>
        <v>0</v>
      </c>
      <c r="AT20" s="10" t="n">
        <f aca="false">AT19*Inputs!$B$16/Inputs!$B$18</f>
        <v>0</v>
      </c>
      <c r="AU20" s="10" t="n">
        <f aca="false">AU19*Inputs!$B$16/Inputs!$B$18</f>
        <v>0</v>
      </c>
      <c r="AV20" s="10" t="n">
        <f aca="false">AV19*Inputs!$B$16/Inputs!$B$18</f>
        <v>0</v>
      </c>
      <c r="AW20" s="10" t="n">
        <f aca="false">AW19*Inputs!$B$16/Inputs!$B$18</f>
        <v>0</v>
      </c>
      <c r="AX20" s="10" t="n">
        <f aca="false">AX19*Inputs!$B$16/Inputs!$B$18</f>
        <v>0</v>
      </c>
      <c r="AY20" s="10" t="n">
        <f aca="false">AY19*Inputs!$B$16/Inputs!$B$18</f>
        <v>0</v>
      </c>
      <c r="AZ20" s="10" t="n">
        <f aca="false">AZ19*Inputs!$B$16/Inputs!$B$18</f>
        <v>0</v>
      </c>
      <c r="BA20" s="10" t="n">
        <f aca="false">BA19*Inputs!$B$16/Inputs!$B$18</f>
        <v>0</v>
      </c>
      <c r="BB20" s="10" t="n">
        <f aca="false">BB19*Inputs!$B$16/Inputs!$B$18</f>
        <v>0</v>
      </c>
      <c r="BC20" s="10" t="n">
        <f aca="false">BC19*Inputs!$B$16/Inputs!$B$18</f>
        <v>0</v>
      </c>
      <c r="BD20" s="10" t="n">
        <f aca="false">BD19*Inputs!$B$16/Inputs!$B$18</f>
        <v>0</v>
      </c>
      <c r="BE20" s="10" t="n">
        <f aca="false">BE19*Inputs!$B$16/Inputs!$B$18</f>
        <v>0</v>
      </c>
      <c r="BF20" s="10" t="n">
        <f aca="false">BF19*Inputs!$B$16/Inputs!$B$18</f>
        <v>0</v>
      </c>
      <c r="BG20" s="10" t="n">
        <f aca="false">BG19*Inputs!$B$16/Inputs!$B$18</f>
        <v>0</v>
      </c>
      <c r="BH20" s="10" t="n">
        <f aca="false">BH19*Inputs!$B$16/Inputs!$B$18</f>
        <v>0</v>
      </c>
      <c r="BI20" s="10" t="n">
        <f aca="false">BI19*Inputs!$B$16/Inputs!$B$18</f>
        <v>0</v>
      </c>
      <c r="BJ20" s="10" t="n">
        <f aca="false">BJ19*Inputs!$B$16/Inputs!$B$18</f>
        <v>0</v>
      </c>
      <c r="BK20" s="10" t="n">
        <f aca="false">BK19*Inputs!$B$16/Inputs!$B$18</f>
        <v>0</v>
      </c>
      <c r="BL20" s="10" t="n">
        <f aca="false">BL19*Inputs!$B$16/Inputs!$B$18</f>
        <v>0</v>
      </c>
      <c r="BM20" s="10" t="n">
        <f aca="false">BM19*Inputs!$B$16/Inputs!$B$18</f>
        <v>0</v>
      </c>
      <c r="BN20" s="10" t="n">
        <f aca="false">BN19*Inputs!$B$16/Inputs!$B$18</f>
        <v>0</v>
      </c>
      <c r="BO20" s="10" t="n">
        <f aca="false">BO19*Inputs!$B$16/Inputs!$B$18</f>
        <v>0</v>
      </c>
      <c r="BP20" s="10" t="n">
        <f aca="false">BP19*Inputs!$B$16/Inputs!$B$18</f>
        <v>0</v>
      </c>
      <c r="BQ20" s="10" t="n">
        <f aca="false">BQ19*Inputs!$B$16/Inputs!$B$18</f>
        <v>0</v>
      </c>
      <c r="BR20" s="10" t="n">
        <f aca="false">BR19*Inputs!$B$16/Inputs!$B$18</f>
        <v>0</v>
      </c>
      <c r="BS20" s="10" t="n">
        <f aca="false">BS19*Inputs!$B$16/Inputs!$B$18</f>
        <v>0</v>
      </c>
      <c r="BT20" s="10" t="n">
        <f aca="false">BT19*Inputs!$B$16/Inputs!$B$18</f>
        <v>0</v>
      </c>
      <c r="BU20" s="10" t="n">
        <f aca="false">BU19*Inputs!$B$16/Inputs!$B$18</f>
        <v>0</v>
      </c>
      <c r="BV20" s="10" t="n">
        <f aca="false">BV19*Inputs!$B$16/Inputs!$B$18</f>
        <v>0</v>
      </c>
      <c r="BW20" s="10" t="n">
        <f aca="false">BW19*Inputs!$B$16/Inputs!$B$18</f>
        <v>0</v>
      </c>
      <c r="BX20" s="10" t="n">
        <f aca="false">BX19*Inputs!$B$16/Inputs!$B$18</f>
        <v>0</v>
      </c>
      <c r="BY20" s="10" t="n">
        <f aca="false">BY19*Inputs!$B$16/Inputs!$B$18</f>
        <v>0</v>
      </c>
      <c r="BZ20" s="10" t="n">
        <f aca="false">BZ19*Inputs!$B$16/Inputs!$B$18</f>
        <v>0</v>
      </c>
      <c r="CA20" s="10" t="n">
        <f aca="false">CA19*Inputs!$B$16/Inputs!$B$18</f>
        <v>0</v>
      </c>
      <c r="CB20" s="10" t="n">
        <f aca="false">CB19*Inputs!$B$16/Inputs!$B$18</f>
        <v>0</v>
      </c>
      <c r="CC20" s="10" t="n">
        <f aca="false">CC19*Inputs!$B$16/Inputs!$B$18</f>
        <v>0</v>
      </c>
      <c r="CD20" s="10" t="n">
        <f aca="false">CD19*Inputs!$B$16/Inputs!$B$18</f>
        <v>0</v>
      </c>
      <c r="CE20" s="10" t="n">
        <f aca="false">CE19*Inputs!$B$16/Inputs!$B$18</f>
        <v>0</v>
      </c>
      <c r="CF20" s="10" t="n">
        <f aca="false">CF19*Inputs!$B$16/Inputs!$B$18</f>
        <v>0</v>
      </c>
      <c r="CG20" s="10" t="n">
        <f aca="false">CG19*Inputs!$B$16/Inputs!$B$18</f>
        <v>0</v>
      </c>
      <c r="CH20" s="10" t="n">
        <f aca="false">CH19*Inputs!$B$16/Inputs!$B$18</f>
        <v>0</v>
      </c>
      <c r="CI20" s="10" t="n">
        <f aca="false">CI19*Inputs!$B$16/Inputs!$B$18</f>
        <v>0</v>
      </c>
      <c r="CJ20" s="10" t="n">
        <f aca="false">CJ19*Inputs!$B$16/Inputs!$B$18</f>
        <v>0</v>
      </c>
      <c r="CK20" s="10" t="n">
        <f aca="false">CK19*Inputs!$B$16/Inputs!$B$18</f>
        <v>0</v>
      </c>
      <c r="CL20" s="10" t="n">
        <f aca="false">CL19*Inputs!$B$16/Inputs!$B$18</f>
        <v>0</v>
      </c>
      <c r="CM20" s="10" t="n">
        <f aca="false">CM19*Inputs!$B$16/Inputs!$B$18</f>
        <v>0</v>
      </c>
      <c r="CN20" s="10" t="n">
        <f aca="false">CN19*Inputs!$B$16/Inputs!$B$18</f>
        <v>0</v>
      </c>
      <c r="CO20" s="10" t="n">
        <f aca="false">CO19*Inputs!$B$16/Inputs!$B$18</f>
        <v>0</v>
      </c>
      <c r="CP20" s="10" t="n">
        <f aca="false">CP19*Inputs!$B$16/Inputs!$B$18</f>
        <v>0</v>
      </c>
      <c r="CQ20" s="10" t="n">
        <f aca="false">CQ19*Inputs!$B$16/Inputs!$B$18</f>
        <v>0</v>
      </c>
      <c r="CR20" s="10" t="n">
        <f aca="false">CR19*Inputs!$B$16/Inputs!$B$18</f>
        <v>0</v>
      </c>
      <c r="CS20" s="10" t="n">
        <f aca="false">CS19*Inputs!$B$16/Inputs!$B$18</f>
        <v>0</v>
      </c>
      <c r="CT20" s="10" t="n">
        <f aca="false">CT19*Inputs!$B$16/Inputs!$B$18</f>
        <v>0</v>
      </c>
      <c r="CU20" s="10" t="n">
        <f aca="false">CU19*Inputs!$B$16/Inputs!$B$18</f>
        <v>0</v>
      </c>
      <c r="CV20" s="10" t="n">
        <f aca="false">CV19*Inputs!$B$16/Inputs!$B$18</f>
        <v>0</v>
      </c>
      <c r="CW20" s="10" t="n">
        <f aca="false">CW19*Inputs!$B$16/Inputs!$B$18</f>
        <v>0</v>
      </c>
      <c r="CX20" s="10" t="n">
        <f aca="false">CX19*Inputs!$B$16/Inputs!$B$18</f>
        <v>0</v>
      </c>
      <c r="CY20" s="10" t="n">
        <f aca="false">CY19*Inputs!$B$16/Inputs!$B$18</f>
        <v>0</v>
      </c>
      <c r="CZ20" s="10" t="n">
        <f aca="false">CZ19*Inputs!$B$16/Inputs!$B$18</f>
        <v>0</v>
      </c>
      <c r="DA20" s="10" t="n">
        <f aca="false">DA19*Inputs!$B$16/Inputs!$B$18</f>
        <v>0</v>
      </c>
      <c r="DB20" s="10" t="n">
        <f aca="false">DB19*Inputs!$B$16/Inputs!$B$18</f>
        <v>0</v>
      </c>
      <c r="DC20" s="10" t="n">
        <f aca="false">DC19*Inputs!$B$16/Inputs!$B$18</f>
        <v>0</v>
      </c>
      <c r="DD20" s="10" t="n">
        <f aca="false">DD19*Inputs!$B$16/Inputs!$B$18</f>
        <v>0</v>
      </c>
      <c r="DE20" s="10" t="n">
        <f aca="false">DE19*Inputs!$B$16/Inputs!$B$18</f>
        <v>0</v>
      </c>
      <c r="DF20" s="10" t="n">
        <f aca="false">DF19*Inputs!$B$16/Inputs!$B$18</f>
        <v>0</v>
      </c>
      <c r="DG20" s="10" t="n">
        <f aca="false">DG19*Inputs!$B$16/Inputs!$B$18</f>
        <v>0</v>
      </c>
      <c r="DH20" s="10" t="n">
        <f aca="false">DH19*Inputs!$B$16/Inputs!$B$18</f>
        <v>0</v>
      </c>
      <c r="DI20" s="10" t="n">
        <f aca="false">DI19*Inputs!$B$16/Inputs!$B$18</f>
        <v>0</v>
      </c>
      <c r="DJ20" s="10" t="n">
        <f aca="false">DJ19*Inputs!$B$16/Inputs!$B$18</f>
        <v>0</v>
      </c>
      <c r="DK20" s="10" t="n">
        <f aca="false">DK19*Inputs!$B$16/Inputs!$B$18</f>
        <v>0</v>
      </c>
      <c r="DL20" s="10" t="n">
        <f aca="false">DL19*Inputs!$B$16/Inputs!$B$18</f>
        <v>0</v>
      </c>
      <c r="DM20" s="10" t="n">
        <f aca="false">DM19*Inputs!$B$16/Inputs!$B$18</f>
        <v>0</v>
      </c>
      <c r="DN20" s="10" t="n">
        <f aca="false">DN19*Inputs!$B$16/Inputs!$B$18</f>
        <v>0</v>
      </c>
      <c r="DO20" s="10" t="n">
        <f aca="false">DO19*Inputs!$B$16/Inputs!$B$18</f>
        <v>0</v>
      </c>
      <c r="DP20" s="10" t="n">
        <f aca="false">DP19*Inputs!$B$16/Inputs!$B$18</f>
        <v>0</v>
      </c>
      <c r="DQ20" s="10" t="n">
        <f aca="false">DQ19*Inputs!$B$16/Inputs!$B$18</f>
        <v>0</v>
      </c>
      <c r="DR20" s="10" t="n">
        <f aca="false">DR19*Inputs!$B$16/Inputs!$B$18</f>
        <v>0</v>
      </c>
    </row>
    <row r="21" customFormat="false" ht="15" hidden="false" customHeight="false" outlineLevel="0" collapsed="false">
      <c r="A21" s="9" t="s">
        <v>190</v>
      </c>
      <c r="B21" s="10" t="n">
        <f aca="false">B20-Inputs!$B$34</f>
        <v>0</v>
      </c>
      <c r="C21" s="11" t="n">
        <f aca="false">C20-B20</f>
        <v>0</v>
      </c>
      <c r="D21" s="11" t="n">
        <f aca="false">D20-C20</f>
        <v>0</v>
      </c>
      <c r="E21" s="11" t="n">
        <f aca="false">E20-D20</f>
        <v>0</v>
      </c>
      <c r="F21" s="11" t="n">
        <f aca="false">F20-E20</f>
        <v>0</v>
      </c>
      <c r="G21" s="11" t="n">
        <f aca="false">G20-F20</f>
        <v>0</v>
      </c>
      <c r="H21" s="11" t="n">
        <f aca="false">H20-G20</f>
        <v>0</v>
      </c>
      <c r="I21" s="11" t="n">
        <f aca="false">I20-H20</f>
        <v>0</v>
      </c>
      <c r="J21" s="11" t="n">
        <f aca="false">J20-I20</f>
        <v>0</v>
      </c>
      <c r="K21" s="11" t="n">
        <f aca="false">K20-J20</f>
        <v>0</v>
      </c>
      <c r="L21" s="11" t="n">
        <f aca="false">L20-K20</f>
        <v>0</v>
      </c>
      <c r="M21" s="11" t="n">
        <f aca="false">M20-L20</f>
        <v>0</v>
      </c>
      <c r="N21" s="11" t="n">
        <f aca="false">N20-M20</f>
        <v>0</v>
      </c>
      <c r="O21" s="11" t="n">
        <f aca="false">O20-N20</f>
        <v>0</v>
      </c>
      <c r="P21" s="11" t="n">
        <f aca="false">P20-O20</f>
        <v>0</v>
      </c>
      <c r="Q21" s="11" t="n">
        <f aca="false">Q20-P20</f>
        <v>0</v>
      </c>
      <c r="R21" s="11" t="n">
        <f aca="false">R20-Q20</f>
        <v>0</v>
      </c>
      <c r="S21" s="11" t="n">
        <f aca="false">S20-R20</f>
        <v>0</v>
      </c>
      <c r="T21" s="11" t="n">
        <f aca="false">T20-S20</f>
        <v>0</v>
      </c>
      <c r="U21" s="11" t="n">
        <f aca="false">U20-T20</f>
        <v>0</v>
      </c>
      <c r="V21" s="11" t="n">
        <f aca="false">V20-U20</f>
        <v>0</v>
      </c>
      <c r="W21" s="11" t="n">
        <f aca="false">W20-V20</f>
        <v>0</v>
      </c>
      <c r="X21" s="11" t="n">
        <f aca="false">X20-W20</f>
        <v>0</v>
      </c>
      <c r="Y21" s="11" t="n">
        <f aca="false">Y20-X20</f>
        <v>0</v>
      </c>
      <c r="Z21" s="11" t="n">
        <f aca="false">Z20-Y20</f>
        <v>0</v>
      </c>
      <c r="AA21" s="11" t="n">
        <f aca="false">AA20-Z20</f>
        <v>0</v>
      </c>
      <c r="AB21" s="11" t="n">
        <f aca="false">AB20-AA20</f>
        <v>0</v>
      </c>
      <c r="AC21" s="11" t="n">
        <f aca="false">AC20-AB20</f>
        <v>0</v>
      </c>
      <c r="AD21" s="11" t="n">
        <f aca="false">AD20-AC20</f>
        <v>0</v>
      </c>
      <c r="AE21" s="11" t="n">
        <f aca="false">AE20-AD20</f>
        <v>0</v>
      </c>
      <c r="AF21" s="11" t="n">
        <f aca="false">AF20-AE20</f>
        <v>0</v>
      </c>
      <c r="AG21" s="11" t="n">
        <f aca="false">AG20-AF20</f>
        <v>0</v>
      </c>
      <c r="AH21" s="11" t="n">
        <f aca="false">AH20-AG20</f>
        <v>0</v>
      </c>
      <c r="AI21" s="11" t="n">
        <f aca="false">AI20-AH20</f>
        <v>0</v>
      </c>
      <c r="AJ21" s="11" t="n">
        <f aca="false">AJ20-AI20</f>
        <v>0</v>
      </c>
      <c r="AK21" s="11" t="n">
        <f aca="false">AK20-AJ20</f>
        <v>0</v>
      </c>
      <c r="AL21" s="11" t="n">
        <f aca="false">AL20-AK20</f>
        <v>0</v>
      </c>
      <c r="AM21" s="11" t="n">
        <f aca="false">AM20-AL20</f>
        <v>0</v>
      </c>
      <c r="AN21" s="11" t="n">
        <f aca="false">AN20-AM20</f>
        <v>0</v>
      </c>
      <c r="AO21" s="11" t="n">
        <f aca="false">AO20-AN20</f>
        <v>0</v>
      </c>
      <c r="AP21" s="11" t="n">
        <f aca="false">AP20-AO20</f>
        <v>0</v>
      </c>
      <c r="AQ21" s="11" t="n">
        <f aca="false">AQ20-AP20</f>
        <v>0</v>
      </c>
      <c r="AR21" s="11" t="n">
        <f aca="false">AR20-AQ20</f>
        <v>0</v>
      </c>
      <c r="AS21" s="11" t="n">
        <f aca="false">AS20-AR20</f>
        <v>0</v>
      </c>
      <c r="AT21" s="11" t="n">
        <f aca="false">AT20-AS20</f>
        <v>0</v>
      </c>
      <c r="AU21" s="11" t="n">
        <f aca="false">AU20-AT20</f>
        <v>0</v>
      </c>
      <c r="AV21" s="11" t="n">
        <f aca="false">AV20-AU20</f>
        <v>0</v>
      </c>
      <c r="AW21" s="11" t="n">
        <f aca="false">AW20-AV20</f>
        <v>0</v>
      </c>
      <c r="AX21" s="11" t="n">
        <f aca="false">AX20-AW20</f>
        <v>0</v>
      </c>
      <c r="AY21" s="11" t="n">
        <f aca="false">AY20-AX20</f>
        <v>0</v>
      </c>
      <c r="AZ21" s="11" t="n">
        <f aca="false">AZ20-AY20</f>
        <v>0</v>
      </c>
      <c r="BA21" s="11" t="n">
        <f aca="false">BA20-AZ20</f>
        <v>0</v>
      </c>
      <c r="BB21" s="11" t="n">
        <f aca="false">BB20-BA20</f>
        <v>0</v>
      </c>
      <c r="BC21" s="11" t="n">
        <f aca="false">BC20-BB20</f>
        <v>0</v>
      </c>
      <c r="BD21" s="11" t="n">
        <f aca="false">BD20-BC20</f>
        <v>0</v>
      </c>
      <c r="BE21" s="11" t="n">
        <f aca="false">BE20-BD20</f>
        <v>0</v>
      </c>
      <c r="BF21" s="11" t="n">
        <f aca="false">BF20-BE20</f>
        <v>0</v>
      </c>
      <c r="BG21" s="11" t="n">
        <f aca="false">BG20-BF20</f>
        <v>0</v>
      </c>
      <c r="BH21" s="11" t="n">
        <f aca="false">BH20-BG20</f>
        <v>0</v>
      </c>
      <c r="BI21" s="11" t="n">
        <f aca="false">BI20-BH20</f>
        <v>0</v>
      </c>
      <c r="BJ21" s="11" t="n">
        <f aca="false">BJ20-BI20</f>
        <v>0</v>
      </c>
      <c r="BK21" s="11" t="n">
        <f aca="false">BK20-BJ20</f>
        <v>0</v>
      </c>
      <c r="BL21" s="11" t="n">
        <f aca="false">BL20-BK20</f>
        <v>0</v>
      </c>
      <c r="BM21" s="11" t="n">
        <f aca="false">BM20-BL20</f>
        <v>0</v>
      </c>
      <c r="BN21" s="11" t="n">
        <f aca="false">BN20-BM20</f>
        <v>0</v>
      </c>
      <c r="BO21" s="11" t="n">
        <f aca="false">BO20-BN20</f>
        <v>0</v>
      </c>
      <c r="BP21" s="11" t="n">
        <f aca="false">BP20-BO20</f>
        <v>0</v>
      </c>
      <c r="BQ21" s="11" t="n">
        <f aca="false">BQ20-BP20</f>
        <v>0</v>
      </c>
      <c r="BR21" s="11" t="n">
        <f aca="false">BR20-BQ20</f>
        <v>0</v>
      </c>
      <c r="BS21" s="11" t="n">
        <f aca="false">BS20-BR20</f>
        <v>0</v>
      </c>
      <c r="BT21" s="11" t="n">
        <f aca="false">BT20-BS20</f>
        <v>0</v>
      </c>
      <c r="BU21" s="11" t="n">
        <f aca="false">BU20-BT20</f>
        <v>0</v>
      </c>
      <c r="BV21" s="11" t="n">
        <f aca="false">BV20-BU20</f>
        <v>0</v>
      </c>
      <c r="BW21" s="11" t="n">
        <f aca="false">BW20-BV20</f>
        <v>0</v>
      </c>
      <c r="BX21" s="11" t="n">
        <f aca="false">BX20-BW20</f>
        <v>0</v>
      </c>
      <c r="BY21" s="11" t="n">
        <f aca="false">BY20-BX20</f>
        <v>0</v>
      </c>
      <c r="BZ21" s="11" t="n">
        <f aca="false">BZ20-BY20</f>
        <v>0</v>
      </c>
      <c r="CA21" s="11" t="n">
        <f aca="false">CA20-BZ20</f>
        <v>0</v>
      </c>
      <c r="CB21" s="11" t="n">
        <f aca="false">CB20-CA20</f>
        <v>0</v>
      </c>
      <c r="CC21" s="11" t="n">
        <f aca="false">CC20-CB20</f>
        <v>0</v>
      </c>
      <c r="CD21" s="11" t="n">
        <f aca="false">CD20-CC20</f>
        <v>0</v>
      </c>
      <c r="CE21" s="11" t="n">
        <f aca="false">CE20-CD20</f>
        <v>0</v>
      </c>
      <c r="CF21" s="11" t="n">
        <f aca="false">CF20-CE20</f>
        <v>0</v>
      </c>
      <c r="CG21" s="11" t="n">
        <f aca="false">CG20-CF20</f>
        <v>0</v>
      </c>
      <c r="CH21" s="11" t="n">
        <f aca="false">CH20-CG20</f>
        <v>0</v>
      </c>
      <c r="CI21" s="11" t="n">
        <f aca="false">CI20-CH20</f>
        <v>0</v>
      </c>
      <c r="CJ21" s="11" t="n">
        <f aca="false">CJ20-CI20</f>
        <v>0</v>
      </c>
      <c r="CK21" s="11" t="n">
        <f aca="false">CK20-CJ20</f>
        <v>0</v>
      </c>
      <c r="CL21" s="11" t="n">
        <f aca="false">CL20-CK20</f>
        <v>0</v>
      </c>
      <c r="CM21" s="11" t="n">
        <f aca="false">CM20-CL20</f>
        <v>0</v>
      </c>
      <c r="CN21" s="11" t="n">
        <f aca="false">CN20-CM20</f>
        <v>0</v>
      </c>
      <c r="CO21" s="11" t="n">
        <f aca="false">CO20-CN20</f>
        <v>0</v>
      </c>
      <c r="CP21" s="11" t="n">
        <f aca="false">CP20-CO20</f>
        <v>0</v>
      </c>
      <c r="CQ21" s="11" t="n">
        <f aca="false">CQ20-CP20</f>
        <v>0</v>
      </c>
      <c r="CR21" s="11" t="n">
        <f aca="false">CR20-CQ20</f>
        <v>0</v>
      </c>
      <c r="CS21" s="11" t="n">
        <f aca="false">CS20-CR20</f>
        <v>0</v>
      </c>
      <c r="CT21" s="11" t="n">
        <f aca="false">CT20-CS20</f>
        <v>0</v>
      </c>
      <c r="CU21" s="11" t="n">
        <f aca="false">CU20-CT20</f>
        <v>0</v>
      </c>
      <c r="CV21" s="11" t="n">
        <f aca="false">CV20-CU20</f>
        <v>0</v>
      </c>
      <c r="CW21" s="11" t="n">
        <f aca="false">CW20-CV20</f>
        <v>0</v>
      </c>
      <c r="CX21" s="11" t="n">
        <f aca="false">CX20-CW20</f>
        <v>0</v>
      </c>
      <c r="CY21" s="11" t="n">
        <f aca="false">CY20-CX20</f>
        <v>0</v>
      </c>
      <c r="CZ21" s="11" t="n">
        <f aca="false">CZ20-CY20</f>
        <v>0</v>
      </c>
      <c r="DA21" s="11" t="n">
        <f aca="false">DA20-CZ20</f>
        <v>0</v>
      </c>
      <c r="DB21" s="11" t="n">
        <f aca="false">DB20-DA20</f>
        <v>0</v>
      </c>
      <c r="DC21" s="11" t="n">
        <f aca="false">DC20-DB20</f>
        <v>0</v>
      </c>
      <c r="DD21" s="11" t="n">
        <f aca="false">DD20-DC20</f>
        <v>0</v>
      </c>
      <c r="DE21" s="11" t="n">
        <f aca="false">DE20-DD20</f>
        <v>0</v>
      </c>
      <c r="DF21" s="11" t="n">
        <f aca="false">DF20-DE20</f>
        <v>0</v>
      </c>
      <c r="DG21" s="11" t="n">
        <f aca="false">DG20-DF20</f>
        <v>0</v>
      </c>
      <c r="DH21" s="11" t="n">
        <f aca="false">DH20-DG20</f>
        <v>0</v>
      </c>
      <c r="DI21" s="11" t="n">
        <f aca="false">DI20-DH20</f>
        <v>0</v>
      </c>
      <c r="DJ21" s="11" t="n">
        <f aca="false">DJ20-DI20</f>
        <v>0</v>
      </c>
      <c r="DK21" s="11" t="n">
        <f aca="false">DK20-DJ20</f>
        <v>0</v>
      </c>
      <c r="DL21" s="11" t="n">
        <f aca="false">DL20-DK20</f>
        <v>0</v>
      </c>
      <c r="DM21" s="11" t="n">
        <f aca="false">DM20-DL20</f>
        <v>0</v>
      </c>
      <c r="DN21" s="11" t="n">
        <f aca="false">DN20-DM20</f>
        <v>0</v>
      </c>
      <c r="DO21" s="11" t="n">
        <f aca="false">DO20-DN20</f>
        <v>0</v>
      </c>
      <c r="DP21" s="11" t="n">
        <f aca="false">DP20-DO20</f>
        <v>0</v>
      </c>
      <c r="DQ21" s="11" t="n">
        <f aca="false">DQ20-DP20</f>
        <v>0</v>
      </c>
      <c r="DR21" s="11" t="n">
        <f aca="false">DR20-DQ20</f>
        <v>0</v>
      </c>
    </row>
    <row r="22" customFormat="false" ht="15" hidden="false" customHeight="false" outlineLevel="0" collapsed="false">
      <c r="A22" s="9" t="s">
        <v>191</v>
      </c>
      <c r="B22" s="11" t="n">
        <f aca="false">B19-B21</f>
        <v>0</v>
      </c>
      <c r="C22" s="11" t="n">
        <f aca="false">C19-C21</f>
        <v>0</v>
      </c>
      <c r="D22" s="11" t="n">
        <f aca="false">D19-D21</f>
        <v>0</v>
      </c>
      <c r="E22" s="11" t="n">
        <f aca="false">E19-E21</f>
        <v>0</v>
      </c>
      <c r="F22" s="11" t="n">
        <f aca="false">F19-F21</f>
        <v>0</v>
      </c>
      <c r="G22" s="11" t="n">
        <f aca="false">G19-G21</f>
        <v>0</v>
      </c>
      <c r="H22" s="11" t="n">
        <f aca="false">H19-H21</f>
        <v>15</v>
      </c>
      <c r="I22" s="11" t="n">
        <f aca="false">I19-I21</f>
        <v>15</v>
      </c>
      <c r="J22" s="11" t="n">
        <f aca="false">J19-J21</f>
        <v>15</v>
      </c>
      <c r="K22" s="11" t="n">
        <f aca="false">K19-K21</f>
        <v>25</v>
      </c>
      <c r="L22" s="11" t="n">
        <f aca="false">L19-L21</f>
        <v>25</v>
      </c>
      <c r="M22" s="11" t="n">
        <f aca="false">M19-M21</f>
        <v>25</v>
      </c>
      <c r="N22" s="11" t="n">
        <f aca="false">N19-N21</f>
        <v>35</v>
      </c>
      <c r="O22" s="11" t="n">
        <f aca="false">O19-O21</f>
        <v>35</v>
      </c>
      <c r="P22" s="11" t="n">
        <f aca="false">P19-P21</f>
        <v>35</v>
      </c>
      <c r="Q22" s="11" t="n">
        <f aca="false">Q19-Q21</f>
        <v>35</v>
      </c>
      <c r="R22" s="11" t="n">
        <f aca="false">R19-R21</f>
        <v>35</v>
      </c>
      <c r="S22" s="11" t="n">
        <f aca="false">S19-S21</f>
        <v>35</v>
      </c>
      <c r="T22" s="11" t="n">
        <f aca="false">T19-T21</f>
        <v>35</v>
      </c>
      <c r="U22" s="11" t="n">
        <f aca="false">U19-U21</f>
        <v>35</v>
      </c>
      <c r="V22" s="11" t="n">
        <f aca="false">V19-V21</f>
        <v>35</v>
      </c>
      <c r="W22" s="11" t="n">
        <f aca="false">W19-W21</f>
        <v>35</v>
      </c>
      <c r="X22" s="11" t="n">
        <f aca="false">X19-X21</f>
        <v>35</v>
      </c>
      <c r="Y22" s="11" t="n">
        <f aca="false">Y19-Y21</f>
        <v>35</v>
      </c>
      <c r="Z22" s="11" t="n">
        <f aca="false">Z19-Z21</f>
        <v>35</v>
      </c>
      <c r="AA22" s="11" t="n">
        <f aca="false">AA19-AA21</f>
        <v>35</v>
      </c>
      <c r="AB22" s="11" t="n">
        <f aca="false">AB19-AB21</f>
        <v>35</v>
      </c>
      <c r="AC22" s="11" t="n">
        <f aca="false">AC19-AC21</f>
        <v>35</v>
      </c>
      <c r="AD22" s="11" t="n">
        <f aca="false">AD19-AD21</f>
        <v>35</v>
      </c>
      <c r="AE22" s="11" t="n">
        <f aca="false">AE19-AE21</f>
        <v>35</v>
      </c>
      <c r="AF22" s="11" t="n">
        <f aca="false">AF19-AF21</f>
        <v>35</v>
      </c>
      <c r="AG22" s="11" t="n">
        <f aca="false">AG19-AG21</f>
        <v>35</v>
      </c>
      <c r="AH22" s="11" t="n">
        <f aca="false">AH19-AH21</f>
        <v>35</v>
      </c>
      <c r="AI22" s="11" t="n">
        <f aca="false">AI19-AI21</f>
        <v>35</v>
      </c>
      <c r="AJ22" s="11" t="n">
        <f aca="false">AJ19-AJ21</f>
        <v>35</v>
      </c>
      <c r="AK22" s="11" t="n">
        <f aca="false">AK19-AK21</f>
        <v>35</v>
      </c>
      <c r="AL22" s="11" t="n">
        <f aca="false">AL19-AL21</f>
        <v>35</v>
      </c>
      <c r="AM22" s="11" t="n">
        <f aca="false">AM19-AM21</f>
        <v>35</v>
      </c>
      <c r="AN22" s="11" t="n">
        <f aca="false">AN19-AN21</f>
        <v>35</v>
      </c>
      <c r="AO22" s="11" t="n">
        <f aca="false">AO19-AO21</f>
        <v>35</v>
      </c>
      <c r="AP22" s="11" t="n">
        <f aca="false">AP19-AP21</f>
        <v>35</v>
      </c>
      <c r="AQ22" s="11" t="n">
        <f aca="false">AQ19-AQ21</f>
        <v>35</v>
      </c>
      <c r="AR22" s="11" t="n">
        <f aca="false">AR19-AR21</f>
        <v>35</v>
      </c>
      <c r="AS22" s="11" t="n">
        <f aca="false">AS19-AS21</f>
        <v>35</v>
      </c>
      <c r="AT22" s="11" t="n">
        <f aca="false">AT19-AT21</f>
        <v>35</v>
      </c>
      <c r="AU22" s="11" t="n">
        <f aca="false">AU19-AU21</f>
        <v>35</v>
      </c>
      <c r="AV22" s="11" t="n">
        <f aca="false">AV19-AV21</f>
        <v>35</v>
      </c>
      <c r="AW22" s="11" t="n">
        <f aca="false">AW19-AW21</f>
        <v>35</v>
      </c>
      <c r="AX22" s="11" t="n">
        <f aca="false">AX19-AX21</f>
        <v>35</v>
      </c>
      <c r="AY22" s="11" t="n">
        <f aca="false">AY19-AY21</f>
        <v>35</v>
      </c>
      <c r="AZ22" s="11" t="n">
        <f aca="false">AZ19-AZ21</f>
        <v>35</v>
      </c>
      <c r="BA22" s="11" t="n">
        <f aca="false">BA19-BA21</f>
        <v>35</v>
      </c>
      <c r="BB22" s="11" t="n">
        <f aca="false">BB19-BB21</f>
        <v>35</v>
      </c>
      <c r="BC22" s="11" t="n">
        <f aca="false">BC19-BC21</f>
        <v>35</v>
      </c>
      <c r="BD22" s="11" t="n">
        <f aca="false">BD19-BD21</f>
        <v>35</v>
      </c>
      <c r="BE22" s="11" t="n">
        <f aca="false">BE19-BE21</f>
        <v>35</v>
      </c>
      <c r="BF22" s="11" t="n">
        <f aca="false">BF19-BF21</f>
        <v>35</v>
      </c>
      <c r="BG22" s="11" t="n">
        <f aca="false">BG19-BG21</f>
        <v>35</v>
      </c>
      <c r="BH22" s="11" t="n">
        <f aca="false">BH19-BH21</f>
        <v>35</v>
      </c>
      <c r="BI22" s="11" t="n">
        <f aca="false">BI19-BI21</f>
        <v>35</v>
      </c>
      <c r="BJ22" s="11" t="n">
        <f aca="false">BJ19-BJ21</f>
        <v>35</v>
      </c>
      <c r="BK22" s="11" t="n">
        <f aca="false">BK19-BK21</f>
        <v>35</v>
      </c>
      <c r="BL22" s="11" t="n">
        <f aca="false">BL19-BL21</f>
        <v>35</v>
      </c>
      <c r="BM22" s="11" t="n">
        <f aca="false">BM19-BM21</f>
        <v>35</v>
      </c>
      <c r="BN22" s="11" t="n">
        <f aca="false">BN19-BN21</f>
        <v>35</v>
      </c>
      <c r="BO22" s="11" t="n">
        <f aca="false">BO19-BO21</f>
        <v>35</v>
      </c>
      <c r="BP22" s="11" t="n">
        <f aca="false">BP19-BP21</f>
        <v>35</v>
      </c>
      <c r="BQ22" s="11" t="n">
        <f aca="false">BQ19-BQ21</f>
        <v>35</v>
      </c>
      <c r="BR22" s="11" t="n">
        <f aca="false">BR19-BR21</f>
        <v>35</v>
      </c>
      <c r="BS22" s="11" t="n">
        <f aca="false">BS19-BS21</f>
        <v>35</v>
      </c>
      <c r="BT22" s="11" t="n">
        <f aca="false">BT19-BT21</f>
        <v>35</v>
      </c>
      <c r="BU22" s="11" t="n">
        <f aca="false">BU19-BU21</f>
        <v>35</v>
      </c>
      <c r="BV22" s="11" t="n">
        <f aca="false">BV19-BV21</f>
        <v>35</v>
      </c>
      <c r="BW22" s="11" t="n">
        <f aca="false">BW19-BW21</f>
        <v>35</v>
      </c>
      <c r="BX22" s="11" t="n">
        <f aca="false">BX19-BX21</f>
        <v>35</v>
      </c>
      <c r="BY22" s="11" t="n">
        <f aca="false">BY19-BY21</f>
        <v>35</v>
      </c>
      <c r="BZ22" s="11" t="n">
        <f aca="false">BZ19-BZ21</f>
        <v>35</v>
      </c>
      <c r="CA22" s="11" t="n">
        <f aca="false">CA19-CA21</f>
        <v>35</v>
      </c>
      <c r="CB22" s="11" t="n">
        <f aca="false">CB19-CB21</f>
        <v>35</v>
      </c>
      <c r="CC22" s="11" t="n">
        <f aca="false">CC19-CC21</f>
        <v>35</v>
      </c>
      <c r="CD22" s="11" t="n">
        <f aca="false">CD19-CD21</f>
        <v>35</v>
      </c>
      <c r="CE22" s="11" t="n">
        <f aca="false">CE19-CE21</f>
        <v>35</v>
      </c>
      <c r="CF22" s="11" t="n">
        <f aca="false">CF19-CF21</f>
        <v>35</v>
      </c>
      <c r="CG22" s="11" t="n">
        <f aca="false">CG19-CG21</f>
        <v>35</v>
      </c>
      <c r="CH22" s="11" t="n">
        <f aca="false">CH19-CH21</f>
        <v>35</v>
      </c>
      <c r="CI22" s="11" t="n">
        <f aca="false">CI19-CI21</f>
        <v>35</v>
      </c>
      <c r="CJ22" s="11" t="n">
        <f aca="false">CJ19-CJ21</f>
        <v>35</v>
      </c>
      <c r="CK22" s="11" t="n">
        <f aca="false">CK19-CK21</f>
        <v>35</v>
      </c>
      <c r="CL22" s="11" t="n">
        <f aca="false">CL19-CL21</f>
        <v>35</v>
      </c>
      <c r="CM22" s="11" t="n">
        <f aca="false">CM19-CM21</f>
        <v>35</v>
      </c>
      <c r="CN22" s="11" t="n">
        <f aca="false">CN19-CN21</f>
        <v>35</v>
      </c>
      <c r="CO22" s="11" t="n">
        <f aca="false">CO19-CO21</f>
        <v>35</v>
      </c>
      <c r="CP22" s="11" t="n">
        <f aca="false">CP19-CP21</f>
        <v>35</v>
      </c>
      <c r="CQ22" s="11" t="n">
        <f aca="false">CQ19-CQ21</f>
        <v>35</v>
      </c>
      <c r="CR22" s="11" t="n">
        <f aca="false">CR19-CR21</f>
        <v>35</v>
      </c>
      <c r="CS22" s="11" t="n">
        <f aca="false">CS19-CS21</f>
        <v>35</v>
      </c>
      <c r="CT22" s="11" t="n">
        <f aca="false">CT19-CT21</f>
        <v>35</v>
      </c>
      <c r="CU22" s="11" t="n">
        <f aca="false">CU19-CU21</f>
        <v>35</v>
      </c>
      <c r="CV22" s="11" t="n">
        <f aca="false">CV19-CV21</f>
        <v>35</v>
      </c>
      <c r="CW22" s="11" t="n">
        <f aca="false">CW19-CW21</f>
        <v>35</v>
      </c>
      <c r="CX22" s="11" t="n">
        <f aca="false">CX19-CX21</f>
        <v>35</v>
      </c>
      <c r="CY22" s="11" t="n">
        <f aca="false">CY19-CY21</f>
        <v>35</v>
      </c>
      <c r="CZ22" s="11" t="n">
        <f aca="false">CZ19-CZ21</f>
        <v>35</v>
      </c>
      <c r="DA22" s="11" t="n">
        <f aca="false">DA19-DA21</f>
        <v>35</v>
      </c>
      <c r="DB22" s="11" t="n">
        <f aca="false">DB19-DB21</f>
        <v>35</v>
      </c>
      <c r="DC22" s="11" t="n">
        <f aca="false">DC19-DC21</f>
        <v>35</v>
      </c>
      <c r="DD22" s="11" t="n">
        <f aca="false">DD19-DD21</f>
        <v>35</v>
      </c>
      <c r="DE22" s="11" t="n">
        <f aca="false">DE19-DE21</f>
        <v>35</v>
      </c>
      <c r="DF22" s="11" t="n">
        <f aca="false">DF19-DF21</f>
        <v>35</v>
      </c>
      <c r="DG22" s="11" t="n">
        <f aca="false">DG19-DG21</f>
        <v>35</v>
      </c>
      <c r="DH22" s="11" t="n">
        <f aca="false">DH19-DH21</f>
        <v>35</v>
      </c>
      <c r="DI22" s="11" t="n">
        <f aca="false">DI19-DI21</f>
        <v>35</v>
      </c>
      <c r="DJ22" s="11" t="n">
        <f aca="false">DJ19-DJ21</f>
        <v>35</v>
      </c>
      <c r="DK22" s="11" t="n">
        <f aca="false">DK19-DK21</f>
        <v>35</v>
      </c>
      <c r="DL22" s="11" t="n">
        <f aca="false">DL19-DL21</f>
        <v>35</v>
      </c>
      <c r="DM22" s="11" t="n">
        <f aca="false">DM19-DM21</f>
        <v>35</v>
      </c>
      <c r="DN22" s="11" t="n">
        <f aca="false">DN19-DN21</f>
        <v>35</v>
      </c>
      <c r="DO22" s="11" t="n">
        <f aca="false">DO19-DO21</f>
        <v>35</v>
      </c>
      <c r="DP22" s="11" t="n">
        <f aca="false">DP19-DP21</f>
        <v>35</v>
      </c>
      <c r="DQ22" s="11" t="n">
        <f aca="false">DQ19-DQ21</f>
        <v>35</v>
      </c>
      <c r="DR22" s="11" t="n">
        <f aca="false">DR19-DR21</f>
        <v>35</v>
      </c>
    </row>
    <row r="23" customFormat="false" ht="15" hidden="false" customHeight="false" outlineLevel="0" collapsed="false">
      <c r="A23" s="9" t="s">
        <v>192</v>
      </c>
      <c r="B23" s="10" t="n">
        <f aca="false">B19*Inputs!$B$4</f>
        <v>0</v>
      </c>
      <c r="C23" s="10" t="n">
        <f aca="false">C19*Inputs!$B$4</f>
        <v>0</v>
      </c>
      <c r="D23" s="10" t="n">
        <f aca="false">D19*Inputs!$B$4</f>
        <v>0</v>
      </c>
      <c r="E23" s="10" t="n">
        <f aca="false">E19*Inputs!$B$4</f>
        <v>0</v>
      </c>
      <c r="F23" s="10" t="n">
        <f aca="false">F19*Inputs!$B$4</f>
        <v>0</v>
      </c>
      <c r="G23" s="10" t="n">
        <f aca="false">G19*Inputs!$B$4</f>
        <v>0</v>
      </c>
      <c r="H23" s="10" t="n">
        <f aca="false">H19*Inputs!$B$4</f>
        <v>6</v>
      </c>
      <c r="I23" s="10" t="n">
        <f aca="false">I19*Inputs!$B$4</f>
        <v>6</v>
      </c>
      <c r="J23" s="10" t="n">
        <f aca="false">J19*Inputs!$B$4</f>
        <v>6</v>
      </c>
      <c r="K23" s="10" t="n">
        <f aca="false">K19*Inputs!$B$4</f>
        <v>10</v>
      </c>
      <c r="L23" s="10" t="n">
        <f aca="false">L19*Inputs!$B$4</f>
        <v>10</v>
      </c>
      <c r="M23" s="10" t="n">
        <f aca="false">M19*Inputs!$B$4</f>
        <v>10</v>
      </c>
      <c r="N23" s="10" t="n">
        <f aca="false">N19*Inputs!$B$4</f>
        <v>14</v>
      </c>
      <c r="O23" s="10" t="n">
        <f aca="false">O19*Inputs!$B$4</f>
        <v>14</v>
      </c>
      <c r="P23" s="10" t="n">
        <f aca="false">P19*Inputs!$B$4</f>
        <v>14</v>
      </c>
      <c r="Q23" s="10" t="n">
        <f aca="false">Q19*Inputs!$B$4</f>
        <v>14</v>
      </c>
      <c r="R23" s="10" t="n">
        <f aca="false">R19*Inputs!$B$4</f>
        <v>14</v>
      </c>
      <c r="S23" s="10" t="n">
        <f aca="false">S19*Inputs!$B$4</f>
        <v>14</v>
      </c>
      <c r="T23" s="10" t="n">
        <f aca="false">T19*Inputs!$B$4</f>
        <v>14</v>
      </c>
      <c r="U23" s="10" t="n">
        <f aca="false">U19*Inputs!$B$4</f>
        <v>14</v>
      </c>
      <c r="V23" s="10" t="n">
        <f aca="false">V19*Inputs!$B$4</f>
        <v>14</v>
      </c>
      <c r="W23" s="10" t="n">
        <f aca="false">W19*Inputs!$B$4</f>
        <v>14</v>
      </c>
      <c r="X23" s="10" t="n">
        <f aca="false">X19*Inputs!$B$4</f>
        <v>14</v>
      </c>
      <c r="Y23" s="10" t="n">
        <f aca="false">Y19*Inputs!$B$4</f>
        <v>14</v>
      </c>
      <c r="Z23" s="10" t="n">
        <f aca="false">Z19*Inputs!$B$4</f>
        <v>14</v>
      </c>
      <c r="AA23" s="10" t="n">
        <f aca="false">AA19*Inputs!$B$4</f>
        <v>14</v>
      </c>
      <c r="AB23" s="10" t="n">
        <f aca="false">AB19*Inputs!$B$4</f>
        <v>14</v>
      </c>
      <c r="AC23" s="10" t="n">
        <f aca="false">AC19*Inputs!$B$4</f>
        <v>14</v>
      </c>
      <c r="AD23" s="10" t="n">
        <f aca="false">AD19*Inputs!$B$4</f>
        <v>14</v>
      </c>
      <c r="AE23" s="10" t="n">
        <f aca="false">AE19*Inputs!$B$4</f>
        <v>14</v>
      </c>
      <c r="AF23" s="10" t="n">
        <f aca="false">AF19*Inputs!$B$4</f>
        <v>14</v>
      </c>
      <c r="AG23" s="10" t="n">
        <f aca="false">AG19*Inputs!$B$4</f>
        <v>14</v>
      </c>
      <c r="AH23" s="10" t="n">
        <f aca="false">AH19*Inputs!$B$4</f>
        <v>14</v>
      </c>
      <c r="AI23" s="10" t="n">
        <f aca="false">AI19*Inputs!$B$4</f>
        <v>14</v>
      </c>
      <c r="AJ23" s="10" t="n">
        <f aca="false">AJ19*Inputs!$B$4</f>
        <v>14</v>
      </c>
      <c r="AK23" s="10" t="n">
        <f aca="false">AK19*Inputs!$B$4</f>
        <v>14</v>
      </c>
      <c r="AL23" s="10" t="n">
        <f aca="false">AL19*Inputs!$B$4</f>
        <v>14</v>
      </c>
      <c r="AM23" s="10" t="n">
        <f aca="false">AM19*Inputs!$B$4</f>
        <v>14</v>
      </c>
      <c r="AN23" s="10" t="n">
        <f aca="false">AN19*Inputs!$B$4</f>
        <v>14</v>
      </c>
      <c r="AO23" s="10" t="n">
        <f aca="false">AO19*Inputs!$B$4</f>
        <v>14</v>
      </c>
      <c r="AP23" s="10" t="n">
        <f aca="false">AP19*Inputs!$B$4</f>
        <v>14</v>
      </c>
      <c r="AQ23" s="10" t="n">
        <f aca="false">AQ19*Inputs!$B$4</f>
        <v>14</v>
      </c>
      <c r="AR23" s="10" t="n">
        <f aca="false">AR19*Inputs!$B$4</f>
        <v>14</v>
      </c>
      <c r="AS23" s="10" t="n">
        <f aca="false">AS19*Inputs!$B$4</f>
        <v>14</v>
      </c>
      <c r="AT23" s="10" t="n">
        <f aca="false">AT19*Inputs!$B$4</f>
        <v>14</v>
      </c>
      <c r="AU23" s="10" t="n">
        <f aca="false">AU19*Inputs!$B$4</f>
        <v>14</v>
      </c>
      <c r="AV23" s="10" t="n">
        <f aca="false">AV19*Inputs!$B$4</f>
        <v>14</v>
      </c>
      <c r="AW23" s="10" t="n">
        <f aca="false">AW19*Inputs!$B$4</f>
        <v>14</v>
      </c>
      <c r="AX23" s="10" t="n">
        <f aca="false">AX19*Inputs!$B$4</f>
        <v>14</v>
      </c>
      <c r="AY23" s="10" t="n">
        <f aca="false">AY19*Inputs!$B$4</f>
        <v>14</v>
      </c>
      <c r="AZ23" s="10" t="n">
        <f aca="false">AZ19*Inputs!$B$4</f>
        <v>14</v>
      </c>
      <c r="BA23" s="10" t="n">
        <f aca="false">BA19*Inputs!$B$4</f>
        <v>14</v>
      </c>
      <c r="BB23" s="10" t="n">
        <f aca="false">BB19*Inputs!$B$4</f>
        <v>14</v>
      </c>
      <c r="BC23" s="10" t="n">
        <f aca="false">BC19*Inputs!$B$4</f>
        <v>14</v>
      </c>
      <c r="BD23" s="10" t="n">
        <f aca="false">BD19*Inputs!$B$4</f>
        <v>14</v>
      </c>
      <c r="BE23" s="10" t="n">
        <f aca="false">BE19*Inputs!$B$4</f>
        <v>14</v>
      </c>
      <c r="BF23" s="10" t="n">
        <f aca="false">BF19*Inputs!$B$4</f>
        <v>14</v>
      </c>
      <c r="BG23" s="10" t="n">
        <f aca="false">BG19*Inputs!$B$4</f>
        <v>14</v>
      </c>
      <c r="BH23" s="10" t="n">
        <f aca="false">BH19*Inputs!$B$4</f>
        <v>14</v>
      </c>
      <c r="BI23" s="10" t="n">
        <f aca="false">BI19*Inputs!$B$4</f>
        <v>14</v>
      </c>
      <c r="BJ23" s="10" t="n">
        <f aca="false">BJ19*Inputs!$B$4</f>
        <v>14</v>
      </c>
      <c r="BK23" s="10" t="n">
        <f aca="false">BK19*Inputs!$B$4</f>
        <v>14</v>
      </c>
      <c r="BL23" s="10" t="n">
        <f aca="false">BL19*Inputs!$B$4</f>
        <v>14</v>
      </c>
      <c r="BM23" s="10" t="n">
        <f aca="false">BM19*Inputs!$B$4</f>
        <v>14</v>
      </c>
      <c r="BN23" s="10" t="n">
        <f aca="false">BN19*Inputs!$B$4</f>
        <v>14</v>
      </c>
      <c r="BO23" s="10" t="n">
        <f aca="false">BO19*Inputs!$B$4</f>
        <v>14</v>
      </c>
      <c r="BP23" s="10" t="n">
        <f aca="false">BP19*Inputs!$B$4</f>
        <v>14</v>
      </c>
      <c r="BQ23" s="10" t="n">
        <f aca="false">BQ19*Inputs!$B$4</f>
        <v>14</v>
      </c>
      <c r="BR23" s="10" t="n">
        <f aca="false">BR19*Inputs!$B$4</f>
        <v>14</v>
      </c>
      <c r="BS23" s="10" t="n">
        <f aca="false">BS19*Inputs!$B$4</f>
        <v>14</v>
      </c>
      <c r="BT23" s="10" t="n">
        <f aca="false">BT19*Inputs!$B$4</f>
        <v>14</v>
      </c>
      <c r="BU23" s="10" t="n">
        <f aca="false">BU19*Inputs!$B$4</f>
        <v>14</v>
      </c>
      <c r="BV23" s="10" t="n">
        <f aca="false">BV19*Inputs!$B$4</f>
        <v>14</v>
      </c>
      <c r="BW23" s="10" t="n">
        <f aca="false">BW19*Inputs!$B$4</f>
        <v>14</v>
      </c>
      <c r="BX23" s="10" t="n">
        <f aca="false">BX19*Inputs!$B$4</f>
        <v>14</v>
      </c>
      <c r="BY23" s="10" t="n">
        <f aca="false">BY19*Inputs!$B$4</f>
        <v>14</v>
      </c>
      <c r="BZ23" s="10" t="n">
        <f aca="false">BZ19*Inputs!$B$4</f>
        <v>14</v>
      </c>
      <c r="CA23" s="10" t="n">
        <f aca="false">CA19*Inputs!$B$4</f>
        <v>14</v>
      </c>
      <c r="CB23" s="10" t="n">
        <f aca="false">CB19*Inputs!$B$4</f>
        <v>14</v>
      </c>
      <c r="CC23" s="10" t="n">
        <f aca="false">CC19*Inputs!$B$4</f>
        <v>14</v>
      </c>
      <c r="CD23" s="10" t="n">
        <f aca="false">CD19*Inputs!$B$4</f>
        <v>14</v>
      </c>
      <c r="CE23" s="10" t="n">
        <f aca="false">CE19*Inputs!$B$4</f>
        <v>14</v>
      </c>
      <c r="CF23" s="10" t="n">
        <f aca="false">CF19*Inputs!$B$4</f>
        <v>14</v>
      </c>
      <c r="CG23" s="10" t="n">
        <f aca="false">CG19*Inputs!$B$4</f>
        <v>14</v>
      </c>
      <c r="CH23" s="10" t="n">
        <f aca="false">CH19*Inputs!$B$4</f>
        <v>14</v>
      </c>
      <c r="CI23" s="10" t="n">
        <f aca="false">CI19*Inputs!$B$4</f>
        <v>14</v>
      </c>
      <c r="CJ23" s="10" t="n">
        <f aca="false">CJ19*Inputs!$B$4</f>
        <v>14</v>
      </c>
      <c r="CK23" s="10" t="n">
        <f aca="false">CK19*Inputs!$B$4</f>
        <v>14</v>
      </c>
      <c r="CL23" s="10" t="n">
        <f aca="false">CL19*Inputs!$B$4</f>
        <v>14</v>
      </c>
      <c r="CM23" s="10" t="n">
        <f aca="false">CM19*Inputs!$B$4</f>
        <v>14</v>
      </c>
      <c r="CN23" s="10" t="n">
        <f aca="false">CN19*Inputs!$B$4</f>
        <v>14</v>
      </c>
      <c r="CO23" s="10" t="n">
        <f aca="false">CO19*Inputs!$B$4</f>
        <v>14</v>
      </c>
      <c r="CP23" s="10" t="n">
        <f aca="false">CP19*Inputs!$B$4</f>
        <v>14</v>
      </c>
      <c r="CQ23" s="10" t="n">
        <f aca="false">CQ19*Inputs!$B$4</f>
        <v>14</v>
      </c>
      <c r="CR23" s="10" t="n">
        <f aca="false">CR19*Inputs!$B$4</f>
        <v>14</v>
      </c>
      <c r="CS23" s="10" t="n">
        <f aca="false">CS19*Inputs!$B$4</f>
        <v>14</v>
      </c>
      <c r="CT23" s="10" t="n">
        <f aca="false">CT19*Inputs!$B$4</f>
        <v>14</v>
      </c>
      <c r="CU23" s="10" t="n">
        <f aca="false">CU19*Inputs!$B$4</f>
        <v>14</v>
      </c>
      <c r="CV23" s="10" t="n">
        <f aca="false">CV19*Inputs!$B$4</f>
        <v>14</v>
      </c>
      <c r="CW23" s="10" t="n">
        <f aca="false">CW19*Inputs!$B$4</f>
        <v>14</v>
      </c>
      <c r="CX23" s="10" t="n">
        <f aca="false">CX19*Inputs!$B$4</f>
        <v>14</v>
      </c>
      <c r="CY23" s="10" t="n">
        <f aca="false">CY19*Inputs!$B$4</f>
        <v>14</v>
      </c>
      <c r="CZ23" s="10" t="n">
        <f aca="false">CZ19*Inputs!$B$4</f>
        <v>14</v>
      </c>
      <c r="DA23" s="10" t="n">
        <f aca="false">DA19*Inputs!$B$4</f>
        <v>14</v>
      </c>
      <c r="DB23" s="10" t="n">
        <f aca="false">DB19*Inputs!$B$4</f>
        <v>14</v>
      </c>
      <c r="DC23" s="10" t="n">
        <f aca="false">DC19*Inputs!$B$4</f>
        <v>14</v>
      </c>
      <c r="DD23" s="10" t="n">
        <f aca="false">DD19*Inputs!$B$4</f>
        <v>14</v>
      </c>
      <c r="DE23" s="10" t="n">
        <f aca="false">DE19*Inputs!$B$4</f>
        <v>14</v>
      </c>
      <c r="DF23" s="10" t="n">
        <f aca="false">DF19*Inputs!$B$4</f>
        <v>14</v>
      </c>
      <c r="DG23" s="10" t="n">
        <f aca="false">DG19*Inputs!$B$4</f>
        <v>14</v>
      </c>
      <c r="DH23" s="10" t="n">
        <f aca="false">DH19*Inputs!$B$4</f>
        <v>14</v>
      </c>
      <c r="DI23" s="10" t="n">
        <f aca="false">DI19*Inputs!$B$4</f>
        <v>14</v>
      </c>
      <c r="DJ23" s="10" t="n">
        <f aca="false">DJ19*Inputs!$B$4</f>
        <v>14</v>
      </c>
      <c r="DK23" s="10" t="n">
        <f aca="false">DK19*Inputs!$B$4</f>
        <v>14</v>
      </c>
      <c r="DL23" s="10" t="n">
        <f aca="false">DL19*Inputs!$B$4</f>
        <v>14</v>
      </c>
      <c r="DM23" s="10" t="n">
        <f aca="false">DM19*Inputs!$B$4</f>
        <v>14</v>
      </c>
      <c r="DN23" s="10" t="n">
        <f aca="false">DN19*Inputs!$B$4</f>
        <v>14</v>
      </c>
      <c r="DO23" s="10" t="n">
        <f aca="false">DO19*Inputs!$B$4</f>
        <v>14</v>
      </c>
      <c r="DP23" s="10" t="n">
        <f aca="false">DP19*Inputs!$B$4</f>
        <v>14</v>
      </c>
      <c r="DQ23" s="10" t="n">
        <f aca="false">DQ19*Inputs!$B$4</f>
        <v>14</v>
      </c>
      <c r="DR23" s="10" t="n">
        <f aca="false">DR19*Inputs!$B$4</f>
        <v>14</v>
      </c>
    </row>
    <row r="24" customFormat="false" ht="15" hidden="false" customHeight="false" outlineLevel="0" collapsed="false">
      <c r="A24" s="9" t="s">
        <v>193</v>
      </c>
      <c r="B24" s="10" t="n">
        <f aca="false">B22*Inputs!$B$5</f>
        <v>0</v>
      </c>
      <c r="C24" s="10" t="n">
        <f aca="false">C22*Inputs!$B$5</f>
        <v>0</v>
      </c>
      <c r="D24" s="10" t="n">
        <f aca="false">D22*Inputs!$B$5</f>
        <v>0</v>
      </c>
      <c r="E24" s="10" t="n">
        <f aca="false">E22*Inputs!$B$5</f>
        <v>0</v>
      </c>
      <c r="F24" s="10" t="n">
        <f aca="false">F22*Inputs!$B$5</f>
        <v>0</v>
      </c>
      <c r="G24" s="10" t="n">
        <f aca="false">G22*Inputs!$B$5</f>
        <v>0</v>
      </c>
      <c r="H24" s="10" t="n">
        <f aca="false">H22*Inputs!$B$5</f>
        <v>1.5</v>
      </c>
      <c r="I24" s="10" t="n">
        <f aca="false">I22*Inputs!$B$5</f>
        <v>1.5</v>
      </c>
      <c r="J24" s="10" t="n">
        <f aca="false">J22*Inputs!$B$5</f>
        <v>1.5</v>
      </c>
      <c r="K24" s="10" t="n">
        <f aca="false">K22*Inputs!$B$5</f>
        <v>2.5</v>
      </c>
      <c r="L24" s="10" t="n">
        <f aca="false">L22*Inputs!$B$5</f>
        <v>2.5</v>
      </c>
      <c r="M24" s="10" t="n">
        <f aca="false">M22*Inputs!$B$5</f>
        <v>2.5</v>
      </c>
      <c r="N24" s="10" t="n">
        <f aca="false">N22*Inputs!$B$5</f>
        <v>3.5</v>
      </c>
      <c r="O24" s="10" t="n">
        <f aca="false">O22*Inputs!$B$5</f>
        <v>3.5</v>
      </c>
      <c r="P24" s="10" t="n">
        <f aca="false">P22*Inputs!$B$5</f>
        <v>3.5</v>
      </c>
      <c r="Q24" s="10" t="n">
        <f aca="false">Q22*Inputs!$B$5</f>
        <v>3.5</v>
      </c>
      <c r="R24" s="10" t="n">
        <f aca="false">R22*Inputs!$B$5</f>
        <v>3.5</v>
      </c>
      <c r="S24" s="10" t="n">
        <f aca="false">S22*Inputs!$B$5</f>
        <v>3.5</v>
      </c>
      <c r="T24" s="10" t="n">
        <f aca="false">T22*Inputs!$B$5</f>
        <v>3.5</v>
      </c>
      <c r="U24" s="10" t="n">
        <f aca="false">U22*Inputs!$B$5</f>
        <v>3.5</v>
      </c>
      <c r="V24" s="10" t="n">
        <f aca="false">V22*Inputs!$B$5</f>
        <v>3.5</v>
      </c>
      <c r="W24" s="10" t="n">
        <f aca="false">W22*Inputs!$B$5</f>
        <v>3.5</v>
      </c>
      <c r="X24" s="10" t="n">
        <f aca="false">X22*Inputs!$B$5</f>
        <v>3.5</v>
      </c>
      <c r="Y24" s="10" t="n">
        <f aca="false">Y22*Inputs!$B$5</f>
        <v>3.5</v>
      </c>
      <c r="Z24" s="10" t="n">
        <f aca="false">Z22*Inputs!$B$5</f>
        <v>3.5</v>
      </c>
      <c r="AA24" s="10" t="n">
        <f aca="false">AA22*Inputs!$B$5</f>
        <v>3.5</v>
      </c>
      <c r="AB24" s="10" t="n">
        <f aca="false">AB22*Inputs!$B$5</f>
        <v>3.5</v>
      </c>
      <c r="AC24" s="10" t="n">
        <f aca="false">AC22*Inputs!$B$5</f>
        <v>3.5</v>
      </c>
      <c r="AD24" s="10" t="n">
        <f aca="false">AD22*Inputs!$B$5</f>
        <v>3.5</v>
      </c>
      <c r="AE24" s="10" t="n">
        <f aca="false">AE22*Inputs!$B$5</f>
        <v>3.5</v>
      </c>
      <c r="AF24" s="10" t="n">
        <f aca="false">AF22*Inputs!$B$5</f>
        <v>3.5</v>
      </c>
      <c r="AG24" s="10" t="n">
        <f aca="false">AG22*Inputs!$B$5</f>
        <v>3.5</v>
      </c>
      <c r="AH24" s="10" t="n">
        <f aca="false">AH22*Inputs!$B$5</f>
        <v>3.5</v>
      </c>
      <c r="AI24" s="10" t="n">
        <f aca="false">AI22*Inputs!$B$5</f>
        <v>3.5</v>
      </c>
      <c r="AJ24" s="10" t="n">
        <f aca="false">AJ22*Inputs!$B$5</f>
        <v>3.5</v>
      </c>
      <c r="AK24" s="10" t="n">
        <f aca="false">AK22*Inputs!$B$5</f>
        <v>3.5</v>
      </c>
      <c r="AL24" s="10" t="n">
        <f aca="false">AL22*Inputs!$B$5</f>
        <v>3.5</v>
      </c>
      <c r="AM24" s="10" t="n">
        <f aca="false">AM22*Inputs!$B$5</f>
        <v>3.5</v>
      </c>
      <c r="AN24" s="10" t="n">
        <f aca="false">AN22*Inputs!$B$5</f>
        <v>3.5</v>
      </c>
      <c r="AO24" s="10" t="n">
        <f aca="false">AO22*Inputs!$B$5</f>
        <v>3.5</v>
      </c>
      <c r="AP24" s="10" t="n">
        <f aca="false">AP22*Inputs!$B$5</f>
        <v>3.5</v>
      </c>
      <c r="AQ24" s="10" t="n">
        <f aca="false">AQ22*Inputs!$B$5</f>
        <v>3.5</v>
      </c>
      <c r="AR24" s="10" t="n">
        <f aca="false">AR22*Inputs!$B$5</f>
        <v>3.5</v>
      </c>
      <c r="AS24" s="10" t="n">
        <f aca="false">AS22*Inputs!$B$5</f>
        <v>3.5</v>
      </c>
      <c r="AT24" s="10" t="n">
        <f aca="false">AT22*Inputs!$B$5</f>
        <v>3.5</v>
      </c>
      <c r="AU24" s="10" t="n">
        <f aca="false">AU22*Inputs!$B$5</f>
        <v>3.5</v>
      </c>
      <c r="AV24" s="10" t="n">
        <f aca="false">AV22*Inputs!$B$5</f>
        <v>3.5</v>
      </c>
      <c r="AW24" s="10" t="n">
        <f aca="false">AW22*Inputs!$B$5</f>
        <v>3.5</v>
      </c>
      <c r="AX24" s="10" t="n">
        <f aca="false">AX22*Inputs!$B$5</f>
        <v>3.5</v>
      </c>
      <c r="AY24" s="10" t="n">
        <f aca="false">AY22*Inputs!$B$5</f>
        <v>3.5</v>
      </c>
      <c r="AZ24" s="10" t="n">
        <f aca="false">AZ22*Inputs!$B$5</f>
        <v>3.5</v>
      </c>
      <c r="BA24" s="10" t="n">
        <f aca="false">BA22*Inputs!$B$5</f>
        <v>3.5</v>
      </c>
      <c r="BB24" s="10" t="n">
        <f aca="false">BB22*Inputs!$B$5</f>
        <v>3.5</v>
      </c>
      <c r="BC24" s="10" t="n">
        <f aca="false">BC22*Inputs!$B$5</f>
        <v>3.5</v>
      </c>
      <c r="BD24" s="10" t="n">
        <f aca="false">BD22*Inputs!$B$5</f>
        <v>3.5</v>
      </c>
      <c r="BE24" s="10" t="n">
        <f aca="false">BE22*Inputs!$B$5</f>
        <v>3.5</v>
      </c>
      <c r="BF24" s="10" t="n">
        <f aca="false">BF22*Inputs!$B$5</f>
        <v>3.5</v>
      </c>
      <c r="BG24" s="10" t="n">
        <f aca="false">BG22*Inputs!$B$5</f>
        <v>3.5</v>
      </c>
      <c r="BH24" s="10" t="n">
        <f aca="false">BH22*Inputs!$B$5</f>
        <v>3.5</v>
      </c>
      <c r="BI24" s="10" t="n">
        <f aca="false">BI22*Inputs!$B$5</f>
        <v>3.5</v>
      </c>
      <c r="BJ24" s="10" t="n">
        <f aca="false">BJ22*Inputs!$B$5</f>
        <v>3.5</v>
      </c>
      <c r="BK24" s="10" t="n">
        <f aca="false">BK22*Inputs!$B$5</f>
        <v>3.5</v>
      </c>
      <c r="BL24" s="10" t="n">
        <f aca="false">BL22*Inputs!$B$5</f>
        <v>3.5</v>
      </c>
      <c r="BM24" s="10" t="n">
        <f aca="false">BM22*Inputs!$B$5</f>
        <v>3.5</v>
      </c>
      <c r="BN24" s="10" t="n">
        <f aca="false">BN22*Inputs!$B$5</f>
        <v>3.5</v>
      </c>
      <c r="BO24" s="10" t="n">
        <f aca="false">BO22*Inputs!$B$5</f>
        <v>3.5</v>
      </c>
      <c r="BP24" s="10" t="n">
        <f aca="false">BP22*Inputs!$B$5</f>
        <v>3.5</v>
      </c>
      <c r="BQ24" s="10" t="n">
        <f aca="false">BQ22*Inputs!$B$5</f>
        <v>3.5</v>
      </c>
      <c r="BR24" s="10" t="n">
        <f aca="false">BR22*Inputs!$B$5</f>
        <v>3.5</v>
      </c>
      <c r="BS24" s="10" t="n">
        <f aca="false">BS22*Inputs!$B$5</f>
        <v>3.5</v>
      </c>
      <c r="BT24" s="10" t="n">
        <f aca="false">BT22*Inputs!$B$5</f>
        <v>3.5</v>
      </c>
      <c r="BU24" s="10" t="n">
        <f aca="false">BU22*Inputs!$B$5</f>
        <v>3.5</v>
      </c>
      <c r="BV24" s="10" t="n">
        <f aca="false">BV22*Inputs!$B$5</f>
        <v>3.5</v>
      </c>
      <c r="BW24" s="10" t="n">
        <f aca="false">BW22*Inputs!$B$5</f>
        <v>3.5</v>
      </c>
      <c r="BX24" s="10" t="n">
        <f aca="false">BX22*Inputs!$B$5</f>
        <v>3.5</v>
      </c>
      <c r="BY24" s="10" t="n">
        <f aca="false">BY22*Inputs!$B$5</f>
        <v>3.5</v>
      </c>
      <c r="BZ24" s="10" t="n">
        <f aca="false">BZ22*Inputs!$B$5</f>
        <v>3.5</v>
      </c>
      <c r="CA24" s="10" t="n">
        <f aca="false">CA22*Inputs!$B$5</f>
        <v>3.5</v>
      </c>
      <c r="CB24" s="10" t="n">
        <f aca="false">CB22*Inputs!$B$5</f>
        <v>3.5</v>
      </c>
      <c r="CC24" s="10" t="n">
        <f aca="false">CC22*Inputs!$B$5</f>
        <v>3.5</v>
      </c>
      <c r="CD24" s="10" t="n">
        <f aca="false">CD22*Inputs!$B$5</f>
        <v>3.5</v>
      </c>
      <c r="CE24" s="10" t="n">
        <f aca="false">CE22*Inputs!$B$5</f>
        <v>3.5</v>
      </c>
      <c r="CF24" s="10" t="n">
        <f aca="false">CF22*Inputs!$B$5</f>
        <v>3.5</v>
      </c>
      <c r="CG24" s="10" t="n">
        <f aca="false">CG22*Inputs!$B$5</f>
        <v>3.5</v>
      </c>
      <c r="CH24" s="10" t="n">
        <f aca="false">CH22*Inputs!$B$5</f>
        <v>3.5</v>
      </c>
      <c r="CI24" s="10" t="n">
        <f aca="false">CI22*Inputs!$B$5</f>
        <v>3.5</v>
      </c>
      <c r="CJ24" s="10" t="n">
        <f aca="false">CJ22*Inputs!$B$5</f>
        <v>3.5</v>
      </c>
      <c r="CK24" s="10" t="n">
        <f aca="false">CK22*Inputs!$B$5</f>
        <v>3.5</v>
      </c>
      <c r="CL24" s="10" t="n">
        <f aca="false">CL22*Inputs!$B$5</f>
        <v>3.5</v>
      </c>
      <c r="CM24" s="10" t="n">
        <f aca="false">CM22*Inputs!$B$5</f>
        <v>3.5</v>
      </c>
      <c r="CN24" s="10" t="n">
        <f aca="false">CN22*Inputs!$B$5</f>
        <v>3.5</v>
      </c>
      <c r="CO24" s="10" t="n">
        <f aca="false">CO22*Inputs!$B$5</f>
        <v>3.5</v>
      </c>
      <c r="CP24" s="10" t="n">
        <f aca="false">CP22*Inputs!$B$5</f>
        <v>3.5</v>
      </c>
      <c r="CQ24" s="10" t="n">
        <f aca="false">CQ22*Inputs!$B$5</f>
        <v>3.5</v>
      </c>
      <c r="CR24" s="10" t="n">
        <f aca="false">CR22*Inputs!$B$5</f>
        <v>3.5</v>
      </c>
      <c r="CS24" s="10" t="n">
        <f aca="false">CS22*Inputs!$B$5</f>
        <v>3.5</v>
      </c>
      <c r="CT24" s="10" t="n">
        <f aca="false">CT22*Inputs!$B$5</f>
        <v>3.5</v>
      </c>
      <c r="CU24" s="10" t="n">
        <f aca="false">CU22*Inputs!$B$5</f>
        <v>3.5</v>
      </c>
      <c r="CV24" s="10" t="n">
        <f aca="false">CV22*Inputs!$B$5</f>
        <v>3.5</v>
      </c>
      <c r="CW24" s="10" t="n">
        <f aca="false">CW22*Inputs!$B$5</f>
        <v>3.5</v>
      </c>
      <c r="CX24" s="10" t="n">
        <f aca="false">CX22*Inputs!$B$5</f>
        <v>3.5</v>
      </c>
      <c r="CY24" s="10" t="n">
        <f aca="false">CY22*Inputs!$B$5</f>
        <v>3.5</v>
      </c>
      <c r="CZ24" s="10" t="n">
        <f aca="false">CZ22*Inputs!$B$5</f>
        <v>3.5</v>
      </c>
      <c r="DA24" s="10" t="n">
        <f aca="false">DA22*Inputs!$B$5</f>
        <v>3.5</v>
      </c>
      <c r="DB24" s="10" t="n">
        <f aca="false">DB22*Inputs!$B$5</f>
        <v>3.5</v>
      </c>
      <c r="DC24" s="10" t="n">
        <f aca="false">DC22*Inputs!$B$5</f>
        <v>3.5</v>
      </c>
      <c r="DD24" s="10" t="n">
        <f aca="false">DD22*Inputs!$B$5</f>
        <v>3.5</v>
      </c>
      <c r="DE24" s="10" t="n">
        <f aca="false">DE22*Inputs!$B$5</f>
        <v>3.5</v>
      </c>
      <c r="DF24" s="10" t="n">
        <f aca="false">DF22*Inputs!$B$5</f>
        <v>3.5</v>
      </c>
      <c r="DG24" s="10" t="n">
        <f aca="false">DG22*Inputs!$B$5</f>
        <v>3.5</v>
      </c>
      <c r="DH24" s="10" t="n">
        <f aca="false">DH22*Inputs!$B$5</f>
        <v>3.5</v>
      </c>
      <c r="DI24" s="10" t="n">
        <f aca="false">DI22*Inputs!$B$5</f>
        <v>3.5</v>
      </c>
      <c r="DJ24" s="10" t="n">
        <f aca="false">DJ22*Inputs!$B$5</f>
        <v>3.5</v>
      </c>
      <c r="DK24" s="10" t="n">
        <f aca="false">DK22*Inputs!$B$5</f>
        <v>3.5</v>
      </c>
      <c r="DL24" s="10" t="n">
        <f aca="false">DL22*Inputs!$B$5</f>
        <v>3.5</v>
      </c>
      <c r="DM24" s="10" t="n">
        <f aca="false">DM22*Inputs!$B$5</f>
        <v>3.5</v>
      </c>
      <c r="DN24" s="10" t="n">
        <f aca="false">DN22*Inputs!$B$5</f>
        <v>3.5</v>
      </c>
      <c r="DO24" s="10" t="n">
        <f aca="false">DO22*Inputs!$B$5</f>
        <v>3.5</v>
      </c>
      <c r="DP24" s="10" t="n">
        <f aca="false">DP22*Inputs!$B$5</f>
        <v>3.5</v>
      </c>
      <c r="DQ24" s="10" t="n">
        <f aca="false">DQ22*Inputs!$B$5</f>
        <v>3.5</v>
      </c>
      <c r="DR24" s="10" t="n">
        <f aca="false">DR22*Inputs!$B$5</f>
        <v>3.5</v>
      </c>
    </row>
    <row r="25" customFormat="false" ht="15" hidden="false" customHeight="false" outlineLevel="0" collapsed="false">
      <c r="A25" s="9" t="s">
        <v>194</v>
      </c>
      <c r="B25" s="10" t="n">
        <f aca="false">B22*Inputs!$B$6</f>
        <v>0</v>
      </c>
      <c r="C25" s="10" t="n">
        <f aca="false">C22*Inputs!$B$6</f>
        <v>0</v>
      </c>
      <c r="D25" s="10" t="n">
        <f aca="false">D22*Inputs!$B$6</f>
        <v>0</v>
      </c>
      <c r="E25" s="10" t="n">
        <f aca="false">E22*Inputs!$B$6</f>
        <v>0</v>
      </c>
      <c r="F25" s="10" t="n">
        <f aca="false">F22*Inputs!$B$6</f>
        <v>0</v>
      </c>
      <c r="G25" s="10" t="n">
        <f aca="false">G22*Inputs!$B$6</f>
        <v>0</v>
      </c>
      <c r="H25" s="10" t="n">
        <f aca="false">H22*Inputs!$B$6</f>
        <v>7.5</v>
      </c>
      <c r="I25" s="10" t="n">
        <f aca="false">I22*Inputs!$B$6</f>
        <v>7.5</v>
      </c>
      <c r="J25" s="10" t="n">
        <f aca="false">J22*Inputs!$B$6</f>
        <v>7.5</v>
      </c>
      <c r="K25" s="10" t="n">
        <f aca="false">K22*Inputs!$B$6</f>
        <v>12.5</v>
      </c>
      <c r="L25" s="10" t="n">
        <f aca="false">L22*Inputs!$B$6</f>
        <v>12.5</v>
      </c>
      <c r="M25" s="10" t="n">
        <f aca="false">M22*Inputs!$B$6</f>
        <v>12.5</v>
      </c>
      <c r="N25" s="10" t="n">
        <f aca="false">N22*Inputs!$B$6</f>
        <v>17.5</v>
      </c>
      <c r="O25" s="10" t="n">
        <f aca="false">O22*Inputs!$B$6</f>
        <v>17.5</v>
      </c>
      <c r="P25" s="10" t="n">
        <f aca="false">P22*Inputs!$B$6</f>
        <v>17.5</v>
      </c>
      <c r="Q25" s="10" t="n">
        <f aca="false">Q22*Inputs!$B$6</f>
        <v>17.5</v>
      </c>
      <c r="R25" s="10" t="n">
        <f aca="false">R22*Inputs!$B$6</f>
        <v>17.5</v>
      </c>
      <c r="S25" s="10" t="n">
        <f aca="false">S22*Inputs!$B$6</f>
        <v>17.5</v>
      </c>
      <c r="T25" s="10" t="n">
        <f aca="false">T22*Inputs!$B$6</f>
        <v>17.5</v>
      </c>
      <c r="U25" s="10" t="n">
        <f aca="false">U22*Inputs!$B$6</f>
        <v>17.5</v>
      </c>
      <c r="V25" s="10" t="n">
        <f aca="false">V22*Inputs!$B$6</f>
        <v>17.5</v>
      </c>
      <c r="W25" s="10" t="n">
        <f aca="false">W22*Inputs!$B$6</f>
        <v>17.5</v>
      </c>
      <c r="X25" s="10" t="n">
        <f aca="false">X22*Inputs!$B$6</f>
        <v>17.5</v>
      </c>
      <c r="Y25" s="10" t="n">
        <f aca="false">Y22*Inputs!$B$6</f>
        <v>17.5</v>
      </c>
      <c r="Z25" s="10" t="n">
        <f aca="false">Z22*Inputs!$B$6</f>
        <v>17.5</v>
      </c>
      <c r="AA25" s="10" t="n">
        <f aca="false">AA22*Inputs!$B$6</f>
        <v>17.5</v>
      </c>
      <c r="AB25" s="10" t="n">
        <f aca="false">AB22*Inputs!$B$6</f>
        <v>17.5</v>
      </c>
      <c r="AC25" s="10" t="n">
        <f aca="false">AC22*Inputs!$B$6</f>
        <v>17.5</v>
      </c>
      <c r="AD25" s="10" t="n">
        <f aca="false">AD22*Inputs!$B$6</f>
        <v>17.5</v>
      </c>
      <c r="AE25" s="10" t="n">
        <f aca="false">AE22*Inputs!$B$6</f>
        <v>17.5</v>
      </c>
      <c r="AF25" s="10" t="n">
        <f aca="false">AF22*Inputs!$B$6</f>
        <v>17.5</v>
      </c>
      <c r="AG25" s="10" t="n">
        <f aca="false">AG22*Inputs!$B$6</f>
        <v>17.5</v>
      </c>
      <c r="AH25" s="10" t="n">
        <f aca="false">AH22*Inputs!$B$6</f>
        <v>17.5</v>
      </c>
      <c r="AI25" s="10" t="n">
        <f aca="false">AI22*Inputs!$B$6</f>
        <v>17.5</v>
      </c>
      <c r="AJ25" s="10" t="n">
        <f aca="false">AJ22*Inputs!$B$6</f>
        <v>17.5</v>
      </c>
      <c r="AK25" s="10" t="n">
        <f aca="false">AK22*Inputs!$B$6</f>
        <v>17.5</v>
      </c>
      <c r="AL25" s="10" t="n">
        <f aca="false">AL22*Inputs!$B$6</f>
        <v>17.5</v>
      </c>
      <c r="AM25" s="10" t="n">
        <f aca="false">AM22*Inputs!$B$6</f>
        <v>17.5</v>
      </c>
      <c r="AN25" s="10" t="n">
        <f aca="false">AN22*Inputs!$B$6</f>
        <v>17.5</v>
      </c>
      <c r="AO25" s="10" t="n">
        <f aca="false">AO22*Inputs!$B$6</f>
        <v>17.5</v>
      </c>
      <c r="AP25" s="10" t="n">
        <f aca="false">AP22*Inputs!$B$6</f>
        <v>17.5</v>
      </c>
      <c r="AQ25" s="10" t="n">
        <f aca="false">AQ22*Inputs!$B$6</f>
        <v>17.5</v>
      </c>
      <c r="AR25" s="10" t="n">
        <f aca="false">AR22*Inputs!$B$6</f>
        <v>17.5</v>
      </c>
      <c r="AS25" s="10" t="n">
        <f aca="false">AS22*Inputs!$B$6</f>
        <v>17.5</v>
      </c>
      <c r="AT25" s="10" t="n">
        <f aca="false">AT22*Inputs!$B$6</f>
        <v>17.5</v>
      </c>
      <c r="AU25" s="10" t="n">
        <f aca="false">AU22*Inputs!$B$6</f>
        <v>17.5</v>
      </c>
      <c r="AV25" s="10" t="n">
        <f aca="false">AV22*Inputs!$B$6</f>
        <v>17.5</v>
      </c>
      <c r="AW25" s="10" t="n">
        <f aca="false">AW22*Inputs!$B$6</f>
        <v>17.5</v>
      </c>
      <c r="AX25" s="10" t="n">
        <f aca="false">AX22*Inputs!$B$6</f>
        <v>17.5</v>
      </c>
      <c r="AY25" s="10" t="n">
        <f aca="false">AY22*Inputs!$B$6</f>
        <v>17.5</v>
      </c>
      <c r="AZ25" s="10" t="n">
        <f aca="false">AZ22*Inputs!$B$6</f>
        <v>17.5</v>
      </c>
      <c r="BA25" s="10" t="n">
        <f aca="false">BA22*Inputs!$B$6</f>
        <v>17.5</v>
      </c>
      <c r="BB25" s="10" t="n">
        <f aca="false">BB22*Inputs!$B$6</f>
        <v>17.5</v>
      </c>
      <c r="BC25" s="10" t="n">
        <f aca="false">BC22*Inputs!$B$6</f>
        <v>17.5</v>
      </c>
      <c r="BD25" s="10" t="n">
        <f aca="false">BD22*Inputs!$B$6</f>
        <v>17.5</v>
      </c>
      <c r="BE25" s="10" t="n">
        <f aca="false">BE22*Inputs!$B$6</f>
        <v>17.5</v>
      </c>
      <c r="BF25" s="10" t="n">
        <f aca="false">BF22*Inputs!$B$6</f>
        <v>17.5</v>
      </c>
      <c r="BG25" s="10" t="n">
        <f aca="false">BG22*Inputs!$B$6</f>
        <v>17.5</v>
      </c>
      <c r="BH25" s="10" t="n">
        <f aca="false">BH22*Inputs!$B$6</f>
        <v>17.5</v>
      </c>
      <c r="BI25" s="10" t="n">
        <f aca="false">BI22*Inputs!$B$6</f>
        <v>17.5</v>
      </c>
      <c r="BJ25" s="10" t="n">
        <f aca="false">BJ22*Inputs!$B$6</f>
        <v>17.5</v>
      </c>
      <c r="BK25" s="10" t="n">
        <f aca="false">BK22*Inputs!$B$6</f>
        <v>17.5</v>
      </c>
      <c r="BL25" s="10" t="n">
        <f aca="false">BL22*Inputs!$B$6</f>
        <v>17.5</v>
      </c>
      <c r="BM25" s="10" t="n">
        <f aca="false">BM22*Inputs!$B$6</f>
        <v>17.5</v>
      </c>
      <c r="BN25" s="10" t="n">
        <f aca="false">BN22*Inputs!$B$6</f>
        <v>17.5</v>
      </c>
      <c r="BO25" s="10" t="n">
        <f aca="false">BO22*Inputs!$B$6</f>
        <v>17.5</v>
      </c>
      <c r="BP25" s="10" t="n">
        <f aca="false">BP22*Inputs!$B$6</f>
        <v>17.5</v>
      </c>
      <c r="BQ25" s="10" t="n">
        <f aca="false">BQ22*Inputs!$B$6</f>
        <v>17.5</v>
      </c>
      <c r="BR25" s="10" t="n">
        <f aca="false">BR22*Inputs!$B$6</f>
        <v>17.5</v>
      </c>
      <c r="BS25" s="10" t="n">
        <f aca="false">BS22*Inputs!$B$6</f>
        <v>17.5</v>
      </c>
      <c r="BT25" s="10" t="n">
        <f aca="false">BT22*Inputs!$B$6</f>
        <v>17.5</v>
      </c>
      <c r="BU25" s="10" t="n">
        <f aca="false">BU22*Inputs!$B$6</f>
        <v>17.5</v>
      </c>
      <c r="BV25" s="10" t="n">
        <f aca="false">BV22*Inputs!$B$6</f>
        <v>17.5</v>
      </c>
      <c r="BW25" s="10" t="n">
        <f aca="false">BW22*Inputs!$B$6</f>
        <v>17.5</v>
      </c>
      <c r="BX25" s="10" t="n">
        <f aca="false">BX22*Inputs!$B$6</f>
        <v>17.5</v>
      </c>
      <c r="BY25" s="10" t="n">
        <f aca="false">BY22*Inputs!$B$6</f>
        <v>17.5</v>
      </c>
      <c r="BZ25" s="10" t="n">
        <f aca="false">BZ22*Inputs!$B$6</f>
        <v>17.5</v>
      </c>
      <c r="CA25" s="10" t="n">
        <f aca="false">CA22*Inputs!$B$6</f>
        <v>17.5</v>
      </c>
      <c r="CB25" s="10" t="n">
        <f aca="false">CB22*Inputs!$B$6</f>
        <v>17.5</v>
      </c>
      <c r="CC25" s="10" t="n">
        <f aca="false">CC22*Inputs!$B$6</f>
        <v>17.5</v>
      </c>
      <c r="CD25" s="10" t="n">
        <f aca="false">CD22*Inputs!$B$6</f>
        <v>17.5</v>
      </c>
      <c r="CE25" s="10" t="n">
        <f aca="false">CE22*Inputs!$B$6</f>
        <v>17.5</v>
      </c>
      <c r="CF25" s="10" t="n">
        <f aca="false">CF22*Inputs!$B$6</f>
        <v>17.5</v>
      </c>
      <c r="CG25" s="10" t="n">
        <f aca="false">CG22*Inputs!$B$6</f>
        <v>17.5</v>
      </c>
      <c r="CH25" s="10" t="n">
        <f aca="false">CH22*Inputs!$B$6</f>
        <v>17.5</v>
      </c>
      <c r="CI25" s="10" t="n">
        <f aca="false">CI22*Inputs!$B$6</f>
        <v>17.5</v>
      </c>
      <c r="CJ25" s="10" t="n">
        <f aca="false">CJ22*Inputs!$B$6</f>
        <v>17.5</v>
      </c>
      <c r="CK25" s="10" t="n">
        <f aca="false">CK22*Inputs!$B$6</f>
        <v>17.5</v>
      </c>
      <c r="CL25" s="10" t="n">
        <f aca="false">CL22*Inputs!$B$6</f>
        <v>17.5</v>
      </c>
      <c r="CM25" s="10" t="n">
        <f aca="false">CM22*Inputs!$B$6</f>
        <v>17.5</v>
      </c>
      <c r="CN25" s="10" t="n">
        <f aca="false">CN22*Inputs!$B$6</f>
        <v>17.5</v>
      </c>
      <c r="CO25" s="10" t="n">
        <f aca="false">CO22*Inputs!$B$6</f>
        <v>17.5</v>
      </c>
      <c r="CP25" s="10" t="n">
        <f aca="false">CP22*Inputs!$B$6</f>
        <v>17.5</v>
      </c>
      <c r="CQ25" s="10" t="n">
        <f aca="false">CQ22*Inputs!$B$6</f>
        <v>17.5</v>
      </c>
      <c r="CR25" s="10" t="n">
        <f aca="false">CR22*Inputs!$B$6</f>
        <v>17.5</v>
      </c>
      <c r="CS25" s="10" t="n">
        <f aca="false">CS22*Inputs!$B$6</f>
        <v>17.5</v>
      </c>
      <c r="CT25" s="10" t="n">
        <f aca="false">CT22*Inputs!$B$6</f>
        <v>17.5</v>
      </c>
      <c r="CU25" s="10" t="n">
        <f aca="false">CU22*Inputs!$B$6</f>
        <v>17.5</v>
      </c>
      <c r="CV25" s="10" t="n">
        <f aca="false">CV22*Inputs!$B$6</f>
        <v>17.5</v>
      </c>
      <c r="CW25" s="10" t="n">
        <f aca="false">CW22*Inputs!$B$6</f>
        <v>17.5</v>
      </c>
      <c r="CX25" s="10" t="n">
        <f aca="false">CX22*Inputs!$B$6</f>
        <v>17.5</v>
      </c>
      <c r="CY25" s="10" t="n">
        <f aca="false">CY22*Inputs!$B$6</f>
        <v>17.5</v>
      </c>
      <c r="CZ25" s="10" t="n">
        <f aca="false">CZ22*Inputs!$B$6</f>
        <v>17.5</v>
      </c>
      <c r="DA25" s="10" t="n">
        <f aca="false">DA22*Inputs!$B$6</f>
        <v>17.5</v>
      </c>
      <c r="DB25" s="10" t="n">
        <f aca="false">DB22*Inputs!$B$6</f>
        <v>17.5</v>
      </c>
      <c r="DC25" s="10" t="n">
        <f aca="false">DC22*Inputs!$B$6</f>
        <v>17.5</v>
      </c>
      <c r="DD25" s="10" t="n">
        <f aca="false">DD22*Inputs!$B$6</f>
        <v>17.5</v>
      </c>
      <c r="DE25" s="10" t="n">
        <f aca="false">DE22*Inputs!$B$6</f>
        <v>17.5</v>
      </c>
      <c r="DF25" s="10" t="n">
        <f aca="false">DF22*Inputs!$B$6</f>
        <v>17.5</v>
      </c>
      <c r="DG25" s="10" t="n">
        <f aca="false">DG22*Inputs!$B$6</f>
        <v>17.5</v>
      </c>
      <c r="DH25" s="10" t="n">
        <f aca="false">DH22*Inputs!$B$6</f>
        <v>17.5</v>
      </c>
      <c r="DI25" s="10" t="n">
        <f aca="false">DI22*Inputs!$B$6</f>
        <v>17.5</v>
      </c>
      <c r="DJ25" s="10" t="n">
        <f aca="false">DJ22*Inputs!$B$6</f>
        <v>17.5</v>
      </c>
      <c r="DK25" s="10" t="n">
        <f aca="false">DK22*Inputs!$B$6</f>
        <v>17.5</v>
      </c>
      <c r="DL25" s="10" t="n">
        <f aca="false">DL22*Inputs!$B$6</f>
        <v>17.5</v>
      </c>
      <c r="DM25" s="10" t="n">
        <f aca="false">DM22*Inputs!$B$6</f>
        <v>17.5</v>
      </c>
      <c r="DN25" s="10" t="n">
        <f aca="false">DN22*Inputs!$B$6</f>
        <v>17.5</v>
      </c>
      <c r="DO25" s="10" t="n">
        <f aca="false">DO22*Inputs!$B$6</f>
        <v>17.5</v>
      </c>
      <c r="DP25" s="10" t="n">
        <f aca="false">DP22*Inputs!$B$6</f>
        <v>17.5</v>
      </c>
      <c r="DQ25" s="10" t="n">
        <f aca="false">DQ22*Inputs!$B$6</f>
        <v>17.5</v>
      </c>
      <c r="DR25" s="10" t="n">
        <f aca="false">DR22*Inputs!$B$6</f>
        <v>17.5</v>
      </c>
    </row>
    <row r="26" customFormat="false" ht="15" hidden="false" customHeight="false" outlineLevel="0" collapsed="false">
      <c r="A26" s="9" t="s">
        <v>195</v>
      </c>
      <c r="B26" s="10" t="n">
        <f aca="false">B22*Inputs!$B$7</f>
        <v>0</v>
      </c>
      <c r="C26" s="10" t="n">
        <f aca="false">C22*Inputs!$B$7</f>
        <v>0</v>
      </c>
      <c r="D26" s="10" t="n">
        <f aca="false">D22*Inputs!$B$7</f>
        <v>0</v>
      </c>
      <c r="E26" s="10" t="n">
        <f aca="false">E22*Inputs!$B$7</f>
        <v>0</v>
      </c>
      <c r="F26" s="10" t="n">
        <f aca="false">F22*Inputs!$B$7</f>
        <v>0</v>
      </c>
      <c r="G26" s="10" t="n">
        <f aca="false">G22*Inputs!$B$7</f>
        <v>0</v>
      </c>
      <c r="H26" s="10" t="n">
        <f aca="false">H22*Inputs!$B$7</f>
        <v>3</v>
      </c>
      <c r="I26" s="10" t="n">
        <f aca="false">I22*Inputs!$B$7</f>
        <v>3</v>
      </c>
      <c r="J26" s="10" t="n">
        <f aca="false">J22*Inputs!$B$7</f>
        <v>3</v>
      </c>
      <c r="K26" s="10" t="n">
        <f aca="false">K22*Inputs!$B$7</f>
        <v>5</v>
      </c>
      <c r="L26" s="10" t="n">
        <f aca="false">L22*Inputs!$B$7</f>
        <v>5</v>
      </c>
      <c r="M26" s="10" t="n">
        <f aca="false">M22*Inputs!$B$7</f>
        <v>5</v>
      </c>
      <c r="N26" s="10" t="n">
        <f aca="false">N22*Inputs!$B$7</f>
        <v>7</v>
      </c>
      <c r="O26" s="10" t="n">
        <f aca="false">O22*Inputs!$B$7</f>
        <v>7</v>
      </c>
      <c r="P26" s="10" t="n">
        <f aca="false">P22*Inputs!$B$7</f>
        <v>7</v>
      </c>
      <c r="Q26" s="10" t="n">
        <f aca="false">Q22*Inputs!$B$7</f>
        <v>7</v>
      </c>
      <c r="R26" s="10" t="n">
        <f aca="false">R22*Inputs!$B$7</f>
        <v>7</v>
      </c>
      <c r="S26" s="10" t="n">
        <f aca="false">S22*Inputs!$B$7</f>
        <v>7</v>
      </c>
      <c r="T26" s="10" t="n">
        <f aca="false">T22*Inputs!$B$7</f>
        <v>7</v>
      </c>
      <c r="U26" s="10" t="n">
        <f aca="false">U22*Inputs!$B$7</f>
        <v>7</v>
      </c>
      <c r="V26" s="10" t="n">
        <f aca="false">V22*Inputs!$B$7</f>
        <v>7</v>
      </c>
      <c r="W26" s="10" t="n">
        <f aca="false">W22*Inputs!$B$7</f>
        <v>7</v>
      </c>
      <c r="X26" s="10" t="n">
        <f aca="false">X22*Inputs!$B$7</f>
        <v>7</v>
      </c>
      <c r="Y26" s="10" t="n">
        <f aca="false">Y22*Inputs!$B$7</f>
        <v>7</v>
      </c>
      <c r="Z26" s="10" t="n">
        <f aca="false">Z22*Inputs!$B$7</f>
        <v>7</v>
      </c>
      <c r="AA26" s="10" t="n">
        <f aca="false">AA22*Inputs!$B$7</f>
        <v>7</v>
      </c>
      <c r="AB26" s="10" t="n">
        <f aca="false">AB22*Inputs!$B$7</f>
        <v>7</v>
      </c>
      <c r="AC26" s="10" t="n">
        <f aca="false">AC22*Inputs!$B$7</f>
        <v>7</v>
      </c>
      <c r="AD26" s="10" t="n">
        <f aca="false">AD22*Inputs!$B$7</f>
        <v>7</v>
      </c>
      <c r="AE26" s="10" t="n">
        <f aca="false">AE22*Inputs!$B$7</f>
        <v>7</v>
      </c>
      <c r="AF26" s="10" t="n">
        <f aca="false">AF22*Inputs!$B$7</f>
        <v>7</v>
      </c>
      <c r="AG26" s="10" t="n">
        <f aca="false">AG22*Inputs!$B$7</f>
        <v>7</v>
      </c>
      <c r="AH26" s="10" t="n">
        <f aca="false">AH22*Inputs!$B$7</f>
        <v>7</v>
      </c>
      <c r="AI26" s="10" t="n">
        <f aca="false">AI22*Inputs!$B$7</f>
        <v>7</v>
      </c>
      <c r="AJ26" s="10" t="n">
        <f aca="false">AJ22*Inputs!$B$7</f>
        <v>7</v>
      </c>
      <c r="AK26" s="10" t="n">
        <f aca="false">AK22*Inputs!$B$7</f>
        <v>7</v>
      </c>
      <c r="AL26" s="10" t="n">
        <f aca="false">AL22*Inputs!$B$7</f>
        <v>7</v>
      </c>
      <c r="AM26" s="10" t="n">
        <f aca="false">AM22*Inputs!$B$7</f>
        <v>7</v>
      </c>
      <c r="AN26" s="10" t="n">
        <f aca="false">AN22*Inputs!$B$7</f>
        <v>7</v>
      </c>
      <c r="AO26" s="10" t="n">
        <f aca="false">AO22*Inputs!$B$7</f>
        <v>7</v>
      </c>
      <c r="AP26" s="10" t="n">
        <f aca="false">AP22*Inputs!$B$7</f>
        <v>7</v>
      </c>
      <c r="AQ26" s="10" t="n">
        <f aca="false">AQ22*Inputs!$B$7</f>
        <v>7</v>
      </c>
      <c r="AR26" s="10" t="n">
        <f aca="false">AR22*Inputs!$B$7</f>
        <v>7</v>
      </c>
      <c r="AS26" s="10" t="n">
        <f aca="false">AS22*Inputs!$B$7</f>
        <v>7</v>
      </c>
      <c r="AT26" s="10" t="n">
        <f aca="false">AT22*Inputs!$B$7</f>
        <v>7</v>
      </c>
      <c r="AU26" s="10" t="n">
        <f aca="false">AU22*Inputs!$B$7</f>
        <v>7</v>
      </c>
      <c r="AV26" s="10" t="n">
        <f aca="false">AV22*Inputs!$B$7</f>
        <v>7</v>
      </c>
      <c r="AW26" s="10" t="n">
        <f aca="false">AW22*Inputs!$B$7</f>
        <v>7</v>
      </c>
      <c r="AX26" s="10" t="n">
        <f aca="false">AX22*Inputs!$B$7</f>
        <v>7</v>
      </c>
      <c r="AY26" s="10" t="n">
        <f aca="false">AY22*Inputs!$B$7</f>
        <v>7</v>
      </c>
      <c r="AZ26" s="10" t="n">
        <f aca="false">AZ22*Inputs!$B$7</f>
        <v>7</v>
      </c>
      <c r="BA26" s="10" t="n">
        <f aca="false">BA22*Inputs!$B$7</f>
        <v>7</v>
      </c>
      <c r="BB26" s="10" t="n">
        <f aca="false">BB22*Inputs!$B$7</f>
        <v>7</v>
      </c>
      <c r="BC26" s="10" t="n">
        <f aca="false">BC22*Inputs!$B$7</f>
        <v>7</v>
      </c>
      <c r="BD26" s="10" t="n">
        <f aca="false">BD22*Inputs!$B$7</f>
        <v>7</v>
      </c>
      <c r="BE26" s="10" t="n">
        <f aca="false">BE22*Inputs!$B$7</f>
        <v>7</v>
      </c>
      <c r="BF26" s="10" t="n">
        <f aca="false">BF22*Inputs!$B$7</f>
        <v>7</v>
      </c>
      <c r="BG26" s="10" t="n">
        <f aca="false">BG22*Inputs!$B$7</f>
        <v>7</v>
      </c>
      <c r="BH26" s="10" t="n">
        <f aca="false">BH22*Inputs!$B$7</f>
        <v>7</v>
      </c>
      <c r="BI26" s="10" t="n">
        <f aca="false">BI22*Inputs!$B$7</f>
        <v>7</v>
      </c>
      <c r="BJ26" s="10" t="n">
        <f aca="false">BJ22*Inputs!$B$7</f>
        <v>7</v>
      </c>
      <c r="BK26" s="10" t="n">
        <f aca="false">BK22*Inputs!$B$7</f>
        <v>7</v>
      </c>
      <c r="BL26" s="10" t="n">
        <f aca="false">BL22*Inputs!$B$7</f>
        <v>7</v>
      </c>
      <c r="BM26" s="10" t="n">
        <f aca="false">BM22*Inputs!$B$7</f>
        <v>7</v>
      </c>
      <c r="BN26" s="10" t="n">
        <f aca="false">BN22*Inputs!$B$7</f>
        <v>7</v>
      </c>
      <c r="BO26" s="10" t="n">
        <f aca="false">BO22*Inputs!$B$7</f>
        <v>7</v>
      </c>
      <c r="BP26" s="10" t="n">
        <f aca="false">BP22*Inputs!$B$7</f>
        <v>7</v>
      </c>
      <c r="BQ26" s="10" t="n">
        <f aca="false">BQ22*Inputs!$B$7</f>
        <v>7</v>
      </c>
      <c r="BR26" s="10" t="n">
        <f aca="false">BR22*Inputs!$B$7</f>
        <v>7</v>
      </c>
      <c r="BS26" s="10" t="n">
        <f aca="false">BS22*Inputs!$B$7</f>
        <v>7</v>
      </c>
      <c r="BT26" s="10" t="n">
        <f aca="false">BT22*Inputs!$B$7</f>
        <v>7</v>
      </c>
      <c r="BU26" s="10" t="n">
        <f aca="false">BU22*Inputs!$B$7</f>
        <v>7</v>
      </c>
      <c r="BV26" s="10" t="n">
        <f aca="false">BV22*Inputs!$B$7</f>
        <v>7</v>
      </c>
      <c r="BW26" s="10" t="n">
        <f aca="false">BW22*Inputs!$B$7</f>
        <v>7</v>
      </c>
      <c r="BX26" s="10" t="n">
        <f aca="false">BX22*Inputs!$B$7</f>
        <v>7</v>
      </c>
      <c r="BY26" s="10" t="n">
        <f aca="false">BY22*Inputs!$B$7</f>
        <v>7</v>
      </c>
      <c r="BZ26" s="10" t="n">
        <f aca="false">BZ22*Inputs!$B$7</f>
        <v>7</v>
      </c>
      <c r="CA26" s="10" t="n">
        <f aca="false">CA22*Inputs!$B$7</f>
        <v>7</v>
      </c>
      <c r="CB26" s="10" t="n">
        <f aca="false">CB22*Inputs!$B$7</f>
        <v>7</v>
      </c>
      <c r="CC26" s="10" t="n">
        <f aca="false">CC22*Inputs!$B$7</f>
        <v>7</v>
      </c>
      <c r="CD26" s="10" t="n">
        <f aca="false">CD22*Inputs!$B$7</f>
        <v>7</v>
      </c>
      <c r="CE26" s="10" t="n">
        <f aca="false">CE22*Inputs!$B$7</f>
        <v>7</v>
      </c>
      <c r="CF26" s="10" t="n">
        <f aca="false">CF22*Inputs!$B$7</f>
        <v>7</v>
      </c>
      <c r="CG26" s="10" t="n">
        <f aca="false">CG22*Inputs!$B$7</f>
        <v>7</v>
      </c>
      <c r="CH26" s="10" t="n">
        <f aca="false">CH22*Inputs!$B$7</f>
        <v>7</v>
      </c>
      <c r="CI26" s="10" t="n">
        <f aca="false">CI22*Inputs!$B$7</f>
        <v>7</v>
      </c>
      <c r="CJ26" s="10" t="n">
        <f aca="false">CJ22*Inputs!$B$7</f>
        <v>7</v>
      </c>
      <c r="CK26" s="10" t="n">
        <f aca="false">CK22*Inputs!$B$7</f>
        <v>7</v>
      </c>
      <c r="CL26" s="10" t="n">
        <f aca="false">CL22*Inputs!$B$7</f>
        <v>7</v>
      </c>
      <c r="CM26" s="10" t="n">
        <f aca="false">CM22*Inputs!$B$7</f>
        <v>7</v>
      </c>
      <c r="CN26" s="10" t="n">
        <f aca="false">CN22*Inputs!$B$7</f>
        <v>7</v>
      </c>
      <c r="CO26" s="10" t="n">
        <f aca="false">CO22*Inputs!$B$7</f>
        <v>7</v>
      </c>
      <c r="CP26" s="10" t="n">
        <f aca="false">CP22*Inputs!$B$7</f>
        <v>7</v>
      </c>
      <c r="CQ26" s="10" t="n">
        <f aca="false">CQ22*Inputs!$B$7</f>
        <v>7</v>
      </c>
      <c r="CR26" s="10" t="n">
        <f aca="false">CR22*Inputs!$B$7</f>
        <v>7</v>
      </c>
      <c r="CS26" s="10" t="n">
        <f aca="false">CS22*Inputs!$B$7</f>
        <v>7</v>
      </c>
      <c r="CT26" s="10" t="n">
        <f aca="false">CT22*Inputs!$B$7</f>
        <v>7</v>
      </c>
      <c r="CU26" s="10" t="n">
        <f aca="false">CU22*Inputs!$B$7</f>
        <v>7</v>
      </c>
      <c r="CV26" s="10" t="n">
        <f aca="false">CV22*Inputs!$B$7</f>
        <v>7</v>
      </c>
      <c r="CW26" s="10" t="n">
        <f aca="false">CW22*Inputs!$B$7</f>
        <v>7</v>
      </c>
      <c r="CX26" s="10" t="n">
        <f aca="false">CX22*Inputs!$B$7</f>
        <v>7</v>
      </c>
      <c r="CY26" s="10" t="n">
        <f aca="false">CY22*Inputs!$B$7</f>
        <v>7</v>
      </c>
      <c r="CZ26" s="10" t="n">
        <f aca="false">CZ22*Inputs!$B$7</f>
        <v>7</v>
      </c>
      <c r="DA26" s="10" t="n">
        <f aca="false">DA22*Inputs!$B$7</f>
        <v>7</v>
      </c>
      <c r="DB26" s="10" t="n">
        <f aca="false">DB22*Inputs!$B$7</f>
        <v>7</v>
      </c>
      <c r="DC26" s="10" t="n">
        <f aca="false">DC22*Inputs!$B$7</f>
        <v>7</v>
      </c>
      <c r="DD26" s="10" t="n">
        <f aca="false">DD22*Inputs!$B$7</f>
        <v>7</v>
      </c>
      <c r="DE26" s="10" t="n">
        <f aca="false">DE22*Inputs!$B$7</f>
        <v>7</v>
      </c>
      <c r="DF26" s="10" t="n">
        <f aca="false">DF22*Inputs!$B$7</f>
        <v>7</v>
      </c>
      <c r="DG26" s="10" t="n">
        <f aca="false">DG22*Inputs!$B$7</f>
        <v>7</v>
      </c>
      <c r="DH26" s="10" t="n">
        <f aca="false">DH22*Inputs!$B$7</f>
        <v>7</v>
      </c>
      <c r="DI26" s="10" t="n">
        <f aca="false">DI22*Inputs!$B$7</f>
        <v>7</v>
      </c>
      <c r="DJ26" s="10" t="n">
        <f aca="false">DJ22*Inputs!$B$7</f>
        <v>7</v>
      </c>
      <c r="DK26" s="10" t="n">
        <f aca="false">DK22*Inputs!$B$7</f>
        <v>7</v>
      </c>
      <c r="DL26" s="10" t="n">
        <f aca="false">DL22*Inputs!$B$7</f>
        <v>7</v>
      </c>
      <c r="DM26" s="10" t="n">
        <f aca="false">DM22*Inputs!$B$7</f>
        <v>7</v>
      </c>
      <c r="DN26" s="10" t="n">
        <f aca="false">DN22*Inputs!$B$7</f>
        <v>7</v>
      </c>
      <c r="DO26" s="10" t="n">
        <f aca="false">DO22*Inputs!$B$7</f>
        <v>7</v>
      </c>
      <c r="DP26" s="10" t="n">
        <f aca="false">DP22*Inputs!$B$7</f>
        <v>7</v>
      </c>
      <c r="DQ26" s="10" t="n">
        <f aca="false">DQ22*Inputs!$B$7</f>
        <v>7</v>
      </c>
      <c r="DR26" s="10" t="n">
        <f aca="false">DR22*Inputs!$B$7</f>
        <v>7</v>
      </c>
    </row>
    <row r="27" customFormat="false" ht="15" hidden="false" customHeight="false" outlineLevel="0" collapsed="false">
      <c r="A27" s="9" t="s">
        <v>196</v>
      </c>
      <c r="B27" s="10" t="n">
        <f aca="false">B22*Inputs!$B$8</f>
        <v>0</v>
      </c>
      <c r="C27" s="10" t="n">
        <f aca="false">C22*Inputs!$B$8</f>
        <v>0</v>
      </c>
      <c r="D27" s="10" t="n">
        <f aca="false">D22*Inputs!$B$8</f>
        <v>0</v>
      </c>
      <c r="E27" s="10" t="n">
        <f aca="false">E22*Inputs!$B$8</f>
        <v>0</v>
      </c>
      <c r="F27" s="10" t="n">
        <f aca="false">F22*Inputs!$B$8</f>
        <v>0</v>
      </c>
      <c r="G27" s="10" t="n">
        <f aca="false">G22*Inputs!$B$8</f>
        <v>0</v>
      </c>
      <c r="H27" s="10" t="n">
        <f aca="false">H22*Inputs!$B$8</f>
        <v>4.5</v>
      </c>
      <c r="I27" s="10" t="n">
        <f aca="false">I22*Inputs!$B$8</f>
        <v>4.5</v>
      </c>
      <c r="J27" s="10" t="n">
        <f aca="false">J22*Inputs!$B$8</f>
        <v>4.5</v>
      </c>
      <c r="K27" s="10" t="n">
        <f aca="false">K22*Inputs!$B$8</f>
        <v>7.5</v>
      </c>
      <c r="L27" s="10" t="n">
        <f aca="false">L22*Inputs!$B$8</f>
        <v>7.5</v>
      </c>
      <c r="M27" s="10" t="n">
        <f aca="false">M22*Inputs!$B$8</f>
        <v>7.5</v>
      </c>
      <c r="N27" s="10" t="n">
        <f aca="false">N22*Inputs!$B$8</f>
        <v>10.5</v>
      </c>
      <c r="O27" s="10" t="n">
        <f aca="false">O22*Inputs!$B$8</f>
        <v>10.5</v>
      </c>
      <c r="P27" s="10" t="n">
        <f aca="false">P22*Inputs!$B$8</f>
        <v>10.5</v>
      </c>
      <c r="Q27" s="10" t="n">
        <f aca="false">Q22*Inputs!$B$8</f>
        <v>10.5</v>
      </c>
      <c r="R27" s="10" t="n">
        <f aca="false">R22*Inputs!$B$8</f>
        <v>10.5</v>
      </c>
      <c r="S27" s="10" t="n">
        <f aca="false">S22*Inputs!$B$8</f>
        <v>10.5</v>
      </c>
      <c r="T27" s="10" t="n">
        <f aca="false">T22*Inputs!$B$8</f>
        <v>10.5</v>
      </c>
      <c r="U27" s="10" t="n">
        <f aca="false">U22*Inputs!$B$8</f>
        <v>10.5</v>
      </c>
      <c r="V27" s="10" t="n">
        <f aca="false">V22*Inputs!$B$8</f>
        <v>10.5</v>
      </c>
      <c r="W27" s="10" t="n">
        <f aca="false">W22*Inputs!$B$8</f>
        <v>10.5</v>
      </c>
      <c r="X27" s="10" t="n">
        <f aca="false">X22*Inputs!$B$8</f>
        <v>10.5</v>
      </c>
      <c r="Y27" s="10" t="n">
        <f aca="false">Y22*Inputs!$B$8</f>
        <v>10.5</v>
      </c>
      <c r="Z27" s="10" t="n">
        <f aca="false">Z22*Inputs!$B$8</f>
        <v>10.5</v>
      </c>
      <c r="AA27" s="10" t="n">
        <f aca="false">AA22*Inputs!$B$8</f>
        <v>10.5</v>
      </c>
      <c r="AB27" s="10" t="n">
        <f aca="false">AB22*Inputs!$B$8</f>
        <v>10.5</v>
      </c>
      <c r="AC27" s="10" t="n">
        <f aca="false">AC22*Inputs!$B$8</f>
        <v>10.5</v>
      </c>
      <c r="AD27" s="10" t="n">
        <f aca="false">AD22*Inputs!$B$8</f>
        <v>10.5</v>
      </c>
      <c r="AE27" s="10" t="n">
        <f aca="false">AE22*Inputs!$B$8</f>
        <v>10.5</v>
      </c>
      <c r="AF27" s="10" t="n">
        <f aca="false">AF22*Inputs!$B$8</f>
        <v>10.5</v>
      </c>
      <c r="AG27" s="10" t="n">
        <f aca="false">AG22*Inputs!$B$8</f>
        <v>10.5</v>
      </c>
      <c r="AH27" s="10" t="n">
        <f aca="false">AH22*Inputs!$B$8</f>
        <v>10.5</v>
      </c>
      <c r="AI27" s="10" t="n">
        <f aca="false">AI22*Inputs!$B$8</f>
        <v>10.5</v>
      </c>
      <c r="AJ27" s="10" t="n">
        <f aca="false">AJ22*Inputs!$B$8</f>
        <v>10.5</v>
      </c>
      <c r="AK27" s="10" t="n">
        <f aca="false">AK22*Inputs!$B$8</f>
        <v>10.5</v>
      </c>
      <c r="AL27" s="10" t="n">
        <f aca="false">AL22*Inputs!$B$8</f>
        <v>10.5</v>
      </c>
      <c r="AM27" s="10" t="n">
        <f aca="false">AM22*Inputs!$B$8</f>
        <v>10.5</v>
      </c>
      <c r="AN27" s="10" t="n">
        <f aca="false">AN22*Inputs!$B$8</f>
        <v>10.5</v>
      </c>
      <c r="AO27" s="10" t="n">
        <f aca="false">AO22*Inputs!$B$8</f>
        <v>10.5</v>
      </c>
      <c r="AP27" s="10" t="n">
        <f aca="false">AP22*Inputs!$B$8</f>
        <v>10.5</v>
      </c>
      <c r="AQ27" s="10" t="n">
        <f aca="false">AQ22*Inputs!$B$8</f>
        <v>10.5</v>
      </c>
      <c r="AR27" s="10" t="n">
        <f aca="false">AR22*Inputs!$B$8</f>
        <v>10.5</v>
      </c>
      <c r="AS27" s="10" t="n">
        <f aca="false">AS22*Inputs!$B$8</f>
        <v>10.5</v>
      </c>
      <c r="AT27" s="10" t="n">
        <f aca="false">AT22*Inputs!$B$8</f>
        <v>10.5</v>
      </c>
      <c r="AU27" s="10" t="n">
        <f aca="false">AU22*Inputs!$B$8</f>
        <v>10.5</v>
      </c>
      <c r="AV27" s="10" t="n">
        <f aca="false">AV22*Inputs!$B$8</f>
        <v>10.5</v>
      </c>
      <c r="AW27" s="10" t="n">
        <f aca="false">AW22*Inputs!$B$8</f>
        <v>10.5</v>
      </c>
      <c r="AX27" s="10" t="n">
        <f aca="false">AX22*Inputs!$B$8</f>
        <v>10.5</v>
      </c>
      <c r="AY27" s="10" t="n">
        <f aca="false">AY22*Inputs!$B$8</f>
        <v>10.5</v>
      </c>
      <c r="AZ27" s="10" t="n">
        <f aca="false">AZ22*Inputs!$B$8</f>
        <v>10.5</v>
      </c>
      <c r="BA27" s="10" t="n">
        <f aca="false">BA22*Inputs!$B$8</f>
        <v>10.5</v>
      </c>
      <c r="BB27" s="10" t="n">
        <f aca="false">BB22*Inputs!$B$8</f>
        <v>10.5</v>
      </c>
      <c r="BC27" s="10" t="n">
        <f aca="false">BC22*Inputs!$B$8</f>
        <v>10.5</v>
      </c>
      <c r="BD27" s="10" t="n">
        <f aca="false">BD22*Inputs!$B$8</f>
        <v>10.5</v>
      </c>
      <c r="BE27" s="10" t="n">
        <f aca="false">BE22*Inputs!$B$8</f>
        <v>10.5</v>
      </c>
      <c r="BF27" s="10" t="n">
        <f aca="false">BF22*Inputs!$B$8</f>
        <v>10.5</v>
      </c>
      <c r="BG27" s="10" t="n">
        <f aca="false">BG22*Inputs!$B$8</f>
        <v>10.5</v>
      </c>
      <c r="BH27" s="10" t="n">
        <f aca="false">BH22*Inputs!$B$8</f>
        <v>10.5</v>
      </c>
      <c r="BI27" s="10" t="n">
        <f aca="false">BI22*Inputs!$B$8</f>
        <v>10.5</v>
      </c>
      <c r="BJ27" s="10" t="n">
        <f aca="false">BJ22*Inputs!$B$8</f>
        <v>10.5</v>
      </c>
      <c r="BK27" s="10" t="n">
        <f aca="false">BK22*Inputs!$B$8</f>
        <v>10.5</v>
      </c>
      <c r="BL27" s="10" t="n">
        <f aca="false">BL22*Inputs!$B$8</f>
        <v>10.5</v>
      </c>
      <c r="BM27" s="10" t="n">
        <f aca="false">BM22*Inputs!$B$8</f>
        <v>10.5</v>
      </c>
      <c r="BN27" s="10" t="n">
        <f aca="false">BN22*Inputs!$B$8</f>
        <v>10.5</v>
      </c>
      <c r="BO27" s="10" t="n">
        <f aca="false">BO22*Inputs!$B$8</f>
        <v>10.5</v>
      </c>
      <c r="BP27" s="10" t="n">
        <f aca="false">BP22*Inputs!$B$8</f>
        <v>10.5</v>
      </c>
      <c r="BQ27" s="10" t="n">
        <f aca="false">BQ22*Inputs!$B$8</f>
        <v>10.5</v>
      </c>
      <c r="BR27" s="10" t="n">
        <f aca="false">BR22*Inputs!$B$8</f>
        <v>10.5</v>
      </c>
      <c r="BS27" s="10" t="n">
        <f aca="false">BS22*Inputs!$B$8</f>
        <v>10.5</v>
      </c>
      <c r="BT27" s="10" t="n">
        <f aca="false">BT22*Inputs!$B$8</f>
        <v>10.5</v>
      </c>
      <c r="BU27" s="10" t="n">
        <f aca="false">BU22*Inputs!$B$8</f>
        <v>10.5</v>
      </c>
      <c r="BV27" s="10" t="n">
        <f aca="false">BV22*Inputs!$B$8</f>
        <v>10.5</v>
      </c>
      <c r="BW27" s="10" t="n">
        <f aca="false">BW22*Inputs!$B$8</f>
        <v>10.5</v>
      </c>
      <c r="BX27" s="10" t="n">
        <f aca="false">BX22*Inputs!$B$8</f>
        <v>10.5</v>
      </c>
      <c r="BY27" s="10" t="n">
        <f aca="false">BY22*Inputs!$B$8</f>
        <v>10.5</v>
      </c>
      <c r="BZ27" s="10" t="n">
        <f aca="false">BZ22*Inputs!$B$8</f>
        <v>10.5</v>
      </c>
      <c r="CA27" s="10" t="n">
        <f aca="false">CA22*Inputs!$B$8</f>
        <v>10.5</v>
      </c>
      <c r="CB27" s="10" t="n">
        <f aca="false">CB22*Inputs!$B$8</f>
        <v>10.5</v>
      </c>
      <c r="CC27" s="10" t="n">
        <f aca="false">CC22*Inputs!$B$8</f>
        <v>10.5</v>
      </c>
      <c r="CD27" s="10" t="n">
        <f aca="false">CD22*Inputs!$B$8</f>
        <v>10.5</v>
      </c>
      <c r="CE27" s="10" t="n">
        <f aca="false">CE22*Inputs!$B$8</f>
        <v>10.5</v>
      </c>
      <c r="CF27" s="10" t="n">
        <f aca="false">CF22*Inputs!$B$8</f>
        <v>10.5</v>
      </c>
      <c r="CG27" s="10" t="n">
        <f aca="false">CG22*Inputs!$B$8</f>
        <v>10.5</v>
      </c>
      <c r="CH27" s="10" t="n">
        <f aca="false">CH22*Inputs!$B$8</f>
        <v>10.5</v>
      </c>
      <c r="CI27" s="10" t="n">
        <f aca="false">CI22*Inputs!$B$8</f>
        <v>10.5</v>
      </c>
      <c r="CJ27" s="10" t="n">
        <f aca="false">CJ22*Inputs!$B$8</f>
        <v>10.5</v>
      </c>
      <c r="CK27" s="10" t="n">
        <f aca="false">CK22*Inputs!$B$8</f>
        <v>10.5</v>
      </c>
      <c r="CL27" s="10" t="n">
        <f aca="false">CL22*Inputs!$B$8</f>
        <v>10.5</v>
      </c>
      <c r="CM27" s="10" t="n">
        <f aca="false">CM22*Inputs!$B$8</f>
        <v>10.5</v>
      </c>
      <c r="CN27" s="10" t="n">
        <f aca="false">CN22*Inputs!$B$8</f>
        <v>10.5</v>
      </c>
      <c r="CO27" s="10" t="n">
        <f aca="false">CO22*Inputs!$B$8</f>
        <v>10.5</v>
      </c>
      <c r="CP27" s="10" t="n">
        <f aca="false">CP22*Inputs!$B$8</f>
        <v>10.5</v>
      </c>
      <c r="CQ27" s="10" t="n">
        <f aca="false">CQ22*Inputs!$B$8</f>
        <v>10.5</v>
      </c>
      <c r="CR27" s="10" t="n">
        <f aca="false">CR22*Inputs!$B$8</f>
        <v>10.5</v>
      </c>
      <c r="CS27" s="10" t="n">
        <f aca="false">CS22*Inputs!$B$8</f>
        <v>10.5</v>
      </c>
      <c r="CT27" s="10" t="n">
        <f aca="false">CT22*Inputs!$B$8</f>
        <v>10.5</v>
      </c>
      <c r="CU27" s="10" t="n">
        <f aca="false">CU22*Inputs!$B$8</f>
        <v>10.5</v>
      </c>
      <c r="CV27" s="10" t="n">
        <f aca="false">CV22*Inputs!$B$8</f>
        <v>10.5</v>
      </c>
      <c r="CW27" s="10" t="n">
        <f aca="false">CW22*Inputs!$B$8</f>
        <v>10.5</v>
      </c>
      <c r="CX27" s="10" t="n">
        <f aca="false">CX22*Inputs!$B$8</f>
        <v>10.5</v>
      </c>
      <c r="CY27" s="10" t="n">
        <f aca="false">CY22*Inputs!$B$8</f>
        <v>10.5</v>
      </c>
      <c r="CZ27" s="10" t="n">
        <f aca="false">CZ22*Inputs!$B$8</f>
        <v>10.5</v>
      </c>
      <c r="DA27" s="10" t="n">
        <f aca="false">DA22*Inputs!$B$8</f>
        <v>10.5</v>
      </c>
      <c r="DB27" s="10" t="n">
        <f aca="false">DB22*Inputs!$B$8</f>
        <v>10.5</v>
      </c>
      <c r="DC27" s="10" t="n">
        <f aca="false">DC22*Inputs!$B$8</f>
        <v>10.5</v>
      </c>
      <c r="DD27" s="10" t="n">
        <f aca="false">DD22*Inputs!$B$8</f>
        <v>10.5</v>
      </c>
      <c r="DE27" s="10" t="n">
        <f aca="false">DE22*Inputs!$B$8</f>
        <v>10.5</v>
      </c>
      <c r="DF27" s="10" t="n">
        <f aca="false">DF22*Inputs!$B$8</f>
        <v>10.5</v>
      </c>
      <c r="DG27" s="10" t="n">
        <f aca="false">DG22*Inputs!$B$8</f>
        <v>10.5</v>
      </c>
      <c r="DH27" s="10" t="n">
        <f aca="false">DH22*Inputs!$B$8</f>
        <v>10.5</v>
      </c>
      <c r="DI27" s="10" t="n">
        <f aca="false">DI22*Inputs!$B$8</f>
        <v>10.5</v>
      </c>
      <c r="DJ27" s="10" t="n">
        <f aca="false">DJ22*Inputs!$B$8</f>
        <v>10.5</v>
      </c>
      <c r="DK27" s="10" t="n">
        <f aca="false">DK22*Inputs!$B$8</f>
        <v>10.5</v>
      </c>
      <c r="DL27" s="10" t="n">
        <f aca="false">DL22*Inputs!$B$8</f>
        <v>10.5</v>
      </c>
      <c r="DM27" s="10" t="n">
        <f aca="false">DM22*Inputs!$B$8</f>
        <v>10.5</v>
      </c>
      <c r="DN27" s="10" t="n">
        <f aca="false">DN22*Inputs!$B$8</f>
        <v>10.5</v>
      </c>
      <c r="DO27" s="10" t="n">
        <f aca="false">DO22*Inputs!$B$8</f>
        <v>10.5</v>
      </c>
      <c r="DP27" s="10" t="n">
        <f aca="false">DP22*Inputs!$B$8</f>
        <v>10.5</v>
      </c>
      <c r="DQ27" s="10" t="n">
        <f aca="false">DQ22*Inputs!$B$8</f>
        <v>10.5</v>
      </c>
      <c r="DR27" s="10" t="n">
        <f aca="false">DR22*Inputs!$B$8</f>
        <v>10.5</v>
      </c>
    </row>
    <row r="28" customFormat="false" ht="15" hidden="false" customHeight="false" outlineLevel="0" collapsed="false">
      <c r="A28" s="9" t="s">
        <v>197</v>
      </c>
      <c r="B28" s="10" t="n">
        <f aca="false">IF(B$1=Inputs!$B$34,Inputs!$B$34,Inputs!$B$12*Inputs!$B$13/Inputs!$B$32)</f>
        <v>0</v>
      </c>
      <c r="C28" s="10" t="n">
        <f aca="false">IF(C$1=Inputs!$B$34,Inputs!$B$34,Inputs!$B$12*Inputs!$B$13/Inputs!$B$32)</f>
        <v>0.4</v>
      </c>
      <c r="D28" s="10" t="n">
        <f aca="false">IF(D$1=Inputs!$B$34,Inputs!$B$34,Inputs!$B$12*Inputs!$B$13/Inputs!$B$32)</f>
        <v>0.4</v>
      </c>
      <c r="E28" s="10" t="n">
        <f aca="false">IF(E$1=Inputs!$B$34,Inputs!$B$34,Inputs!$B$12*Inputs!$B$13/Inputs!$B$32)</f>
        <v>0.4</v>
      </c>
      <c r="F28" s="10" t="n">
        <f aca="false">IF(F$1=Inputs!$B$34,Inputs!$B$34,Inputs!$B$12*Inputs!$B$13/Inputs!$B$32)</f>
        <v>0.4</v>
      </c>
      <c r="G28" s="10" t="n">
        <f aca="false">IF(G$1=Inputs!$B$34,Inputs!$B$34,Inputs!$B$12*Inputs!$B$13/Inputs!$B$32)</f>
        <v>0.4</v>
      </c>
      <c r="H28" s="10" t="n">
        <f aca="false">IF(H$1=Inputs!$B$34,Inputs!$B$34,Inputs!$B$12*Inputs!$B$13/Inputs!$B$32)</f>
        <v>0.4</v>
      </c>
      <c r="I28" s="10" t="n">
        <f aca="false">IF(I$1=Inputs!$B$34,Inputs!$B$34,Inputs!$B$12*Inputs!$B$13/Inputs!$B$32)</f>
        <v>0.4</v>
      </c>
      <c r="J28" s="10" t="n">
        <f aca="false">IF(J$1=Inputs!$B$34,Inputs!$B$34,Inputs!$B$12*Inputs!$B$13/Inputs!$B$32)</f>
        <v>0.4</v>
      </c>
      <c r="K28" s="10" t="n">
        <f aca="false">IF(K$1=Inputs!$B$34,Inputs!$B$34,Inputs!$B$12*Inputs!$B$13/Inputs!$B$32)</f>
        <v>0.4</v>
      </c>
      <c r="L28" s="10" t="n">
        <f aca="false">IF(L$1=Inputs!$B$34,Inputs!$B$34,Inputs!$B$12*Inputs!$B$13/Inputs!$B$32)</f>
        <v>0.4</v>
      </c>
      <c r="M28" s="10" t="n">
        <f aca="false">IF(M$1=Inputs!$B$34,Inputs!$B$34,Inputs!$B$12*Inputs!$B$13/Inputs!$B$32)</f>
        <v>0.4</v>
      </c>
      <c r="N28" s="10" t="n">
        <f aca="false">IF(N$1=Inputs!$B$34,Inputs!$B$34,Inputs!$B$12*Inputs!$B$13/Inputs!$B$32)</f>
        <v>0.4</v>
      </c>
      <c r="O28" s="10" t="n">
        <f aca="false">IF(O$1=Inputs!$B$34,Inputs!$B$34,Inputs!$B$12*Inputs!$B$13/Inputs!$B$32)</f>
        <v>0.4</v>
      </c>
      <c r="P28" s="10" t="n">
        <f aca="false">IF(P$1=Inputs!$B$34,Inputs!$B$34,Inputs!$B$12*Inputs!$B$13/Inputs!$B$32)</f>
        <v>0.4</v>
      </c>
      <c r="Q28" s="10" t="n">
        <f aca="false">IF(Q$1=Inputs!$B$34,Inputs!$B$34,Inputs!$B$12*Inputs!$B$13/Inputs!$B$32)</f>
        <v>0.4</v>
      </c>
      <c r="R28" s="10" t="n">
        <f aca="false">IF(R$1=Inputs!$B$34,Inputs!$B$34,Inputs!$B$12*Inputs!$B$13/Inputs!$B$32)</f>
        <v>0.4</v>
      </c>
      <c r="S28" s="10" t="n">
        <f aca="false">IF(S$1=Inputs!$B$34,Inputs!$B$34,Inputs!$B$12*Inputs!$B$13/Inputs!$B$32)</f>
        <v>0.4</v>
      </c>
      <c r="T28" s="10" t="n">
        <f aca="false">IF(T$1=Inputs!$B$34,Inputs!$B$34,Inputs!$B$12*Inputs!$B$13/Inputs!$B$32)</f>
        <v>0.4</v>
      </c>
      <c r="U28" s="10" t="n">
        <f aca="false">IF(U$1=Inputs!$B$34,Inputs!$B$34,Inputs!$B$12*Inputs!$B$13/Inputs!$B$32)</f>
        <v>0.4</v>
      </c>
      <c r="V28" s="10" t="n">
        <f aca="false">IF(V$1=Inputs!$B$34,Inputs!$B$34,Inputs!$B$12*Inputs!$B$13/Inputs!$B$32)</f>
        <v>0.4</v>
      </c>
      <c r="W28" s="10" t="n">
        <f aca="false">IF(W$1=Inputs!$B$34,Inputs!$B$34,Inputs!$B$12*Inputs!$B$13/Inputs!$B$32)</f>
        <v>0.4</v>
      </c>
      <c r="X28" s="10" t="n">
        <f aca="false">IF(X$1=Inputs!$B$34,Inputs!$B$34,Inputs!$B$12*Inputs!$B$13/Inputs!$B$32)</f>
        <v>0.4</v>
      </c>
      <c r="Y28" s="10" t="n">
        <f aca="false">IF(Y$1=Inputs!$B$34,Inputs!$B$34,Inputs!$B$12*Inputs!$B$13/Inputs!$B$32)</f>
        <v>0.4</v>
      </c>
      <c r="Z28" s="10" t="n">
        <f aca="false">IF(Z$1=Inputs!$B$34,Inputs!$B$34,Inputs!$B$12*Inputs!$B$13/Inputs!$B$32)</f>
        <v>0.4</v>
      </c>
      <c r="AA28" s="10" t="n">
        <f aca="false">IF(AA$1=Inputs!$B$34,Inputs!$B$34,Inputs!$B$12*Inputs!$B$13/Inputs!$B$32)</f>
        <v>0.4</v>
      </c>
      <c r="AB28" s="10" t="n">
        <f aca="false">IF(AB$1=Inputs!$B$34,Inputs!$B$34,Inputs!$B$12*Inputs!$B$13/Inputs!$B$32)</f>
        <v>0.4</v>
      </c>
      <c r="AC28" s="10" t="n">
        <f aca="false">IF(AC$1=Inputs!$B$34,Inputs!$B$34,Inputs!$B$12*Inputs!$B$13/Inputs!$B$32)</f>
        <v>0.4</v>
      </c>
      <c r="AD28" s="10" t="n">
        <f aca="false">IF(AD$1=Inputs!$B$34,Inputs!$B$34,Inputs!$B$12*Inputs!$B$13/Inputs!$B$32)</f>
        <v>0.4</v>
      </c>
      <c r="AE28" s="10" t="n">
        <f aca="false">IF(AE$1=Inputs!$B$34,Inputs!$B$34,Inputs!$B$12*Inputs!$B$13/Inputs!$B$32)</f>
        <v>0.4</v>
      </c>
      <c r="AF28" s="10" t="n">
        <f aca="false">IF(AF$1=Inputs!$B$34,Inputs!$B$34,Inputs!$B$12*Inputs!$B$13/Inputs!$B$32)</f>
        <v>0.4</v>
      </c>
      <c r="AG28" s="10" t="n">
        <f aca="false">IF(AG$1=Inputs!$B$34,Inputs!$B$34,Inputs!$B$12*Inputs!$B$13/Inputs!$B$32)</f>
        <v>0.4</v>
      </c>
      <c r="AH28" s="10" t="n">
        <f aca="false">IF(AH$1=Inputs!$B$34,Inputs!$B$34,Inputs!$B$12*Inputs!$B$13/Inputs!$B$32)</f>
        <v>0.4</v>
      </c>
      <c r="AI28" s="10" t="n">
        <f aca="false">IF(AI$1=Inputs!$B$34,Inputs!$B$34,Inputs!$B$12*Inputs!$B$13/Inputs!$B$32)</f>
        <v>0.4</v>
      </c>
      <c r="AJ28" s="10" t="n">
        <f aca="false">IF(AJ$1=Inputs!$B$34,Inputs!$B$34,Inputs!$B$12*Inputs!$B$13/Inputs!$B$32)</f>
        <v>0.4</v>
      </c>
      <c r="AK28" s="10" t="n">
        <f aca="false">IF(AK$1=Inputs!$B$34,Inputs!$B$34,Inputs!$B$12*Inputs!$B$13/Inputs!$B$32)</f>
        <v>0.4</v>
      </c>
      <c r="AL28" s="10" t="n">
        <f aca="false">IF(AL$1=Inputs!$B$34,Inputs!$B$34,Inputs!$B$12*Inputs!$B$13/Inputs!$B$32)</f>
        <v>0.4</v>
      </c>
      <c r="AM28" s="10" t="n">
        <f aca="false">IF(AM$1=Inputs!$B$34,Inputs!$B$34,Inputs!$B$12*Inputs!$B$13/Inputs!$B$32)</f>
        <v>0.4</v>
      </c>
      <c r="AN28" s="10" t="n">
        <f aca="false">IF(AN$1=Inputs!$B$34,Inputs!$B$34,Inputs!$B$12*Inputs!$B$13/Inputs!$B$32)</f>
        <v>0.4</v>
      </c>
      <c r="AO28" s="10" t="n">
        <f aca="false">IF(AO$1=Inputs!$B$34,Inputs!$B$34,Inputs!$B$12*Inputs!$B$13/Inputs!$B$32)</f>
        <v>0.4</v>
      </c>
      <c r="AP28" s="10" t="n">
        <f aca="false">IF(AP$1=Inputs!$B$34,Inputs!$B$34,Inputs!$B$12*Inputs!$B$13/Inputs!$B$32)</f>
        <v>0.4</v>
      </c>
      <c r="AQ28" s="10" t="n">
        <f aca="false">IF(AQ$1=Inputs!$B$34,Inputs!$B$34,Inputs!$B$12*Inputs!$B$13/Inputs!$B$32)</f>
        <v>0.4</v>
      </c>
      <c r="AR28" s="10" t="n">
        <f aca="false">IF(AR$1=Inputs!$B$34,Inputs!$B$34,Inputs!$B$12*Inputs!$B$13/Inputs!$B$32)</f>
        <v>0.4</v>
      </c>
      <c r="AS28" s="10" t="n">
        <f aca="false">IF(AS$1=Inputs!$B$34,Inputs!$B$34,Inputs!$B$12*Inputs!$B$13/Inputs!$B$32)</f>
        <v>0.4</v>
      </c>
      <c r="AT28" s="10" t="n">
        <f aca="false">IF(AT$1=Inputs!$B$34,Inputs!$B$34,Inputs!$B$12*Inputs!$B$13/Inputs!$B$32)</f>
        <v>0.4</v>
      </c>
      <c r="AU28" s="10" t="n">
        <f aca="false">IF(AU$1=Inputs!$B$34,Inputs!$B$34,Inputs!$B$12*Inputs!$B$13/Inputs!$B$32)</f>
        <v>0.4</v>
      </c>
      <c r="AV28" s="10" t="n">
        <f aca="false">IF(AV$1=Inputs!$B$34,Inputs!$B$34,Inputs!$B$12*Inputs!$B$13/Inputs!$B$32)</f>
        <v>0.4</v>
      </c>
      <c r="AW28" s="10" t="n">
        <f aca="false">IF(AW$1=Inputs!$B$34,Inputs!$B$34,Inputs!$B$12*Inputs!$B$13/Inputs!$B$32)</f>
        <v>0.4</v>
      </c>
      <c r="AX28" s="10" t="n">
        <f aca="false">IF(AX$1=Inputs!$B$34,Inputs!$B$34,Inputs!$B$12*Inputs!$B$13/Inputs!$B$32)</f>
        <v>0.4</v>
      </c>
      <c r="AY28" s="10" t="n">
        <f aca="false">IF(AY$1=Inputs!$B$34,Inputs!$B$34,Inputs!$B$12*Inputs!$B$13/Inputs!$B$32)</f>
        <v>0.4</v>
      </c>
      <c r="AZ28" s="10" t="n">
        <f aca="false">IF(AZ$1=Inputs!$B$34,Inputs!$B$34,Inputs!$B$12*Inputs!$B$13/Inputs!$B$32)</f>
        <v>0.4</v>
      </c>
      <c r="BA28" s="10" t="n">
        <f aca="false">IF(BA$1=Inputs!$B$34,Inputs!$B$34,Inputs!$B$12*Inputs!$B$13/Inputs!$B$32)</f>
        <v>0.4</v>
      </c>
      <c r="BB28" s="10" t="n">
        <f aca="false">IF(BB$1=Inputs!$B$34,Inputs!$B$34,Inputs!$B$12*Inputs!$B$13/Inputs!$B$32)</f>
        <v>0.4</v>
      </c>
      <c r="BC28" s="10" t="n">
        <f aca="false">IF(BC$1=Inputs!$B$34,Inputs!$B$34,Inputs!$B$12*Inputs!$B$13/Inputs!$B$32)</f>
        <v>0.4</v>
      </c>
      <c r="BD28" s="10" t="n">
        <f aca="false">IF(BD$1=Inputs!$B$34,Inputs!$B$34,Inputs!$B$12*Inputs!$B$13/Inputs!$B$32)</f>
        <v>0.4</v>
      </c>
      <c r="BE28" s="10" t="n">
        <f aca="false">IF(BE$1=Inputs!$B$34,Inputs!$B$34,Inputs!$B$12*Inputs!$B$13/Inputs!$B$32)</f>
        <v>0.4</v>
      </c>
      <c r="BF28" s="10" t="n">
        <f aca="false">IF(BF$1=Inputs!$B$34,Inputs!$B$34,Inputs!$B$12*Inputs!$B$13/Inputs!$B$32)</f>
        <v>0.4</v>
      </c>
      <c r="BG28" s="10" t="n">
        <f aca="false">IF(BG$1=Inputs!$B$34,Inputs!$B$34,Inputs!$B$12*Inputs!$B$13/Inputs!$B$32)</f>
        <v>0.4</v>
      </c>
      <c r="BH28" s="10" t="n">
        <f aca="false">IF(BH$1=Inputs!$B$34,Inputs!$B$34,Inputs!$B$12*Inputs!$B$13/Inputs!$B$32)</f>
        <v>0.4</v>
      </c>
      <c r="BI28" s="10" t="n">
        <f aca="false">IF(BI$1=Inputs!$B$34,Inputs!$B$34,Inputs!$B$12*Inputs!$B$13/Inputs!$B$32)</f>
        <v>0.4</v>
      </c>
      <c r="BJ28" s="10" t="n">
        <f aca="false">IF(BJ$1=Inputs!$B$34,Inputs!$B$34,Inputs!$B$12*Inputs!$B$13/Inputs!$B$32)</f>
        <v>0.4</v>
      </c>
      <c r="BK28" s="10" t="n">
        <f aca="false">IF(BK$1=Inputs!$B$34,Inputs!$B$34,Inputs!$B$12*Inputs!$B$13/Inputs!$B$32)</f>
        <v>0.4</v>
      </c>
      <c r="BL28" s="10" t="n">
        <f aca="false">IF(BL$1=Inputs!$B$34,Inputs!$B$34,Inputs!$B$12*Inputs!$B$13/Inputs!$B$32)</f>
        <v>0.4</v>
      </c>
      <c r="BM28" s="10" t="n">
        <f aca="false">IF(BM$1=Inputs!$B$34,Inputs!$B$34,Inputs!$B$12*Inputs!$B$13/Inputs!$B$32)</f>
        <v>0.4</v>
      </c>
      <c r="BN28" s="10" t="n">
        <f aca="false">IF(BN$1=Inputs!$B$34,Inputs!$B$34,Inputs!$B$12*Inputs!$B$13/Inputs!$B$32)</f>
        <v>0.4</v>
      </c>
      <c r="BO28" s="10" t="n">
        <f aca="false">IF(BO$1=Inputs!$B$34,Inputs!$B$34,Inputs!$B$12*Inputs!$B$13/Inputs!$B$32)</f>
        <v>0.4</v>
      </c>
      <c r="BP28" s="10" t="n">
        <f aca="false">IF(BP$1=Inputs!$B$34,Inputs!$B$34,Inputs!$B$12*Inputs!$B$13/Inputs!$B$32)</f>
        <v>0.4</v>
      </c>
      <c r="BQ28" s="10" t="n">
        <f aca="false">IF(BQ$1=Inputs!$B$34,Inputs!$B$34,Inputs!$B$12*Inputs!$B$13/Inputs!$B$32)</f>
        <v>0.4</v>
      </c>
      <c r="BR28" s="10" t="n">
        <f aca="false">IF(BR$1=Inputs!$B$34,Inputs!$B$34,Inputs!$B$12*Inputs!$B$13/Inputs!$B$32)</f>
        <v>0.4</v>
      </c>
      <c r="BS28" s="10" t="n">
        <f aca="false">IF(BS$1=Inputs!$B$34,Inputs!$B$34,Inputs!$B$12*Inputs!$B$13/Inputs!$B$32)</f>
        <v>0.4</v>
      </c>
      <c r="BT28" s="10" t="n">
        <f aca="false">IF(BT$1=Inputs!$B$34,Inputs!$B$34,Inputs!$B$12*Inputs!$B$13/Inputs!$B$32)</f>
        <v>0.4</v>
      </c>
      <c r="BU28" s="10" t="n">
        <f aca="false">IF(BU$1=Inputs!$B$34,Inputs!$B$34,Inputs!$B$12*Inputs!$B$13/Inputs!$B$32)</f>
        <v>0.4</v>
      </c>
      <c r="BV28" s="10" t="n">
        <f aca="false">IF(BV$1=Inputs!$B$34,Inputs!$B$34,Inputs!$B$12*Inputs!$B$13/Inputs!$B$32)</f>
        <v>0.4</v>
      </c>
      <c r="BW28" s="10" t="n">
        <f aca="false">IF(BW$1=Inputs!$B$34,Inputs!$B$34,Inputs!$B$12*Inputs!$B$13/Inputs!$B$32)</f>
        <v>0.4</v>
      </c>
      <c r="BX28" s="10" t="n">
        <f aca="false">IF(BX$1=Inputs!$B$34,Inputs!$B$34,Inputs!$B$12*Inputs!$B$13/Inputs!$B$32)</f>
        <v>0.4</v>
      </c>
      <c r="BY28" s="10" t="n">
        <f aca="false">IF(BY$1=Inputs!$B$34,Inputs!$B$34,Inputs!$B$12*Inputs!$B$13/Inputs!$B$32)</f>
        <v>0.4</v>
      </c>
      <c r="BZ28" s="10" t="n">
        <f aca="false">IF(BZ$1=Inputs!$B$34,Inputs!$B$34,Inputs!$B$12*Inputs!$B$13/Inputs!$B$32)</f>
        <v>0.4</v>
      </c>
      <c r="CA28" s="10" t="n">
        <f aca="false">IF(CA$1=Inputs!$B$34,Inputs!$B$34,Inputs!$B$12*Inputs!$B$13/Inputs!$B$32)</f>
        <v>0.4</v>
      </c>
      <c r="CB28" s="10" t="n">
        <f aca="false">IF(CB$1=Inputs!$B$34,Inputs!$B$34,Inputs!$B$12*Inputs!$B$13/Inputs!$B$32)</f>
        <v>0.4</v>
      </c>
      <c r="CC28" s="10" t="n">
        <f aca="false">IF(CC$1=Inputs!$B$34,Inputs!$B$34,Inputs!$B$12*Inputs!$B$13/Inputs!$B$32)</f>
        <v>0.4</v>
      </c>
      <c r="CD28" s="10" t="n">
        <f aca="false">IF(CD$1=Inputs!$B$34,Inputs!$B$34,Inputs!$B$12*Inputs!$B$13/Inputs!$B$32)</f>
        <v>0.4</v>
      </c>
      <c r="CE28" s="10" t="n">
        <f aca="false">IF(CE$1=Inputs!$B$34,Inputs!$B$34,Inputs!$B$12*Inputs!$B$13/Inputs!$B$32)</f>
        <v>0.4</v>
      </c>
      <c r="CF28" s="10" t="n">
        <f aca="false">IF(CF$1=Inputs!$B$34,Inputs!$B$34,Inputs!$B$12*Inputs!$B$13/Inputs!$B$32)</f>
        <v>0.4</v>
      </c>
      <c r="CG28" s="10" t="n">
        <f aca="false">IF(CG$1=Inputs!$B$34,Inputs!$B$34,Inputs!$B$12*Inputs!$B$13/Inputs!$B$32)</f>
        <v>0.4</v>
      </c>
      <c r="CH28" s="10" t="n">
        <f aca="false">IF(CH$1=Inputs!$B$34,Inputs!$B$34,Inputs!$B$12*Inputs!$B$13/Inputs!$B$32)</f>
        <v>0.4</v>
      </c>
      <c r="CI28" s="10" t="n">
        <f aca="false">IF(CI$1=Inputs!$B$34,Inputs!$B$34,Inputs!$B$12*Inputs!$B$13/Inputs!$B$32)</f>
        <v>0.4</v>
      </c>
      <c r="CJ28" s="10" t="n">
        <f aca="false">IF(CJ$1=Inputs!$B$34,Inputs!$B$34,Inputs!$B$12*Inputs!$B$13/Inputs!$B$32)</f>
        <v>0.4</v>
      </c>
      <c r="CK28" s="10" t="n">
        <f aca="false">IF(CK$1=Inputs!$B$34,Inputs!$B$34,Inputs!$B$12*Inputs!$B$13/Inputs!$B$32)</f>
        <v>0.4</v>
      </c>
      <c r="CL28" s="10" t="n">
        <f aca="false">IF(CL$1=Inputs!$B$34,Inputs!$B$34,Inputs!$B$12*Inputs!$B$13/Inputs!$B$32)</f>
        <v>0.4</v>
      </c>
      <c r="CM28" s="10" t="n">
        <f aca="false">IF(CM$1=Inputs!$B$34,Inputs!$B$34,Inputs!$B$12*Inputs!$B$13/Inputs!$B$32)</f>
        <v>0.4</v>
      </c>
      <c r="CN28" s="10" t="n">
        <f aca="false">IF(CN$1=Inputs!$B$34,Inputs!$B$34,Inputs!$B$12*Inputs!$B$13/Inputs!$B$32)</f>
        <v>0.4</v>
      </c>
      <c r="CO28" s="10" t="n">
        <f aca="false">IF(CO$1=Inputs!$B$34,Inputs!$B$34,Inputs!$B$12*Inputs!$B$13/Inputs!$B$32)</f>
        <v>0.4</v>
      </c>
      <c r="CP28" s="10" t="n">
        <f aca="false">IF(CP$1=Inputs!$B$34,Inputs!$B$34,Inputs!$B$12*Inputs!$B$13/Inputs!$B$32)</f>
        <v>0.4</v>
      </c>
      <c r="CQ28" s="10" t="n">
        <f aca="false">IF(CQ$1=Inputs!$B$34,Inputs!$B$34,Inputs!$B$12*Inputs!$B$13/Inputs!$B$32)</f>
        <v>0.4</v>
      </c>
      <c r="CR28" s="10" t="n">
        <f aca="false">IF(CR$1=Inputs!$B$34,Inputs!$B$34,Inputs!$B$12*Inputs!$B$13/Inputs!$B$32)</f>
        <v>0.4</v>
      </c>
      <c r="CS28" s="10" t="n">
        <f aca="false">IF(CS$1=Inputs!$B$34,Inputs!$B$34,Inputs!$B$12*Inputs!$B$13/Inputs!$B$32)</f>
        <v>0.4</v>
      </c>
      <c r="CT28" s="10" t="n">
        <f aca="false">IF(CT$1=Inputs!$B$34,Inputs!$B$34,Inputs!$B$12*Inputs!$B$13/Inputs!$B$32)</f>
        <v>0.4</v>
      </c>
      <c r="CU28" s="10" t="n">
        <f aca="false">IF(CU$1=Inputs!$B$34,Inputs!$B$34,Inputs!$B$12*Inputs!$B$13/Inputs!$B$32)</f>
        <v>0.4</v>
      </c>
      <c r="CV28" s="10" t="n">
        <f aca="false">IF(CV$1=Inputs!$B$34,Inputs!$B$34,Inputs!$B$12*Inputs!$B$13/Inputs!$B$32)</f>
        <v>0.4</v>
      </c>
      <c r="CW28" s="10" t="n">
        <f aca="false">IF(CW$1=Inputs!$B$34,Inputs!$B$34,Inputs!$B$12*Inputs!$B$13/Inputs!$B$32)</f>
        <v>0.4</v>
      </c>
      <c r="CX28" s="10" t="n">
        <f aca="false">IF(CX$1=Inputs!$B$34,Inputs!$B$34,Inputs!$B$12*Inputs!$B$13/Inputs!$B$32)</f>
        <v>0.4</v>
      </c>
      <c r="CY28" s="10" t="n">
        <f aca="false">IF(CY$1=Inputs!$B$34,Inputs!$B$34,Inputs!$B$12*Inputs!$B$13/Inputs!$B$32)</f>
        <v>0.4</v>
      </c>
      <c r="CZ28" s="10" t="n">
        <f aca="false">IF(CZ$1=Inputs!$B$34,Inputs!$B$34,Inputs!$B$12*Inputs!$B$13/Inputs!$B$32)</f>
        <v>0.4</v>
      </c>
      <c r="DA28" s="10" t="n">
        <f aca="false">IF(DA$1=Inputs!$B$34,Inputs!$B$34,Inputs!$B$12*Inputs!$B$13/Inputs!$B$32)</f>
        <v>0.4</v>
      </c>
      <c r="DB28" s="10" t="n">
        <f aca="false">IF(DB$1=Inputs!$B$34,Inputs!$B$34,Inputs!$B$12*Inputs!$B$13/Inputs!$B$32)</f>
        <v>0.4</v>
      </c>
      <c r="DC28" s="10" t="n">
        <f aca="false">IF(DC$1=Inputs!$B$34,Inputs!$B$34,Inputs!$B$12*Inputs!$B$13/Inputs!$B$32)</f>
        <v>0.4</v>
      </c>
      <c r="DD28" s="10" t="n">
        <f aca="false">IF(DD$1=Inputs!$B$34,Inputs!$B$34,Inputs!$B$12*Inputs!$B$13/Inputs!$B$32)</f>
        <v>0.4</v>
      </c>
      <c r="DE28" s="10" t="n">
        <f aca="false">IF(DE$1=Inputs!$B$34,Inputs!$B$34,Inputs!$B$12*Inputs!$B$13/Inputs!$B$32)</f>
        <v>0.4</v>
      </c>
      <c r="DF28" s="10" t="n">
        <f aca="false">IF(DF$1=Inputs!$B$34,Inputs!$B$34,Inputs!$B$12*Inputs!$B$13/Inputs!$B$32)</f>
        <v>0.4</v>
      </c>
      <c r="DG28" s="10" t="n">
        <f aca="false">IF(DG$1=Inputs!$B$34,Inputs!$B$34,Inputs!$B$12*Inputs!$B$13/Inputs!$B$32)</f>
        <v>0.4</v>
      </c>
      <c r="DH28" s="10" t="n">
        <f aca="false">IF(DH$1=Inputs!$B$34,Inputs!$B$34,Inputs!$B$12*Inputs!$B$13/Inputs!$B$32)</f>
        <v>0.4</v>
      </c>
      <c r="DI28" s="10" t="n">
        <f aca="false">IF(DI$1=Inputs!$B$34,Inputs!$B$34,Inputs!$B$12*Inputs!$B$13/Inputs!$B$32)</f>
        <v>0.4</v>
      </c>
      <c r="DJ28" s="10" t="n">
        <f aca="false">IF(DJ$1=Inputs!$B$34,Inputs!$B$34,Inputs!$B$12*Inputs!$B$13/Inputs!$B$32)</f>
        <v>0.4</v>
      </c>
      <c r="DK28" s="10" t="n">
        <f aca="false">IF(DK$1=Inputs!$B$34,Inputs!$B$34,Inputs!$B$12*Inputs!$B$13/Inputs!$B$32)</f>
        <v>0.4</v>
      </c>
      <c r="DL28" s="10" t="n">
        <f aca="false">IF(DL$1=Inputs!$B$34,Inputs!$B$34,Inputs!$B$12*Inputs!$B$13/Inputs!$B$32)</f>
        <v>0.4</v>
      </c>
      <c r="DM28" s="10" t="n">
        <f aca="false">IF(DM$1=Inputs!$B$34,Inputs!$B$34,Inputs!$B$12*Inputs!$B$13/Inputs!$B$32)</f>
        <v>0.4</v>
      </c>
      <c r="DN28" s="10" t="n">
        <f aca="false">IF(DN$1=Inputs!$B$34,Inputs!$B$34,Inputs!$B$12*Inputs!$B$13/Inputs!$B$32)</f>
        <v>0.4</v>
      </c>
      <c r="DO28" s="10" t="n">
        <f aca="false">IF(DO$1=Inputs!$B$34,Inputs!$B$34,Inputs!$B$12*Inputs!$B$13/Inputs!$B$32)</f>
        <v>0.4</v>
      </c>
      <c r="DP28" s="10" t="n">
        <f aca="false">IF(DP$1=Inputs!$B$34,Inputs!$B$34,Inputs!$B$12*Inputs!$B$13/Inputs!$B$32)</f>
        <v>0.4</v>
      </c>
      <c r="DQ28" s="10" t="n">
        <f aca="false">IF(DQ$1=Inputs!$B$34,Inputs!$B$34,Inputs!$B$12*Inputs!$B$13/Inputs!$B$32)</f>
        <v>0.4</v>
      </c>
      <c r="DR28" s="10" t="n">
        <f aca="false">IF(DR$1=Inputs!$B$34,Inputs!$B$34,Inputs!$B$12*Inputs!$B$13/Inputs!$B$32)</f>
        <v>0.4</v>
      </c>
    </row>
    <row r="29" customFormat="false" ht="15" hidden="false" customHeight="false" outlineLevel="0" collapsed="false">
      <c r="A29" s="9" t="s">
        <v>198</v>
      </c>
      <c r="B29" s="10" t="n">
        <f aca="false">IF(B$1=Inputs!$B$34,Inputs!$B$34,Inputs!$B$14)</f>
        <v>0</v>
      </c>
      <c r="C29" s="10" t="n">
        <f aca="false">IF(C$1=Inputs!$B$34,Inputs!$B$34,Inputs!$B$14)</f>
        <v>0.15</v>
      </c>
      <c r="D29" s="10" t="n">
        <f aca="false">IF(D$1=Inputs!$B$34,Inputs!$B$34,Inputs!$B$14)</f>
        <v>0.15</v>
      </c>
      <c r="E29" s="10" t="n">
        <f aca="false">IF(E$1=Inputs!$B$34,Inputs!$B$34,Inputs!$B$14)</f>
        <v>0.15</v>
      </c>
      <c r="F29" s="10" t="n">
        <f aca="false">IF(F$1=Inputs!$B$34,Inputs!$B$34,Inputs!$B$14)</f>
        <v>0.15</v>
      </c>
      <c r="G29" s="10" t="n">
        <f aca="false">IF(G$1=Inputs!$B$34,Inputs!$B$34,Inputs!$B$14)</f>
        <v>0.15</v>
      </c>
      <c r="H29" s="10" t="n">
        <f aca="false">IF(H$1=Inputs!$B$34,Inputs!$B$34,Inputs!$B$14)</f>
        <v>0.15</v>
      </c>
      <c r="I29" s="10" t="n">
        <f aca="false">IF(I$1=Inputs!$B$34,Inputs!$B$34,Inputs!$B$14)</f>
        <v>0.15</v>
      </c>
      <c r="J29" s="10" t="n">
        <f aca="false">IF(J$1=Inputs!$B$34,Inputs!$B$34,Inputs!$B$14)</f>
        <v>0.15</v>
      </c>
      <c r="K29" s="10" t="n">
        <f aca="false">IF(K$1=Inputs!$B$34,Inputs!$B$34,Inputs!$B$14)</f>
        <v>0.15</v>
      </c>
      <c r="L29" s="10" t="n">
        <f aca="false">IF(L$1=Inputs!$B$34,Inputs!$B$34,Inputs!$B$14)</f>
        <v>0.15</v>
      </c>
      <c r="M29" s="10" t="n">
        <f aca="false">IF(M$1=Inputs!$B$34,Inputs!$B$34,Inputs!$B$14)</f>
        <v>0.15</v>
      </c>
      <c r="N29" s="10" t="n">
        <f aca="false">IF(N$1=Inputs!$B$34,Inputs!$B$34,Inputs!$B$14)</f>
        <v>0.15</v>
      </c>
      <c r="O29" s="10" t="n">
        <f aca="false">IF(O$1=Inputs!$B$34,Inputs!$B$34,Inputs!$B$14)</f>
        <v>0.15</v>
      </c>
      <c r="P29" s="10" t="n">
        <f aca="false">IF(P$1=Inputs!$B$34,Inputs!$B$34,Inputs!$B$14)</f>
        <v>0.15</v>
      </c>
      <c r="Q29" s="10" t="n">
        <f aca="false">IF(Q$1=Inputs!$B$34,Inputs!$B$34,Inputs!$B$14)</f>
        <v>0.15</v>
      </c>
      <c r="R29" s="10" t="n">
        <f aca="false">IF(R$1=Inputs!$B$34,Inputs!$B$34,Inputs!$B$14)</f>
        <v>0.15</v>
      </c>
      <c r="S29" s="10" t="n">
        <f aca="false">IF(S$1=Inputs!$B$34,Inputs!$B$34,Inputs!$B$14)</f>
        <v>0.15</v>
      </c>
      <c r="T29" s="10" t="n">
        <f aca="false">IF(T$1=Inputs!$B$34,Inputs!$B$34,Inputs!$B$14)</f>
        <v>0.15</v>
      </c>
      <c r="U29" s="10" t="n">
        <f aca="false">IF(U$1=Inputs!$B$34,Inputs!$B$34,Inputs!$B$14)</f>
        <v>0.15</v>
      </c>
      <c r="V29" s="10" t="n">
        <f aca="false">IF(V$1=Inputs!$B$34,Inputs!$B$34,Inputs!$B$14)</f>
        <v>0.15</v>
      </c>
      <c r="W29" s="10" t="n">
        <f aca="false">IF(W$1=Inputs!$B$34,Inputs!$B$34,Inputs!$B$14)</f>
        <v>0.15</v>
      </c>
      <c r="X29" s="10" t="n">
        <f aca="false">IF(X$1=Inputs!$B$34,Inputs!$B$34,Inputs!$B$14)</f>
        <v>0.15</v>
      </c>
      <c r="Y29" s="10" t="n">
        <f aca="false">IF(Y$1=Inputs!$B$34,Inputs!$B$34,Inputs!$B$14)</f>
        <v>0.15</v>
      </c>
      <c r="Z29" s="10" t="n">
        <f aca="false">IF(Z$1=Inputs!$B$34,Inputs!$B$34,Inputs!$B$14)</f>
        <v>0.15</v>
      </c>
      <c r="AA29" s="10" t="n">
        <f aca="false">IF(AA$1=Inputs!$B$34,Inputs!$B$34,Inputs!$B$14)</f>
        <v>0.15</v>
      </c>
      <c r="AB29" s="10" t="n">
        <f aca="false">IF(AB$1=Inputs!$B$34,Inputs!$B$34,Inputs!$B$14)</f>
        <v>0.15</v>
      </c>
      <c r="AC29" s="10" t="n">
        <f aca="false">IF(AC$1=Inputs!$B$34,Inputs!$B$34,Inputs!$B$14)</f>
        <v>0.15</v>
      </c>
      <c r="AD29" s="10" t="n">
        <f aca="false">IF(AD$1=Inputs!$B$34,Inputs!$B$34,Inputs!$B$14)</f>
        <v>0.15</v>
      </c>
      <c r="AE29" s="10" t="n">
        <f aca="false">IF(AE$1=Inputs!$B$34,Inputs!$B$34,Inputs!$B$14)</f>
        <v>0.15</v>
      </c>
      <c r="AF29" s="10" t="n">
        <f aca="false">IF(AF$1=Inputs!$B$34,Inputs!$B$34,Inputs!$B$14)</f>
        <v>0.15</v>
      </c>
      <c r="AG29" s="10" t="n">
        <f aca="false">IF(AG$1=Inputs!$B$34,Inputs!$B$34,Inputs!$B$14)</f>
        <v>0.15</v>
      </c>
      <c r="AH29" s="10" t="n">
        <f aca="false">IF(AH$1=Inputs!$B$34,Inputs!$B$34,Inputs!$B$14)</f>
        <v>0.15</v>
      </c>
      <c r="AI29" s="10" t="n">
        <f aca="false">IF(AI$1=Inputs!$B$34,Inputs!$B$34,Inputs!$B$14)</f>
        <v>0.15</v>
      </c>
      <c r="AJ29" s="10" t="n">
        <f aca="false">IF(AJ$1=Inputs!$B$34,Inputs!$B$34,Inputs!$B$14)</f>
        <v>0.15</v>
      </c>
      <c r="AK29" s="10" t="n">
        <f aca="false">IF(AK$1=Inputs!$B$34,Inputs!$B$34,Inputs!$B$14)</f>
        <v>0.15</v>
      </c>
      <c r="AL29" s="10" t="n">
        <f aca="false">IF(AL$1=Inputs!$B$34,Inputs!$B$34,Inputs!$B$14)</f>
        <v>0.15</v>
      </c>
      <c r="AM29" s="10" t="n">
        <f aca="false">IF(AM$1=Inputs!$B$34,Inputs!$B$34,Inputs!$B$14)</f>
        <v>0.15</v>
      </c>
      <c r="AN29" s="10" t="n">
        <f aca="false">IF(AN$1=Inputs!$B$34,Inputs!$B$34,Inputs!$B$14)</f>
        <v>0.15</v>
      </c>
      <c r="AO29" s="10" t="n">
        <f aca="false">IF(AO$1=Inputs!$B$34,Inputs!$B$34,Inputs!$B$14)</f>
        <v>0.15</v>
      </c>
      <c r="AP29" s="10" t="n">
        <f aca="false">IF(AP$1=Inputs!$B$34,Inputs!$B$34,Inputs!$B$14)</f>
        <v>0.15</v>
      </c>
      <c r="AQ29" s="10" t="n">
        <f aca="false">IF(AQ$1=Inputs!$B$34,Inputs!$B$34,Inputs!$B$14)</f>
        <v>0.15</v>
      </c>
      <c r="AR29" s="10" t="n">
        <f aca="false">IF(AR$1=Inputs!$B$34,Inputs!$B$34,Inputs!$B$14)</f>
        <v>0.15</v>
      </c>
      <c r="AS29" s="10" t="n">
        <f aca="false">IF(AS$1=Inputs!$B$34,Inputs!$B$34,Inputs!$B$14)</f>
        <v>0.15</v>
      </c>
      <c r="AT29" s="10" t="n">
        <f aca="false">IF(AT$1=Inputs!$B$34,Inputs!$B$34,Inputs!$B$14)</f>
        <v>0.15</v>
      </c>
      <c r="AU29" s="10" t="n">
        <f aca="false">IF(AU$1=Inputs!$B$34,Inputs!$B$34,Inputs!$B$14)</f>
        <v>0.15</v>
      </c>
      <c r="AV29" s="10" t="n">
        <f aca="false">IF(AV$1=Inputs!$B$34,Inputs!$B$34,Inputs!$B$14)</f>
        <v>0.15</v>
      </c>
      <c r="AW29" s="10" t="n">
        <f aca="false">IF(AW$1=Inputs!$B$34,Inputs!$B$34,Inputs!$B$14)</f>
        <v>0.15</v>
      </c>
      <c r="AX29" s="10" t="n">
        <f aca="false">IF(AX$1=Inputs!$B$34,Inputs!$B$34,Inputs!$B$14)</f>
        <v>0.15</v>
      </c>
      <c r="AY29" s="10" t="n">
        <f aca="false">IF(AY$1=Inputs!$B$34,Inputs!$B$34,Inputs!$B$14)</f>
        <v>0.15</v>
      </c>
      <c r="AZ29" s="10" t="n">
        <f aca="false">IF(AZ$1=Inputs!$B$34,Inputs!$B$34,Inputs!$B$14)</f>
        <v>0.15</v>
      </c>
      <c r="BA29" s="10" t="n">
        <f aca="false">IF(BA$1=Inputs!$B$34,Inputs!$B$34,Inputs!$B$14)</f>
        <v>0.15</v>
      </c>
      <c r="BB29" s="10" t="n">
        <f aca="false">IF(BB$1=Inputs!$B$34,Inputs!$B$34,Inputs!$B$14)</f>
        <v>0.15</v>
      </c>
      <c r="BC29" s="10" t="n">
        <f aca="false">IF(BC$1=Inputs!$B$34,Inputs!$B$34,Inputs!$B$14)</f>
        <v>0.15</v>
      </c>
      <c r="BD29" s="10" t="n">
        <f aca="false">IF(BD$1=Inputs!$B$34,Inputs!$B$34,Inputs!$B$14)</f>
        <v>0.15</v>
      </c>
      <c r="BE29" s="10" t="n">
        <f aca="false">IF(BE$1=Inputs!$B$34,Inputs!$B$34,Inputs!$B$14)</f>
        <v>0.15</v>
      </c>
      <c r="BF29" s="10" t="n">
        <f aca="false">IF(BF$1=Inputs!$B$34,Inputs!$B$34,Inputs!$B$14)</f>
        <v>0.15</v>
      </c>
      <c r="BG29" s="10" t="n">
        <f aca="false">IF(BG$1=Inputs!$B$34,Inputs!$B$34,Inputs!$B$14)</f>
        <v>0.15</v>
      </c>
      <c r="BH29" s="10" t="n">
        <f aca="false">IF(BH$1=Inputs!$B$34,Inputs!$B$34,Inputs!$B$14)</f>
        <v>0.15</v>
      </c>
      <c r="BI29" s="10" t="n">
        <f aca="false">IF(BI$1=Inputs!$B$34,Inputs!$B$34,Inputs!$B$14)</f>
        <v>0.15</v>
      </c>
      <c r="BJ29" s="10" t="n">
        <f aca="false">IF(BJ$1=Inputs!$B$34,Inputs!$B$34,Inputs!$B$14)</f>
        <v>0.15</v>
      </c>
      <c r="BK29" s="10" t="n">
        <f aca="false">IF(BK$1=Inputs!$B$34,Inputs!$B$34,Inputs!$B$14)</f>
        <v>0.15</v>
      </c>
      <c r="BL29" s="10" t="n">
        <f aca="false">IF(BL$1=Inputs!$B$34,Inputs!$B$34,Inputs!$B$14)</f>
        <v>0.15</v>
      </c>
      <c r="BM29" s="10" t="n">
        <f aca="false">IF(BM$1=Inputs!$B$34,Inputs!$B$34,Inputs!$B$14)</f>
        <v>0.15</v>
      </c>
      <c r="BN29" s="10" t="n">
        <f aca="false">IF(BN$1=Inputs!$B$34,Inputs!$B$34,Inputs!$B$14)</f>
        <v>0.15</v>
      </c>
      <c r="BO29" s="10" t="n">
        <f aca="false">IF(BO$1=Inputs!$B$34,Inputs!$B$34,Inputs!$B$14)</f>
        <v>0.15</v>
      </c>
      <c r="BP29" s="10" t="n">
        <f aca="false">IF(BP$1=Inputs!$B$34,Inputs!$B$34,Inputs!$B$14)</f>
        <v>0.15</v>
      </c>
      <c r="BQ29" s="10" t="n">
        <f aca="false">IF(BQ$1=Inputs!$B$34,Inputs!$B$34,Inputs!$B$14)</f>
        <v>0.15</v>
      </c>
      <c r="BR29" s="10" t="n">
        <f aca="false">IF(BR$1=Inputs!$B$34,Inputs!$B$34,Inputs!$B$14)</f>
        <v>0.15</v>
      </c>
      <c r="BS29" s="10" t="n">
        <f aca="false">IF(BS$1=Inputs!$B$34,Inputs!$B$34,Inputs!$B$14)</f>
        <v>0.15</v>
      </c>
      <c r="BT29" s="10" t="n">
        <f aca="false">IF(BT$1=Inputs!$B$34,Inputs!$B$34,Inputs!$B$14)</f>
        <v>0.15</v>
      </c>
      <c r="BU29" s="10" t="n">
        <f aca="false">IF(BU$1=Inputs!$B$34,Inputs!$B$34,Inputs!$B$14)</f>
        <v>0.15</v>
      </c>
      <c r="BV29" s="10" t="n">
        <f aca="false">IF(BV$1=Inputs!$B$34,Inputs!$B$34,Inputs!$B$14)</f>
        <v>0.15</v>
      </c>
      <c r="BW29" s="10" t="n">
        <f aca="false">IF(BW$1=Inputs!$B$34,Inputs!$B$34,Inputs!$B$14)</f>
        <v>0.15</v>
      </c>
      <c r="BX29" s="10" t="n">
        <f aca="false">IF(BX$1=Inputs!$B$34,Inputs!$B$34,Inputs!$B$14)</f>
        <v>0.15</v>
      </c>
      <c r="BY29" s="10" t="n">
        <f aca="false">IF(BY$1=Inputs!$B$34,Inputs!$B$34,Inputs!$B$14)</f>
        <v>0.15</v>
      </c>
      <c r="BZ29" s="10" t="n">
        <f aca="false">IF(BZ$1=Inputs!$B$34,Inputs!$B$34,Inputs!$B$14)</f>
        <v>0.15</v>
      </c>
      <c r="CA29" s="10" t="n">
        <f aca="false">IF(CA$1=Inputs!$B$34,Inputs!$B$34,Inputs!$B$14)</f>
        <v>0.15</v>
      </c>
      <c r="CB29" s="10" t="n">
        <f aca="false">IF(CB$1=Inputs!$B$34,Inputs!$B$34,Inputs!$B$14)</f>
        <v>0.15</v>
      </c>
      <c r="CC29" s="10" t="n">
        <f aca="false">IF(CC$1=Inputs!$B$34,Inputs!$B$34,Inputs!$B$14)</f>
        <v>0.15</v>
      </c>
      <c r="CD29" s="10" t="n">
        <f aca="false">IF(CD$1=Inputs!$B$34,Inputs!$B$34,Inputs!$B$14)</f>
        <v>0.15</v>
      </c>
      <c r="CE29" s="10" t="n">
        <f aca="false">IF(CE$1=Inputs!$B$34,Inputs!$B$34,Inputs!$B$14)</f>
        <v>0.15</v>
      </c>
      <c r="CF29" s="10" t="n">
        <f aca="false">IF(CF$1=Inputs!$B$34,Inputs!$B$34,Inputs!$B$14)</f>
        <v>0.15</v>
      </c>
      <c r="CG29" s="10" t="n">
        <f aca="false">IF(CG$1=Inputs!$B$34,Inputs!$B$34,Inputs!$B$14)</f>
        <v>0.15</v>
      </c>
      <c r="CH29" s="10" t="n">
        <f aca="false">IF(CH$1=Inputs!$B$34,Inputs!$B$34,Inputs!$B$14)</f>
        <v>0.15</v>
      </c>
      <c r="CI29" s="10" t="n">
        <f aca="false">IF(CI$1=Inputs!$B$34,Inputs!$B$34,Inputs!$B$14)</f>
        <v>0.15</v>
      </c>
      <c r="CJ29" s="10" t="n">
        <f aca="false">IF(CJ$1=Inputs!$B$34,Inputs!$B$34,Inputs!$B$14)</f>
        <v>0.15</v>
      </c>
      <c r="CK29" s="10" t="n">
        <f aca="false">IF(CK$1=Inputs!$B$34,Inputs!$B$34,Inputs!$B$14)</f>
        <v>0.15</v>
      </c>
      <c r="CL29" s="10" t="n">
        <f aca="false">IF(CL$1=Inputs!$B$34,Inputs!$B$34,Inputs!$B$14)</f>
        <v>0.15</v>
      </c>
      <c r="CM29" s="10" t="n">
        <f aca="false">IF(CM$1=Inputs!$B$34,Inputs!$B$34,Inputs!$B$14)</f>
        <v>0.15</v>
      </c>
      <c r="CN29" s="10" t="n">
        <f aca="false">IF(CN$1=Inputs!$B$34,Inputs!$B$34,Inputs!$B$14)</f>
        <v>0.15</v>
      </c>
      <c r="CO29" s="10" t="n">
        <f aca="false">IF(CO$1=Inputs!$B$34,Inputs!$B$34,Inputs!$B$14)</f>
        <v>0.15</v>
      </c>
      <c r="CP29" s="10" t="n">
        <f aca="false">IF(CP$1=Inputs!$B$34,Inputs!$B$34,Inputs!$B$14)</f>
        <v>0.15</v>
      </c>
      <c r="CQ29" s="10" t="n">
        <f aca="false">IF(CQ$1=Inputs!$B$34,Inputs!$B$34,Inputs!$B$14)</f>
        <v>0.15</v>
      </c>
      <c r="CR29" s="10" t="n">
        <f aca="false">IF(CR$1=Inputs!$B$34,Inputs!$B$34,Inputs!$B$14)</f>
        <v>0.15</v>
      </c>
      <c r="CS29" s="10" t="n">
        <f aca="false">IF(CS$1=Inputs!$B$34,Inputs!$B$34,Inputs!$B$14)</f>
        <v>0.15</v>
      </c>
      <c r="CT29" s="10" t="n">
        <f aca="false">IF(CT$1=Inputs!$B$34,Inputs!$B$34,Inputs!$B$14)</f>
        <v>0.15</v>
      </c>
      <c r="CU29" s="10" t="n">
        <f aca="false">IF(CU$1=Inputs!$B$34,Inputs!$B$34,Inputs!$B$14)</f>
        <v>0.15</v>
      </c>
      <c r="CV29" s="10" t="n">
        <f aca="false">IF(CV$1=Inputs!$B$34,Inputs!$B$34,Inputs!$B$14)</f>
        <v>0.15</v>
      </c>
      <c r="CW29" s="10" t="n">
        <f aca="false">IF(CW$1=Inputs!$B$34,Inputs!$B$34,Inputs!$B$14)</f>
        <v>0.15</v>
      </c>
      <c r="CX29" s="10" t="n">
        <f aca="false">IF(CX$1=Inputs!$B$34,Inputs!$B$34,Inputs!$B$14)</f>
        <v>0.15</v>
      </c>
      <c r="CY29" s="10" t="n">
        <f aca="false">IF(CY$1=Inputs!$B$34,Inputs!$B$34,Inputs!$B$14)</f>
        <v>0.15</v>
      </c>
      <c r="CZ29" s="10" t="n">
        <f aca="false">IF(CZ$1=Inputs!$B$34,Inputs!$B$34,Inputs!$B$14)</f>
        <v>0.15</v>
      </c>
      <c r="DA29" s="10" t="n">
        <f aca="false">IF(DA$1=Inputs!$B$34,Inputs!$B$34,Inputs!$B$14)</f>
        <v>0.15</v>
      </c>
      <c r="DB29" s="10" t="n">
        <f aca="false">IF(DB$1=Inputs!$B$34,Inputs!$B$34,Inputs!$B$14)</f>
        <v>0.15</v>
      </c>
      <c r="DC29" s="10" t="n">
        <f aca="false">IF(DC$1=Inputs!$B$34,Inputs!$B$34,Inputs!$B$14)</f>
        <v>0.15</v>
      </c>
      <c r="DD29" s="10" t="n">
        <f aca="false">IF(DD$1=Inputs!$B$34,Inputs!$B$34,Inputs!$B$14)</f>
        <v>0.15</v>
      </c>
      <c r="DE29" s="10" t="n">
        <f aca="false">IF(DE$1=Inputs!$B$34,Inputs!$B$34,Inputs!$B$14)</f>
        <v>0.15</v>
      </c>
      <c r="DF29" s="10" t="n">
        <f aca="false">IF(DF$1=Inputs!$B$34,Inputs!$B$34,Inputs!$B$14)</f>
        <v>0.15</v>
      </c>
      <c r="DG29" s="10" t="n">
        <f aca="false">IF(DG$1=Inputs!$B$34,Inputs!$B$34,Inputs!$B$14)</f>
        <v>0.15</v>
      </c>
      <c r="DH29" s="10" t="n">
        <f aca="false">IF(DH$1=Inputs!$B$34,Inputs!$B$34,Inputs!$B$14)</f>
        <v>0.15</v>
      </c>
      <c r="DI29" s="10" t="n">
        <f aca="false">IF(DI$1=Inputs!$B$34,Inputs!$B$34,Inputs!$B$14)</f>
        <v>0.15</v>
      </c>
      <c r="DJ29" s="10" t="n">
        <f aca="false">IF(DJ$1=Inputs!$B$34,Inputs!$B$34,Inputs!$B$14)</f>
        <v>0.15</v>
      </c>
      <c r="DK29" s="10" t="n">
        <f aca="false">IF(DK$1=Inputs!$B$34,Inputs!$B$34,Inputs!$B$14)</f>
        <v>0.15</v>
      </c>
      <c r="DL29" s="10" t="n">
        <f aca="false">IF(DL$1=Inputs!$B$34,Inputs!$B$34,Inputs!$B$14)</f>
        <v>0.15</v>
      </c>
      <c r="DM29" s="10" t="n">
        <f aca="false">IF(DM$1=Inputs!$B$34,Inputs!$B$34,Inputs!$B$14)</f>
        <v>0.15</v>
      </c>
      <c r="DN29" s="10" t="n">
        <f aca="false">IF(DN$1=Inputs!$B$34,Inputs!$B$34,Inputs!$B$14)</f>
        <v>0.15</v>
      </c>
      <c r="DO29" s="10" t="n">
        <f aca="false">IF(DO$1=Inputs!$B$34,Inputs!$B$34,Inputs!$B$14)</f>
        <v>0.15</v>
      </c>
      <c r="DP29" s="10" t="n">
        <f aca="false">IF(DP$1=Inputs!$B$34,Inputs!$B$34,Inputs!$B$14)</f>
        <v>0.15</v>
      </c>
      <c r="DQ29" s="10" t="n">
        <f aca="false">IF(DQ$1=Inputs!$B$34,Inputs!$B$34,Inputs!$B$14)</f>
        <v>0.15</v>
      </c>
      <c r="DR29" s="10" t="n">
        <f aca="false">IF(DR$1=Inputs!$B$34,Inputs!$B$34,Inputs!$B$14)</f>
        <v>0.15</v>
      </c>
    </row>
    <row r="30" customFormat="false" ht="15" hidden="false" customHeight="false" outlineLevel="0" collapsed="false">
      <c r="A30" s="9" t="s">
        <v>199</v>
      </c>
      <c r="B30" s="10" t="n">
        <f aca="false">B19*Inputs!$B$15</f>
        <v>0</v>
      </c>
      <c r="C30" s="10" t="n">
        <f aca="false">C19*Inputs!$B$15</f>
        <v>0</v>
      </c>
      <c r="D30" s="10" t="n">
        <f aca="false">D19*Inputs!$B$15</f>
        <v>0</v>
      </c>
      <c r="E30" s="10" t="n">
        <f aca="false">E19*Inputs!$B$15</f>
        <v>0</v>
      </c>
      <c r="F30" s="10" t="n">
        <f aca="false">F19*Inputs!$B$15</f>
        <v>0</v>
      </c>
      <c r="G30" s="10" t="n">
        <f aca="false">G19*Inputs!$B$15</f>
        <v>0</v>
      </c>
      <c r="H30" s="10" t="n">
        <f aca="false">H19*Inputs!$B$15</f>
        <v>1.2</v>
      </c>
      <c r="I30" s="10" t="n">
        <f aca="false">I19*Inputs!$B$15</f>
        <v>1.2</v>
      </c>
      <c r="J30" s="10" t="n">
        <f aca="false">J19*Inputs!$B$15</f>
        <v>1.2</v>
      </c>
      <c r="K30" s="10" t="n">
        <f aca="false">K19*Inputs!$B$15</f>
        <v>2</v>
      </c>
      <c r="L30" s="10" t="n">
        <f aca="false">L19*Inputs!$B$15</f>
        <v>2</v>
      </c>
      <c r="M30" s="10" t="n">
        <f aca="false">M19*Inputs!$B$15</f>
        <v>2</v>
      </c>
      <c r="N30" s="10" t="n">
        <f aca="false">N19*Inputs!$B$15</f>
        <v>2.8</v>
      </c>
      <c r="O30" s="10" t="n">
        <f aca="false">O19*Inputs!$B$15</f>
        <v>2.8</v>
      </c>
      <c r="P30" s="10" t="n">
        <f aca="false">P19*Inputs!$B$15</f>
        <v>2.8</v>
      </c>
      <c r="Q30" s="10" t="n">
        <f aca="false">Q19*Inputs!$B$15</f>
        <v>2.8</v>
      </c>
      <c r="R30" s="10" t="n">
        <f aca="false">R19*Inputs!$B$15</f>
        <v>2.8</v>
      </c>
      <c r="S30" s="10" t="n">
        <f aca="false">S19*Inputs!$B$15</f>
        <v>2.8</v>
      </c>
      <c r="T30" s="10" t="n">
        <f aca="false">T19*Inputs!$B$15</f>
        <v>2.8</v>
      </c>
      <c r="U30" s="10" t="n">
        <f aca="false">U19*Inputs!$B$15</f>
        <v>2.8</v>
      </c>
      <c r="V30" s="10" t="n">
        <f aca="false">V19*Inputs!$B$15</f>
        <v>2.8</v>
      </c>
      <c r="W30" s="10" t="n">
        <f aca="false">W19*Inputs!$B$15</f>
        <v>2.8</v>
      </c>
      <c r="X30" s="10" t="n">
        <f aca="false">X19*Inputs!$B$15</f>
        <v>2.8</v>
      </c>
      <c r="Y30" s="10" t="n">
        <f aca="false">Y19*Inputs!$B$15</f>
        <v>2.8</v>
      </c>
      <c r="Z30" s="10" t="n">
        <f aca="false">Z19*Inputs!$B$15</f>
        <v>2.8</v>
      </c>
      <c r="AA30" s="10" t="n">
        <f aca="false">AA19*Inputs!$B$15</f>
        <v>2.8</v>
      </c>
      <c r="AB30" s="10" t="n">
        <f aca="false">AB19*Inputs!$B$15</f>
        <v>2.8</v>
      </c>
      <c r="AC30" s="10" t="n">
        <f aca="false">AC19*Inputs!$B$15</f>
        <v>2.8</v>
      </c>
      <c r="AD30" s="10" t="n">
        <f aca="false">AD19*Inputs!$B$15</f>
        <v>2.8</v>
      </c>
      <c r="AE30" s="10" t="n">
        <f aca="false">AE19*Inputs!$B$15</f>
        <v>2.8</v>
      </c>
      <c r="AF30" s="10" t="n">
        <f aca="false">AF19*Inputs!$B$15</f>
        <v>2.8</v>
      </c>
      <c r="AG30" s="10" t="n">
        <f aca="false">AG19*Inputs!$B$15</f>
        <v>2.8</v>
      </c>
      <c r="AH30" s="10" t="n">
        <f aca="false">AH19*Inputs!$B$15</f>
        <v>2.8</v>
      </c>
      <c r="AI30" s="10" t="n">
        <f aca="false">AI19*Inputs!$B$15</f>
        <v>2.8</v>
      </c>
      <c r="AJ30" s="10" t="n">
        <f aca="false">AJ19*Inputs!$B$15</f>
        <v>2.8</v>
      </c>
      <c r="AK30" s="10" t="n">
        <f aca="false">AK19*Inputs!$B$15</f>
        <v>2.8</v>
      </c>
      <c r="AL30" s="10" t="n">
        <f aca="false">AL19*Inputs!$B$15</f>
        <v>2.8</v>
      </c>
      <c r="AM30" s="10" t="n">
        <f aca="false">AM19*Inputs!$B$15</f>
        <v>2.8</v>
      </c>
      <c r="AN30" s="10" t="n">
        <f aca="false">AN19*Inputs!$B$15</f>
        <v>2.8</v>
      </c>
      <c r="AO30" s="10" t="n">
        <f aca="false">AO19*Inputs!$B$15</f>
        <v>2.8</v>
      </c>
      <c r="AP30" s="10" t="n">
        <f aca="false">AP19*Inputs!$B$15</f>
        <v>2.8</v>
      </c>
      <c r="AQ30" s="10" t="n">
        <f aca="false">AQ19*Inputs!$B$15</f>
        <v>2.8</v>
      </c>
      <c r="AR30" s="10" t="n">
        <f aca="false">AR19*Inputs!$B$15</f>
        <v>2.8</v>
      </c>
      <c r="AS30" s="10" t="n">
        <f aca="false">AS19*Inputs!$B$15</f>
        <v>2.8</v>
      </c>
      <c r="AT30" s="10" t="n">
        <f aca="false">AT19*Inputs!$B$15</f>
        <v>2.8</v>
      </c>
      <c r="AU30" s="10" t="n">
        <f aca="false">AU19*Inputs!$B$15</f>
        <v>2.8</v>
      </c>
      <c r="AV30" s="10" t="n">
        <f aca="false">AV19*Inputs!$B$15</f>
        <v>2.8</v>
      </c>
      <c r="AW30" s="10" t="n">
        <f aca="false">AW19*Inputs!$B$15</f>
        <v>2.8</v>
      </c>
      <c r="AX30" s="10" t="n">
        <f aca="false">AX19*Inputs!$B$15</f>
        <v>2.8</v>
      </c>
      <c r="AY30" s="10" t="n">
        <f aca="false">AY19*Inputs!$B$15</f>
        <v>2.8</v>
      </c>
      <c r="AZ30" s="10" t="n">
        <f aca="false">AZ19*Inputs!$B$15</f>
        <v>2.8</v>
      </c>
      <c r="BA30" s="10" t="n">
        <f aca="false">BA19*Inputs!$B$15</f>
        <v>2.8</v>
      </c>
      <c r="BB30" s="10" t="n">
        <f aca="false">BB19*Inputs!$B$15</f>
        <v>2.8</v>
      </c>
      <c r="BC30" s="10" t="n">
        <f aca="false">BC19*Inputs!$B$15</f>
        <v>2.8</v>
      </c>
      <c r="BD30" s="10" t="n">
        <f aca="false">BD19*Inputs!$B$15</f>
        <v>2.8</v>
      </c>
      <c r="BE30" s="10" t="n">
        <f aca="false">BE19*Inputs!$B$15</f>
        <v>2.8</v>
      </c>
      <c r="BF30" s="10" t="n">
        <f aca="false">BF19*Inputs!$B$15</f>
        <v>2.8</v>
      </c>
      <c r="BG30" s="10" t="n">
        <f aca="false">BG19*Inputs!$B$15</f>
        <v>2.8</v>
      </c>
      <c r="BH30" s="10" t="n">
        <f aca="false">BH19*Inputs!$B$15</f>
        <v>2.8</v>
      </c>
      <c r="BI30" s="10" t="n">
        <f aca="false">BI19*Inputs!$B$15</f>
        <v>2.8</v>
      </c>
      <c r="BJ30" s="10" t="n">
        <f aca="false">BJ19*Inputs!$B$15</f>
        <v>2.8</v>
      </c>
      <c r="BK30" s="10" t="n">
        <f aca="false">BK19*Inputs!$B$15</f>
        <v>2.8</v>
      </c>
      <c r="BL30" s="10" t="n">
        <f aca="false">BL19*Inputs!$B$15</f>
        <v>2.8</v>
      </c>
      <c r="BM30" s="10" t="n">
        <f aca="false">BM19*Inputs!$B$15</f>
        <v>2.8</v>
      </c>
      <c r="BN30" s="10" t="n">
        <f aca="false">BN19*Inputs!$B$15</f>
        <v>2.8</v>
      </c>
      <c r="BO30" s="10" t="n">
        <f aca="false">BO19*Inputs!$B$15</f>
        <v>2.8</v>
      </c>
      <c r="BP30" s="10" t="n">
        <f aca="false">BP19*Inputs!$B$15</f>
        <v>2.8</v>
      </c>
      <c r="BQ30" s="10" t="n">
        <f aca="false">BQ19*Inputs!$B$15</f>
        <v>2.8</v>
      </c>
      <c r="BR30" s="10" t="n">
        <f aca="false">BR19*Inputs!$B$15</f>
        <v>2.8</v>
      </c>
      <c r="BS30" s="10" t="n">
        <f aca="false">BS19*Inputs!$B$15</f>
        <v>2.8</v>
      </c>
      <c r="BT30" s="10" t="n">
        <f aca="false">BT19*Inputs!$B$15</f>
        <v>2.8</v>
      </c>
      <c r="BU30" s="10" t="n">
        <f aca="false">BU19*Inputs!$B$15</f>
        <v>2.8</v>
      </c>
      <c r="BV30" s="10" t="n">
        <f aca="false">BV19*Inputs!$B$15</f>
        <v>2.8</v>
      </c>
      <c r="BW30" s="10" t="n">
        <f aca="false">BW19*Inputs!$B$15</f>
        <v>2.8</v>
      </c>
      <c r="BX30" s="10" t="n">
        <f aca="false">BX19*Inputs!$B$15</f>
        <v>2.8</v>
      </c>
      <c r="BY30" s="10" t="n">
        <f aca="false">BY19*Inputs!$B$15</f>
        <v>2.8</v>
      </c>
      <c r="BZ30" s="10" t="n">
        <f aca="false">BZ19*Inputs!$B$15</f>
        <v>2.8</v>
      </c>
      <c r="CA30" s="10" t="n">
        <f aca="false">CA19*Inputs!$B$15</f>
        <v>2.8</v>
      </c>
      <c r="CB30" s="10" t="n">
        <f aca="false">CB19*Inputs!$B$15</f>
        <v>2.8</v>
      </c>
      <c r="CC30" s="10" t="n">
        <f aca="false">CC19*Inputs!$B$15</f>
        <v>2.8</v>
      </c>
      <c r="CD30" s="10" t="n">
        <f aca="false">CD19*Inputs!$B$15</f>
        <v>2.8</v>
      </c>
      <c r="CE30" s="10" t="n">
        <f aca="false">CE19*Inputs!$B$15</f>
        <v>2.8</v>
      </c>
      <c r="CF30" s="10" t="n">
        <f aca="false">CF19*Inputs!$B$15</f>
        <v>2.8</v>
      </c>
      <c r="CG30" s="10" t="n">
        <f aca="false">CG19*Inputs!$B$15</f>
        <v>2.8</v>
      </c>
      <c r="CH30" s="10" t="n">
        <f aca="false">CH19*Inputs!$B$15</f>
        <v>2.8</v>
      </c>
      <c r="CI30" s="10" t="n">
        <f aca="false">CI19*Inputs!$B$15</f>
        <v>2.8</v>
      </c>
      <c r="CJ30" s="10" t="n">
        <f aca="false">CJ19*Inputs!$B$15</f>
        <v>2.8</v>
      </c>
      <c r="CK30" s="10" t="n">
        <f aca="false">CK19*Inputs!$B$15</f>
        <v>2.8</v>
      </c>
      <c r="CL30" s="10" t="n">
        <f aca="false">CL19*Inputs!$B$15</f>
        <v>2.8</v>
      </c>
      <c r="CM30" s="10" t="n">
        <f aca="false">CM19*Inputs!$B$15</f>
        <v>2.8</v>
      </c>
      <c r="CN30" s="10" t="n">
        <f aca="false">CN19*Inputs!$B$15</f>
        <v>2.8</v>
      </c>
      <c r="CO30" s="10" t="n">
        <f aca="false">CO19*Inputs!$B$15</f>
        <v>2.8</v>
      </c>
      <c r="CP30" s="10" t="n">
        <f aca="false">CP19*Inputs!$B$15</f>
        <v>2.8</v>
      </c>
      <c r="CQ30" s="10" t="n">
        <f aca="false">CQ19*Inputs!$B$15</f>
        <v>2.8</v>
      </c>
      <c r="CR30" s="10" t="n">
        <f aca="false">CR19*Inputs!$B$15</f>
        <v>2.8</v>
      </c>
      <c r="CS30" s="10" t="n">
        <f aca="false">CS19*Inputs!$B$15</f>
        <v>2.8</v>
      </c>
      <c r="CT30" s="10" t="n">
        <f aca="false">CT19*Inputs!$B$15</f>
        <v>2.8</v>
      </c>
      <c r="CU30" s="10" t="n">
        <f aca="false">CU19*Inputs!$B$15</f>
        <v>2.8</v>
      </c>
      <c r="CV30" s="10" t="n">
        <f aca="false">CV19*Inputs!$B$15</f>
        <v>2.8</v>
      </c>
      <c r="CW30" s="10" t="n">
        <f aca="false">CW19*Inputs!$B$15</f>
        <v>2.8</v>
      </c>
      <c r="CX30" s="10" t="n">
        <f aca="false">CX19*Inputs!$B$15</f>
        <v>2.8</v>
      </c>
      <c r="CY30" s="10" t="n">
        <f aca="false">CY19*Inputs!$B$15</f>
        <v>2.8</v>
      </c>
      <c r="CZ30" s="10" t="n">
        <f aca="false">CZ19*Inputs!$B$15</f>
        <v>2.8</v>
      </c>
      <c r="DA30" s="10" t="n">
        <f aca="false">DA19*Inputs!$B$15</f>
        <v>2.8</v>
      </c>
      <c r="DB30" s="10" t="n">
        <f aca="false">DB19*Inputs!$B$15</f>
        <v>2.8</v>
      </c>
      <c r="DC30" s="10" t="n">
        <f aca="false">DC19*Inputs!$B$15</f>
        <v>2.8</v>
      </c>
      <c r="DD30" s="10" t="n">
        <f aca="false">DD19*Inputs!$B$15</f>
        <v>2.8</v>
      </c>
      <c r="DE30" s="10" t="n">
        <f aca="false">DE19*Inputs!$B$15</f>
        <v>2.8</v>
      </c>
      <c r="DF30" s="10" t="n">
        <f aca="false">DF19*Inputs!$B$15</f>
        <v>2.8</v>
      </c>
      <c r="DG30" s="10" t="n">
        <f aca="false">DG19*Inputs!$B$15</f>
        <v>2.8</v>
      </c>
      <c r="DH30" s="10" t="n">
        <f aca="false">DH19*Inputs!$B$15</f>
        <v>2.8</v>
      </c>
      <c r="DI30" s="10" t="n">
        <f aca="false">DI19*Inputs!$B$15</f>
        <v>2.8</v>
      </c>
      <c r="DJ30" s="10" t="n">
        <f aca="false">DJ19*Inputs!$B$15</f>
        <v>2.8</v>
      </c>
      <c r="DK30" s="10" t="n">
        <f aca="false">DK19*Inputs!$B$15</f>
        <v>2.8</v>
      </c>
      <c r="DL30" s="10" t="n">
        <f aca="false">DL19*Inputs!$B$15</f>
        <v>2.8</v>
      </c>
      <c r="DM30" s="10" t="n">
        <f aca="false">DM19*Inputs!$B$15</f>
        <v>2.8</v>
      </c>
      <c r="DN30" s="10" t="n">
        <f aca="false">DN19*Inputs!$B$15</f>
        <v>2.8</v>
      </c>
      <c r="DO30" s="10" t="n">
        <f aca="false">DO19*Inputs!$B$15</f>
        <v>2.8</v>
      </c>
      <c r="DP30" s="10" t="n">
        <f aca="false">DP19*Inputs!$B$15</f>
        <v>2.8</v>
      </c>
      <c r="DQ30" s="10" t="n">
        <f aca="false">DQ19*Inputs!$B$15</f>
        <v>2.8</v>
      </c>
      <c r="DR30" s="10" t="n">
        <f aca="false">DR19*Inputs!$B$15</f>
        <v>2.8</v>
      </c>
    </row>
    <row r="31" customFormat="false" ht="15" hidden="false" customHeight="false" outlineLevel="0" collapsed="false">
      <c r="A31" s="9" t="s">
        <v>200</v>
      </c>
      <c r="B31" s="11" t="n">
        <f aca="false">SUM(B28:B30)</f>
        <v>0</v>
      </c>
      <c r="C31" s="11" t="n">
        <f aca="false">SUM(C28:C30)</f>
        <v>0.55</v>
      </c>
      <c r="D31" s="11" t="n">
        <f aca="false">SUM(D28:D30)</f>
        <v>0.55</v>
      </c>
      <c r="E31" s="11" t="n">
        <f aca="false">SUM(E28:E30)</f>
        <v>0.55</v>
      </c>
      <c r="F31" s="11" t="n">
        <f aca="false">SUM(F28:F30)</f>
        <v>0.55</v>
      </c>
      <c r="G31" s="11" t="n">
        <f aca="false">SUM(G28:G30)</f>
        <v>0.55</v>
      </c>
      <c r="H31" s="11" t="n">
        <f aca="false">SUM(H28:H30)</f>
        <v>1.75</v>
      </c>
      <c r="I31" s="11" t="n">
        <f aca="false">SUM(I28:I30)</f>
        <v>1.75</v>
      </c>
      <c r="J31" s="11" t="n">
        <f aca="false">SUM(J28:J30)</f>
        <v>1.75</v>
      </c>
      <c r="K31" s="11" t="n">
        <f aca="false">SUM(K28:K30)</f>
        <v>2.55</v>
      </c>
      <c r="L31" s="11" t="n">
        <f aca="false">SUM(L28:L30)</f>
        <v>2.55</v>
      </c>
      <c r="M31" s="11" t="n">
        <f aca="false">SUM(M28:M30)</f>
        <v>2.55</v>
      </c>
      <c r="N31" s="11" t="n">
        <f aca="false">SUM(N28:N30)</f>
        <v>3.35</v>
      </c>
      <c r="O31" s="11" t="n">
        <f aca="false">SUM(O28:O30)</f>
        <v>3.35</v>
      </c>
      <c r="P31" s="11" t="n">
        <f aca="false">SUM(P28:P30)</f>
        <v>3.35</v>
      </c>
      <c r="Q31" s="11" t="n">
        <f aca="false">SUM(Q28:Q30)</f>
        <v>3.35</v>
      </c>
      <c r="R31" s="11" t="n">
        <f aca="false">SUM(R28:R30)</f>
        <v>3.35</v>
      </c>
      <c r="S31" s="11" t="n">
        <f aca="false">SUM(S28:S30)</f>
        <v>3.35</v>
      </c>
      <c r="T31" s="11" t="n">
        <f aca="false">SUM(T28:T30)</f>
        <v>3.35</v>
      </c>
      <c r="U31" s="11" t="n">
        <f aca="false">SUM(U28:U30)</f>
        <v>3.35</v>
      </c>
      <c r="V31" s="11" t="n">
        <f aca="false">SUM(V28:V30)</f>
        <v>3.35</v>
      </c>
      <c r="W31" s="11" t="n">
        <f aca="false">SUM(W28:W30)</f>
        <v>3.35</v>
      </c>
      <c r="X31" s="11" t="n">
        <f aca="false">SUM(X28:X30)</f>
        <v>3.35</v>
      </c>
      <c r="Y31" s="11" t="n">
        <f aca="false">SUM(Y28:Y30)</f>
        <v>3.35</v>
      </c>
      <c r="Z31" s="11" t="n">
        <f aca="false">SUM(Z28:Z30)</f>
        <v>3.35</v>
      </c>
      <c r="AA31" s="11" t="n">
        <f aca="false">SUM(AA28:AA30)</f>
        <v>3.35</v>
      </c>
      <c r="AB31" s="11" t="n">
        <f aca="false">SUM(AB28:AB30)</f>
        <v>3.35</v>
      </c>
      <c r="AC31" s="11" t="n">
        <f aca="false">SUM(AC28:AC30)</f>
        <v>3.35</v>
      </c>
      <c r="AD31" s="11" t="n">
        <f aca="false">SUM(AD28:AD30)</f>
        <v>3.35</v>
      </c>
      <c r="AE31" s="11" t="n">
        <f aca="false">SUM(AE28:AE30)</f>
        <v>3.35</v>
      </c>
      <c r="AF31" s="11" t="n">
        <f aca="false">SUM(AF28:AF30)</f>
        <v>3.35</v>
      </c>
      <c r="AG31" s="11" t="n">
        <f aca="false">SUM(AG28:AG30)</f>
        <v>3.35</v>
      </c>
      <c r="AH31" s="11" t="n">
        <f aca="false">SUM(AH28:AH30)</f>
        <v>3.35</v>
      </c>
      <c r="AI31" s="11" t="n">
        <f aca="false">SUM(AI28:AI30)</f>
        <v>3.35</v>
      </c>
      <c r="AJ31" s="11" t="n">
        <f aca="false">SUM(AJ28:AJ30)</f>
        <v>3.35</v>
      </c>
      <c r="AK31" s="11" t="n">
        <f aca="false">SUM(AK28:AK30)</f>
        <v>3.35</v>
      </c>
      <c r="AL31" s="11" t="n">
        <f aca="false">SUM(AL28:AL30)</f>
        <v>3.35</v>
      </c>
      <c r="AM31" s="11" t="n">
        <f aca="false">SUM(AM28:AM30)</f>
        <v>3.35</v>
      </c>
      <c r="AN31" s="11" t="n">
        <f aca="false">SUM(AN28:AN30)</f>
        <v>3.35</v>
      </c>
      <c r="AO31" s="11" t="n">
        <f aca="false">SUM(AO28:AO30)</f>
        <v>3.35</v>
      </c>
      <c r="AP31" s="11" t="n">
        <f aca="false">SUM(AP28:AP30)</f>
        <v>3.35</v>
      </c>
      <c r="AQ31" s="11" t="n">
        <f aca="false">SUM(AQ28:AQ30)</f>
        <v>3.35</v>
      </c>
      <c r="AR31" s="11" t="n">
        <f aca="false">SUM(AR28:AR30)</f>
        <v>3.35</v>
      </c>
      <c r="AS31" s="11" t="n">
        <f aca="false">SUM(AS28:AS30)</f>
        <v>3.35</v>
      </c>
      <c r="AT31" s="11" t="n">
        <f aca="false">SUM(AT28:AT30)</f>
        <v>3.35</v>
      </c>
      <c r="AU31" s="11" t="n">
        <f aca="false">SUM(AU28:AU30)</f>
        <v>3.35</v>
      </c>
      <c r="AV31" s="11" t="n">
        <f aca="false">SUM(AV28:AV30)</f>
        <v>3.35</v>
      </c>
      <c r="AW31" s="11" t="n">
        <f aca="false">SUM(AW28:AW30)</f>
        <v>3.35</v>
      </c>
      <c r="AX31" s="11" t="n">
        <f aca="false">SUM(AX28:AX30)</f>
        <v>3.35</v>
      </c>
      <c r="AY31" s="11" t="n">
        <f aca="false">SUM(AY28:AY30)</f>
        <v>3.35</v>
      </c>
      <c r="AZ31" s="11" t="n">
        <f aca="false">SUM(AZ28:AZ30)</f>
        <v>3.35</v>
      </c>
      <c r="BA31" s="11" t="n">
        <f aca="false">SUM(BA28:BA30)</f>
        <v>3.35</v>
      </c>
      <c r="BB31" s="11" t="n">
        <f aca="false">SUM(BB28:BB30)</f>
        <v>3.35</v>
      </c>
      <c r="BC31" s="11" t="n">
        <f aca="false">SUM(BC28:BC30)</f>
        <v>3.35</v>
      </c>
      <c r="BD31" s="11" t="n">
        <f aca="false">SUM(BD28:BD30)</f>
        <v>3.35</v>
      </c>
      <c r="BE31" s="11" t="n">
        <f aca="false">SUM(BE28:BE30)</f>
        <v>3.35</v>
      </c>
      <c r="BF31" s="11" t="n">
        <f aca="false">SUM(BF28:BF30)</f>
        <v>3.35</v>
      </c>
      <c r="BG31" s="11" t="n">
        <f aca="false">SUM(BG28:BG30)</f>
        <v>3.35</v>
      </c>
      <c r="BH31" s="11" t="n">
        <f aca="false">SUM(BH28:BH30)</f>
        <v>3.35</v>
      </c>
      <c r="BI31" s="11" t="n">
        <f aca="false">SUM(BI28:BI30)</f>
        <v>3.35</v>
      </c>
      <c r="BJ31" s="11" t="n">
        <f aca="false">SUM(BJ28:BJ30)</f>
        <v>3.35</v>
      </c>
      <c r="BK31" s="11" t="n">
        <f aca="false">SUM(BK28:BK30)</f>
        <v>3.35</v>
      </c>
      <c r="BL31" s="11" t="n">
        <f aca="false">SUM(BL28:BL30)</f>
        <v>3.35</v>
      </c>
      <c r="BM31" s="11" t="n">
        <f aca="false">SUM(BM28:BM30)</f>
        <v>3.35</v>
      </c>
      <c r="BN31" s="11" t="n">
        <f aca="false">SUM(BN28:BN30)</f>
        <v>3.35</v>
      </c>
      <c r="BO31" s="11" t="n">
        <f aca="false">SUM(BO28:BO30)</f>
        <v>3.35</v>
      </c>
      <c r="BP31" s="11" t="n">
        <f aca="false">SUM(BP28:BP30)</f>
        <v>3.35</v>
      </c>
      <c r="BQ31" s="11" t="n">
        <f aca="false">SUM(BQ28:BQ30)</f>
        <v>3.35</v>
      </c>
      <c r="BR31" s="11" t="n">
        <f aca="false">SUM(BR28:BR30)</f>
        <v>3.35</v>
      </c>
      <c r="BS31" s="11" t="n">
        <f aca="false">SUM(BS28:BS30)</f>
        <v>3.35</v>
      </c>
      <c r="BT31" s="11" t="n">
        <f aca="false">SUM(BT28:BT30)</f>
        <v>3.35</v>
      </c>
      <c r="BU31" s="11" t="n">
        <f aca="false">SUM(BU28:BU30)</f>
        <v>3.35</v>
      </c>
      <c r="BV31" s="11" t="n">
        <f aca="false">SUM(BV28:BV30)</f>
        <v>3.35</v>
      </c>
      <c r="BW31" s="11" t="n">
        <f aca="false">SUM(BW28:BW30)</f>
        <v>3.35</v>
      </c>
      <c r="BX31" s="11" t="n">
        <f aca="false">SUM(BX28:BX30)</f>
        <v>3.35</v>
      </c>
      <c r="BY31" s="11" t="n">
        <f aca="false">SUM(BY28:BY30)</f>
        <v>3.35</v>
      </c>
      <c r="BZ31" s="11" t="n">
        <f aca="false">SUM(BZ28:BZ30)</f>
        <v>3.35</v>
      </c>
      <c r="CA31" s="11" t="n">
        <f aca="false">SUM(CA28:CA30)</f>
        <v>3.35</v>
      </c>
      <c r="CB31" s="11" t="n">
        <f aca="false">SUM(CB28:CB30)</f>
        <v>3.35</v>
      </c>
      <c r="CC31" s="11" t="n">
        <f aca="false">SUM(CC28:CC30)</f>
        <v>3.35</v>
      </c>
      <c r="CD31" s="11" t="n">
        <f aca="false">SUM(CD28:CD30)</f>
        <v>3.35</v>
      </c>
      <c r="CE31" s="11" t="n">
        <f aca="false">SUM(CE28:CE30)</f>
        <v>3.35</v>
      </c>
      <c r="CF31" s="11" t="n">
        <f aca="false">SUM(CF28:CF30)</f>
        <v>3.35</v>
      </c>
      <c r="CG31" s="11" t="n">
        <f aca="false">SUM(CG28:CG30)</f>
        <v>3.35</v>
      </c>
      <c r="CH31" s="11" t="n">
        <f aca="false">SUM(CH28:CH30)</f>
        <v>3.35</v>
      </c>
      <c r="CI31" s="11" t="n">
        <f aca="false">SUM(CI28:CI30)</f>
        <v>3.35</v>
      </c>
      <c r="CJ31" s="11" t="n">
        <f aca="false">SUM(CJ28:CJ30)</f>
        <v>3.35</v>
      </c>
      <c r="CK31" s="11" t="n">
        <f aca="false">SUM(CK28:CK30)</f>
        <v>3.35</v>
      </c>
      <c r="CL31" s="11" t="n">
        <f aca="false">SUM(CL28:CL30)</f>
        <v>3.35</v>
      </c>
      <c r="CM31" s="11" t="n">
        <f aca="false">SUM(CM28:CM30)</f>
        <v>3.35</v>
      </c>
      <c r="CN31" s="11" t="n">
        <f aca="false">SUM(CN28:CN30)</f>
        <v>3.35</v>
      </c>
      <c r="CO31" s="11" t="n">
        <f aca="false">SUM(CO28:CO30)</f>
        <v>3.35</v>
      </c>
      <c r="CP31" s="11" t="n">
        <f aca="false">SUM(CP28:CP30)</f>
        <v>3.35</v>
      </c>
      <c r="CQ31" s="11" t="n">
        <f aca="false">SUM(CQ28:CQ30)</f>
        <v>3.35</v>
      </c>
      <c r="CR31" s="11" t="n">
        <f aca="false">SUM(CR28:CR30)</f>
        <v>3.35</v>
      </c>
      <c r="CS31" s="11" t="n">
        <f aca="false">SUM(CS28:CS30)</f>
        <v>3.35</v>
      </c>
      <c r="CT31" s="11" t="n">
        <f aca="false">SUM(CT28:CT30)</f>
        <v>3.35</v>
      </c>
      <c r="CU31" s="11" t="n">
        <f aca="false">SUM(CU28:CU30)</f>
        <v>3.35</v>
      </c>
      <c r="CV31" s="11" t="n">
        <f aca="false">SUM(CV28:CV30)</f>
        <v>3.35</v>
      </c>
      <c r="CW31" s="11" t="n">
        <f aca="false">SUM(CW28:CW30)</f>
        <v>3.35</v>
      </c>
      <c r="CX31" s="11" t="n">
        <f aca="false">SUM(CX28:CX30)</f>
        <v>3.35</v>
      </c>
      <c r="CY31" s="11" t="n">
        <f aca="false">SUM(CY28:CY30)</f>
        <v>3.35</v>
      </c>
      <c r="CZ31" s="11" t="n">
        <f aca="false">SUM(CZ28:CZ30)</f>
        <v>3.35</v>
      </c>
      <c r="DA31" s="11" t="n">
        <f aca="false">SUM(DA28:DA30)</f>
        <v>3.35</v>
      </c>
      <c r="DB31" s="11" t="n">
        <f aca="false">SUM(DB28:DB30)</f>
        <v>3.35</v>
      </c>
      <c r="DC31" s="11" t="n">
        <f aca="false">SUM(DC28:DC30)</f>
        <v>3.35</v>
      </c>
      <c r="DD31" s="11" t="n">
        <f aca="false">SUM(DD28:DD30)</f>
        <v>3.35</v>
      </c>
      <c r="DE31" s="11" t="n">
        <f aca="false">SUM(DE28:DE30)</f>
        <v>3.35</v>
      </c>
      <c r="DF31" s="11" t="n">
        <f aca="false">SUM(DF28:DF30)</f>
        <v>3.35</v>
      </c>
      <c r="DG31" s="11" t="n">
        <f aca="false">SUM(DG28:DG30)</f>
        <v>3.35</v>
      </c>
      <c r="DH31" s="11" t="n">
        <f aca="false">SUM(DH28:DH30)</f>
        <v>3.35</v>
      </c>
      <c r="DI31" s="11" t="n">
        <f aca="false">SUM(DI28:DI30)</f>
        <v>3.35</v>
      </c>
      <c r="DJ31" s="11" t="n">
        <f aca="false">SUM(DJ28:DJ30)</f>
        <v>3.35</v>
      </c>
      <c r="DK31" s="11" t="n">
        <f aca="false">SUM(DK28:DK30)</f>
        <v>3.35</v>
      </c>
      <c r="DL31" s="11" t="n">
        <f aca="false">SUM(DL28:DL30)</f>
        <v>3.35</v>
      </c>
      <c r="DM31" s="11" t="n">
        <f aca="false">SUM(DM28:DM30)</f>
        <v>3.35</v>
      </c>
      <c r="DN31" s="11" t="n">
        <f aca="false">SUM(DN28:DN30)</f>
        <v>3.35</v>
      </c>
      <c r="DO31" s="11" t="n">
        <f aca="false">SUM(DO28:DO30)</f>
        <v>3.35</v>
      </c>
      <c r="DP31" s="11" t="n">
        <f aca="false">SUM(DP28:DP30)</f>
        <v>3.35</v>
      </c>
      <c r="DQ31" s="11" t="n">
        <f aca="false">SUM(DQ28:DQ30)</f>
        <v>3.35</v>
      </c>
      <c r="DR31" s="11" t="n">
        <f aca="false">SUM(DR28:DR30)</f>
        <v>3.35</v>
      </c>
    </row>
    <row r="32" customFormat="false" ht="15" hidden="false" customHeight="false" outlineLevel="0" collapsed="false">
      <c r="A32" s="9" t="s">
        <v>201</v>
      </c>
      <c r="B32" s="10" t="n">
        <f aca="false">IF(AND(B$1&gt;Inputs!$B$34,B$1&lt;=Inputs!$B$19),Funding!$B$8/Inputs!$B$19,Inputs!$B$34)</f>
        <v>0</v>
      </c>
      <c r="C32" s="10" t="n">
        <f aca="false">IF(AND(C$1&gt;Inputs!$B$34,C$1&lt;=Inputs!$B$19),Funding!$B$8/Inputs!$B$19,Inputs!$B$34)</f>
        <v>0.583333333333333</v>
      </c>
      <c r="D32" s="10" t="n">
        <f aca="false">IF(AND(D$1&gt;Inputs!$B$34,D$1&lt;=Inputs!$B$19),Funding!$B$8/Inputs!$B$19,Inputs!$B$34)</f>
        <v>0.583333333333333</v>
      </c>
      <c r="E32" s="10" t="n">
        <f aca="false">IF(AND(E$1&gt;Inputs!$B$34,E$1&lt;=Inputs!$B$19),Funding!$B$8/Inputs!$B$19,Inputs!$B$34)</f>
        <v>0.583333333333333</v>
      </c>
      <c r="F32" s="10" t="n">
        <f aca="false">IF(AND(F$1&gt;Inputs!$B$34,F$1&lt;=Inputs!$B$19),Funding!$B$8/Inputs!$B$19,Inputs!$B$34)</f>
        <v>0.583333333333333</v>
      </c>
      <c r="G32" s="10" t="n">
        <f aca="false">IF(AND(G$1&gt;Inputs!$B$34,G$1&lt;=Inputs!$B$19),Funding!$B$8/Inputs!$B$19,Inputs!$B$34)</f>
        <v>0.583333333333333</v>
      </c>
      <c r="H32" s="10" t="n">
        <f aca="false">IF(AND(H$1&gt;Inputs!$B$34,H$1&lt;=Inputs!$B$19),Funding!$B$8/Inputs!$B$19,Inputs!$B$34)</f>
        <v>0.583333333333333</v>
      </c>
      <c r="I32" s="10" t="n">
        <f aca="false">IF(AND(I$1&gt;Inputs!$B$34,I$1&lt;=Inputs!$B$19),Funding!$B$8/Inputs!$B$19,Inputs!$B$34)</f>
        <v>0.583333333333333</v>
      </c>
      <c r="J32" s="10" t="n">
        <f aca="false">IF(AND(J$1&gt;Inputs!$B$34,J$1&lt;=Inputs!$B$19),Funding!$B$8/Inputs!$B$19,Inputs!$B$34)</f>
        <v>0.583333333333333</v>
      </c>
      <c r="K32" s="10" t="n">
        <f aca="false">IF(AND(K$1&gt;Inputs!$B$34,K$1&lt;=Inputs!$B$19),Funding!$B$8/Inputs!$B$19,Inputs!$B$34)</f>
        <v>0.583333333333333</v>
      </c>
      <c r="L32" s="10" t="n">
        <f aca="false">IF(AND(L$1&gt;Inputs!$B$34,L$1&lt;=Inputs!$B$19),Funding!$B$8/Inputs!$B$19,Inputs!$B$34)</f>
        <v>0.583333333333333</v>
      </c>
      <c r="M32" s="10" t="n">
        <f aca="false">IF(AND(M$1&gt;Inputs!$B$34,M$1&lt;=Inputs!$B$19),Funding!$B$8/Inputs!$B$19,Inputs!$B$34)</f>
        <v>0.583333333333333</v>
      </c>
      <c r="N32" s="10" t="n">
        <f aca="false">IF(AND(N$1&gt;Inputs!$B$34,N$1&lt;=Inputs!$B$19),Funding!$B$8/Inputs!$B$19,Inputs!$B$34)</f>
        <v>0.583333333333333</v>
      </c>
      <c r="O32" s="10" t="n">
        <f aca="false">IF(AND(O$1&gt;Inputs!$B$34,O$1&lt;=Inputs!$B$19),Funding!$B$8/Inputs!$B$19,Inputs!$B$34)</f>
        <v>0</v>
      </c>
      <c r="P32" s="10" t="n">
        <f aca="false">IF(AND(P$1&gt;Inputs!$B$34,P$1&lt;=Inputs!$B$19),Funding!$B$8/Inputs!$B$19,Inputs!$B$34)</f>
        <v>0</v>
      </c>
      <c r="Q32" s="10" t="n">
        <f aca="false">IF(AND(Q$1&gt;Inputs!$B$34,Q$1&lt;=Inputs!$B$19),Funding!$B$8/Inputs!$B$19,Inputs!$B$34)</f>
        <v>0</v>
      </c>
      <c r="R32" s="10" t="n">
        <f aca="false">IF(AND(R$1&gt;Inputs!$B$34,R$1&lt;=Inputs!$B$19),Funding!$B$8/Inputs!$B$19,Inputs!$B$34)</f>
        <v>0</v>
      </c>
      <c r="S32" s="10" t="n">
        <f aca="false">IF(AND(S$1&gt;Inputs!$B$34,S$1&lt;=Inputs!$B$19),Funding!$B$8/Inputs!$B$19,Inputs!$B$34)</f>
        <v>0</v>
      </c>
      <c r="T32" s="10" t="n">
        <f aca="false">IF(AND(T$1&gt;Inputs!$B$34,T$1&lt;=Inputs!$B$19),Funding!$B$8/Inputs!$B$19,Inputs!$B$34)</f>
        <v>0</v>
      </c>
      <c r="U32" s="10" t="n">
        <f aca="false">IF(AND(U$1&gt;Inputs!$B$34,U$1&lt;=Inputs!$B$19),Funding!$B$8/Inputs!$B$19,Inputs!$B$34)</f>
        <v>0</v>
      </c>
      <c r="V32" s="10" t="n">
        <f aca="false">IF(AND(V$1&gt;Inputs!$B$34,V$1&lt;=Inputs!$B$19),Funding!$B$8/Inputs!$B$19,Inputs!$B$34)</f>
        <v>0</v>
      </c>
      <c r="W32" s="10" t="n">
        <f aca="false">IF(AND(W$1&gt;Inputs!$B$34,W$1&lt;=Inputs!$B$19),Funding!$B$8/Inputs!$B$19,Inputs!$B$34)</f>
        <v>0</v>
      </c>
      <c r="X32" s="10" t="n">
        <f aca="false">IF(AND(X$1&gt;Inputs!$B$34,X$1&lt;=Inputs!$B$19),Funding!$B$8/Inputs!$B$19,Inputs!$B$34)</f>
        <v>0</v>
      </c>
      <c r="Y32" s="10" t="n">
        <f aca="false">IF(AND(Y$1&gt;Inputs!$B$34,Y$1&lt;=Inputs!$B$19),Funding!$B$8/Inputs!$B$19,Inputs!$B$34)</f>
        <v>0</v>
      </c>
      <c r="Z32" s="10" t="n">
        <f aca="false">IF(AND(Z$1&gt;Inputs!$B$34,Z$1&lt;=Inputs!$B$19),Funding!$B$8/Inputs!$B$19,Inputs!$B$34)</f>
        <v>0</v>
      </c>
      <c r="AA32" s="10" t="n">
        <f aca="false">IF(AND(AA$1&gt;Inputs!$B$34,AA$1&lt;=Inputs!$B$19),Funding!$B$8/Inputs!$B$19,Inputs!$B$34)</f>
        <v>0</v>
      </c>
      <c r="AB32" s="10" t="n">
        <f aca="false">IF(AND(AB$1&gt;Inputs!$B$34,AB$1&lt;=Inputs!$B$19),Funding!$B$8/Inputs!$B$19,Inputs!$B$34)</f>
        <v>0</v>
      </c>
      <c r="AC32" s="10" t="n">
        <f aca="false">IF(AND(AC$1&gt;Inputs!$B$34,AC$1&lt;=Inputs!$B$19),Funding!$B$8/Inputs!$B$19,Inputs!$B$34)</f>
        <v>0</v>
      </c>
      <c r="AD32" s="10" t="n">
        <f aca="false">IF(AND(AD$1&gt;Inputs!$B$34,AD$1&lt;=Inputs!$B$19),Funding!$B$8/Inputs!$B$19,Inputs!$B$34)</f>
        <v>0</v>
      </c>
      <c r="AE32" s="10" t="n">
        <f aca="false">IF(AND(AE$1&gt;Inputs!$B$34,AE$1&lt;=Inputs!$B$19),Funding!$B$8/Inputs!$B$19,Inputs!$B$34)</f>
        <v>0</v>
      </c>
      <c r="AF32" s="10" t="n">
        <f aca="false">IF(AND(AF$1&gt;Inputs!$B$34,AF$1&lt;=Inputs!$B$19),Funding!$B$8/Inputs!$B$19,Inputs!$B$34)</f>
        <v>0</v>
      </c>
      <c r="AG32" s="10" t="n">
        <f aca="false">IF(AND(AG$1&gt;Inputs!$B$34,AG$1&lt;=Inputs!$B$19),Funding!$B$8/Inputs!$B$19,Inputs!$B$34)</f>
        <v>0</v>
      </c>
      <c r="AH32" s="10" t="n">
        <f aca="false">IF(AND(AH$1&gt;Inputs!$B$34,AH$1&lt;=Inputs!$B$19),Funding!$B$8/Inputs!$B$19,Inputs!$B$34)</f>
        <v>0</v>
      </c>
      <c r="AI32" s="10" t="n">
        <f aca="false">IF(AND(AI$1&gt;Inputs!$B$34,AI$1&lt;=Inputs!$B$19),Funding!$B$8/Inputs!$B$19,Inputs!$B$34)</f>
        <v>0</v>
      </c>
      <c r="AJ32" s="10" t="n">
        <f aca="false">IF(AND(AJ$1&gt;Inputs!$B$34,AJ$1&lt;=Inputs!$B$19),Funding!$B$8/Inputs!$B$19,Inputs!$B$34)</f>
        <v>0</v>
      </c>
      <c r="AK32" s="10" t="n">
        <f aca="false">IF(AND(AK$1&gt;Inputs!$B$34,AK$1&lt;=Inputs!$B$19),Funding!$B$8/Inputs!$B$19,Inputs!$B$34)</f>
        <v>0</v>
      </c>
      <c r="AL32" s="10" t="n">
        <f aca="false">IF(AND(AL$1&gt;Inputs!$B$34,AL$1&lt;=Inputs!$B$19),Funding!$B$8/Inputs!$B$19,Inputs!$B$34)</f>
        <v>0</v>
      </c>
      <c r="AM32" s="10" t="n">
        <f aca="false">IF(AND(AM$1&gt;Inputs!$B$34,AM$1&lt;=Inputs!$B$19),Funding!$B$8/Inputs!$B$19,Inputs!$B$34)</f>
        <v>0</v>
      </c>
      <c r="AN32" s="10" t="n">
        <f aca="false">IF(AND(AN$1&gt;Inputs!$B$34,AN$1&lt;=Inputs!$B$19),Funding!$B$8/Inputs!$B$19,Inputs!$B$34)</f>
        <v>0</v>
      </c>
      <c r="AO32" s="10" t="n">
        <f aca="false">IF(AND(AO$1&gt;Inputs!$B$34,AO$1&lt;=Inputs!$B$19),Funding!$B$8/Inputs!$B$19,Inputs!$B$34)</f>
        <v>0</v>
      </c>
      <c r="AP32" s="10" t="n">
        <f aca="false">IF(AND(AP$1&gt;Inputs!$B$34,AP$1&lt;=Inputs!$B$19),Funding!$B$8/Inputs!$B$19,Inputs!$B$34)</f>
        <v>0</v>
      </c>
      <c r="AQ32" s="10" t="n">
        <f aca="false">IF(AND(AQ$1&gt;Inputs!$B$34,AQ$1&lt;=Inputs!$B$19),Funding!$B$8/Inputs!$B$19,Inputs!$B$34)</f>
        <v>0</v>
      </c>
      <c r="AR32" s="10" t="n">
        <f aca="false">IF(AND(AR$1&gt;Inputs!$B$34,AR$1&lt;=Inputs!$B$19),Funding!$B$8/Inputs!$B$19,Inputs!$B$34)</f>
        <v>0</v>
      </c>
      <c r="AS32" s="10" t="n">
        <f aca="false">IF(AND(AS$1&gt;Inputs!$B$34,AS$1&lt;=Inputs!$B$19),Funding!$B$8/Inputs!$B$19,Inputs!$B$34)</f>
        <v>0</v>
      </c>
      <c r="AT32" s="10" t="n">
        <f aca="false">IF(AND(AT$1&gt;Inputs!$B$34,AT$1&lt;=Inputs!$B$19),Funding!$B$8/Inputs!$B$19,Inputs!$B$34)</f>
        <v>0</v>
      </c>
      <c r="AU32" s="10" t="n">
        <f aca="false">IF(AND(AU$1&gt;Inputs!$B$34,AU$1&lt;=Inputs!$B$19),Funding!$B$8/Inputs!$B$19,Inputs!$B$34)</f>
        <v>0</v>
      </c>
      <c r="AV32" s="10" t="n">
        <f aca="false">IF(AND(AV$1&gt;Inputs!$B$34,AV$1&lt;=Inputs!$B$19),Funding!$B$8/Inputs!$B$19,Inputs!$B$34)</f>
        <v>0</v>
      </c>
      <c r="AW32" s="10" t="n">
        <f aca="false">IF(AND(AW$1&gt;Inputs!$B$34,AW$1&lt;=Inputs!$B$19),Funding!$B$8/Inputs!$B$19,Inputs!$B$34)</f>
        <v>0</v>
      </c>
      <c r="AX32" s="10" t="n">
        <f aca="false">IF(AND(AX$1&gt;Inputs!$B$34,AX$1&lt;=Inputs!$B$19),Funding!$B$8/Inputs!$B$19,Inputs!$B$34)</f>
        <v>0</v>
      </c>
      <c r="AY32" s="10" t="n">
        <f aca="false">IF(AND(AY$1&gt;Inputs!$B$34,AY$1&lt;=Inputs!$B$19),Funding!$B$8/Inputs!$B$19,Inputs!$B$34)</f>
        <v>0</v>
      </c>
      <c r="AZ32" s="10" t="n">
        <f aca="false">IF(AND(AZ$1&gt;Inputs!$B$34,AZ$1&lt;=Inputs!$B$19),Funding!$B$8/Inputs!$B$19,Inputs!$B$34)</f>
        <v>0</v>
      </c>
      <c r="BA32" s="10" t="n">
        <f aca="false">IF(AND(BA$1&gt;Inputs!$B$34,BA$1&lt;=Inputs!$B$19),Funding!$B$8/Inputs!$B$19,Inputs!$B$34)</f>
        <v>0</v>
      </c>
      <c r="BB32" s="10" t="n">
        <f aca="false">IF(AND(BB$1&gt;Inputs!$B$34,BB$1&lt;=Inputs!$B$19),Funding!$B$8/Inputs!$B$19,Inputs!$B$34)</f>
        <v>0</v>
      </c>
      <c r="BC32" s="10" t="n">
        <f aca="false">IF(AND(BC$1&gt;Inputs!$B$34,BC$1&lt;=Inputs!$B$19),Funding!$B$8/Inputs!$B$19,Inputs!$B$34)</f>
        <v>0</v>
      </c>
      <c r="BD32" s="10" t="n">
        <f aca="false">IF(AND(BD$1&gt;Inputs!$B$34,BD$1&lt;=Inputs!$B$19),Funding!$B$8/Inputs!$B$19,Inputs!$B$34)</f>
        <v>0</v>
      </c>
      <c r="BE32" s="10" t="n">
        <f aca="false">IF(AND(BE$1&gt;Inputs!$B$34,BE$1&lt;=Inputs!$B$19),Funding!$B$8/Inputs!$B$19,Inputs!$B$34)</f>
        <v>0</v>
      </c>
      <c r="BF32" s="10" t="n">
        <f aca="false">IF(AND(BF$1&gt;Inputs!$B$34,BF$1&lt;=Inputs!$B$19),Funding!$B$8/Inputs!$B$19,Inputs!$B$34)</f>
        <v>0</v>
      </c>
      <c r="BG32" s="10" t="n">
        <f aca="false">IF(AND(BG$1&gt;Inputs!$B$34,BG$1&lt;=Inputs!$B$19),Funding!$B$8/Inputs!$B$19,Inputs!$B$34)</f>
        <v>0</v>
      </c>
      <c r="BH32" s="10" t="n">
        <f aca="false">IF(AND(BH$1&gt;Inputs!$B$34,BH$1&lt;=Inputs!$B$19),Funding!$B$8/Inputs!$B$19,Inputs!$B$34)</f>
        <v>0</v>
      </c>
      <c r="BI32" s="10" t="n">
        <f aca="false">IF(AND(BI$1&gt;Inputs!$B$34,BI$1&lt;=Inputs!$B$19),Funding!$B$8/Inputs!$B$19,Inputs!$B$34)</f>
        <v>0</v>
      </c>
      <c r="BJ32" s="10" t="n">
        <f aca="false">IF(AND(BJ$1&gt;Inputs!$B$34,BJ$1&lt;=Inputs!$B$19),Funding!$B$8/Inputs!$B$19,Inputs!$B$34)</f>
        <v>0</v>
      </c>
      <c r="BK32" s="10" t="n">
        <f aca="false">IF(AND(BK$1&gt;Inputs!$B$34,BK$1&lt;=Inputs!$B$19),Funding!$B$8/Inputs!$B$19,Inputs!$B$34)</f>
        <v>0</v>
      </c>
      <c r="BL32" s="10" t="n">
        <f aca="false">IF(AND(BL$1&gt;Inputs!$B$34,BL$1&lt;=Inputs!$B$19),Funding!$B$8/Inputs!$B$19,Inputs!$B$34)</f>
        <v>0</v>
      </c>
      <c r="BM32" s="10" t="n">
        <f aca="false">IF(AND(BM$1&gt;Inputs!$B$34,BM$1&lt;=Inputs!$B$19),Funding!$B$8/Inputs!$B$19,Inputs!$B$34)</f>
        <v>0</v>
      </c>
      <c r="BN32" s="10" t="n">
        <f aca="false">IF(AND(BN$1&gt;Inputs!$B$34,BN$1&lt;=Inputs!$B$19),Funding!$B$8/Inputs!$B$19,Inputs!$B$34)</f>
        <v>0</v>
      </c>
      <c r="BO32" s="10" t="n">
        <f aca="false">IF(AND(BO$1&gt;Inputs!$B$34,BO$1&lt;=Inputs!$B$19),Funding!$B$8/Inputs!$B$19,Inputs!$B$34)</f>
        <v>0</v>
      </c>
      <c r="BP32" s="10" t="n">
        <f aca="false">IF(AND(BP$1&gt;Inputs!$B$34,BP$1&lt;=Inputs!$B$19),Funding!$B$8/Inputs!$B$19,Inputs!$B$34)</f>
        <v>0</v>
      </c>
      <c r="BQ32" s="10" t="n">
        <f aca="false">IF(AND(BQ$1&gt;Inputs!$B$34,BQ$1&lt;=Inputs!$B$19),Funding!$B$8/Inputs!$B$19,Inputs!$B$34)</f>
        <v>0</v>
      </c>
      <c r="BR32" s="10" t="n">
        <f aca="false">IF(AND(BR$1&gt;Inputs!$B$34,BR$1&lt;=Inputs!$B$19),Funding!$B$8/Inputs!$B$19,Inputs!$B$34)</f>
        <v>0</v>
      </c>
      <c r="BS32" s="10" t="n">
        <f aca="false">IF(AND(BS$1&gt;Inputs!$B$34,BS$1&lt;=Inputs!$B$19),Funding!$B$8/Inputs!$B$19,Inputs!$B$34)</f>
        <v>0</v>
      </c>
      <c r="BT32" s="10" t="n">
        <f aca="false">IF(AND(BT$1&gt;Inputs!$B$34,BT$1&lt;=Inputs!$B$19),Funding!$B$8/Inputs!$B$19,Inputs!$B$34)</f>
        <v>0</v>
      </c>
      <c r="BU32" s="10" t="n">
        <f aca="false">IF(AND(BU$1&gt;Inputs!$B$34,BU$1&lt;=Inputs!$B$19),Funding!$B$8/Inputs!$B$19,Inputs!$B$34)</f>
        <v>0</v>
      </c>
      <c r="BV32" s="10" t="n">
        <f aca="false">IF(AND(BV$1&gt;Inputs!$B$34,BV$1&lt;=Inputs!$B$19),Funding!$B$8/Inputs!$B$19,Inputs!$B$34)</f>
        <v>0</v>
      </c>
      <c r="BW32" s="10" t="n">
        <f aca="false">IF(AND(BW$1&gt;Inputs!$B$34,BW$1&lt;=Inputs!$B$19),Funding!$B$8/Inputs!$B$19,Inputs!$B$34)</f>
        <v>0</v>
      </c>
      <c r="BX32" s="10" t="n">
        <f aca="false">IF(AND(BX$1&gt;Inputs!$B$34,BX$1&lt;=Inputs!$B$19),Funding!$B$8/Inputs!$B$19,Inputs!$B$34)</f>
        <v>0</v>
      </c>
      <c r="BY32" s="10" t="n">
        <f aca="false">IF(AND(BY$1&gt;Inputs!$B$34,BY$1&lt;=Inputs!$B$19),Funding!$B$8/Inputs!$B$19,Inputs!$B$34)</f>
        <v>0</v>
      </c>
      <c r="BZ32" s="10" t="n">
        <f aca="false">IF(AND(BZ$1&gt;Inputs!$B$34,BZ$1&lt;=Inputs!$B$19),Funding!$B$8/Inputs!$B$19,Inputs!$B$34)</f>
        <v>0</v>
      </c>
      <c r="CA32" s="10" t="n">
        <f aca="false">IF(AND(CA$1&gt;Inputs!$B$34,CA$1&lt;=Inputs!$B$19),Funding!$B$8/Inputs!$B$19,Inputs!$B$34)</f>
        <v>0</v>
      </c>
      <c r="CB32" s="10" t="n">
        <f aca="false">IF(AND(CB$1&gt;Inputs!$B$34,CB$1&lt;=Inputs!$B$19),Funding!$B$8/Inputs!$B$19,Inputs!$B$34)</f>
        <v>0</v>
      </c>
      <c r="CC32" s="10" t="n">
        <f aca="false">IF(AND(CC$1&gt;Inputs!$B$34,CC$1&lt;=Inputs!$B$19),Funding!$B$8/Inputs!$B$19,Inputs!$B$34)</f>
        <v>0</v>
      </c>
      <c r="CD32" s="10" t="n">
        <f aca="false">IF(AND(CD$1&gt;Inputs!$B$34,CD$1&lt;=Inputs!$B$19),Funding!$B$8/Inputs!$B$19,Inputs!$B$34)</f>
        <v>0</v>
      </c>
      <c r="CE32" s="10" t="n">
        <f aca="false">IF(AND(CE$1&gt;Inputs!$B$34,CE$1&lt;=Inputs!$B$19),Funding!$B$8/Inputs!$B$19,Inputs!$B$34)</f>
        <v>0</v>
      </c>
      <c r="CF32" s="10" t="n">
        <f aca="false">IF(AND(CF$1&gt;Inputs!$B$34,CF$1&lt;=Inputs!$B$19),Funding!$B$8/Inputs!$B$19,Inputs!$B$34)</f>
        <v>0</v>
      </c>
      <c r="CG32" s="10" t="n">
        <f aca="false">IF(AND(CG$1&gt;Inputs!$B$34,CG$1&lt;=Inputs!$B$19),Funding!$B$8/Inputs!$B$19,Inputs!$B$34)</f>
        <v>0</v>
      </c>
      <c r="CH32" s="10" t="n">
        <f aca="false">IF(AND(CH$1&gt;Inputs!$B$34,CH$1&lt;=Inputs!$B$19),Funding!$B$8/Inputs!$B$19,Inputs!$B$34)</f>
        <v>0</v>
      </c>
      <c r="CI32" s="10" t="n">
        <f aca="false">IF(AND(CI$1&gt;Inputs!$B$34,CI$1&lt;=Inputs!$B$19),Funding!$B$8/Inputs!$B$19,Inputs!$B$34)</f>
        <v>0</v>
      </c>
      <c r="CJ32" s="10" t="n">
        <f aca="false">IF(AND(CJ$1&gt;Inputs!$B$34,CJ$1&lt;=Inputs!$B$19),Funding!$B$8/Inputs!$B$19,Inputs!$B$34)</f>
        <v>0</v>
      </c>
      <c r="CK32" s="10" t="n">
        <f aca="false">IF(AND(CK$1&gt;Inputs!$B$34,CK$1&lt;=Inputs!$B$19),Funding!$B$8/Inputs!$B$19,Inputs!$B$34)</f>
        <v>0</v>
      </c>
      <c r="CL32" s="10" t="n">
        <f aca="false">IF(AND(CL$1&gt;Inputs!$B$34,CL$1&lt;=Inputs!$B$19),Funding!$B$8/Inputs!$B$19,Inputs!$B$34)</f>
        <v>0</v>
      </c>
      <c r="CM32" s="10" t="n">
        <f aca="false">IF(AND(CM$1&gt;Inputs!$B$34,CM$1&lt;=Inputs!$B$19),Funding!$B$8/Inputs!$B$19,Inputs!$B$34)</f>
        <v>0</v>
      </c>
      <c r="CN32" s="10" t="n">
        <f aca="false">IF(AND(CN$1&gt;Inputs!$B$34,CN$1&lt;=Inputs!$B$19),Funding!$B$8/Inputs!$B$19,Inputs!$B$34)</f>
        <v>0</v>
      </c>
      <c r="CO32" s="10" t="n">
        <f aca="false">IF(AND(CO$1&gt;Inputs!$B$34,CO$1&lt;=Inputs!$B$19),Funding!$B$8/Inputs!$B$19,Inputs!$B$34)</f>
        <v>0</v>
      </c>
      <c r="CP32" s="10" t="n">
        <f aca="false">IF(AND(CP$1&gt;Inputs!$B$34,CP$1&lt;=Inputs!$B$19),Funding!$B$8/Inputs!$B$19,Inputs!$B$34)</f>
        <v>0</v>
      </c>
      <c r="CQ32" s="10" t="n">
        <f aca="false">IF(AND(CQ$1&gt;Inputs!$B$34,CQ$1&lt;=Inputs!$B$19),Funding!$B$8/Inputs!$B$19,Inputs!$B$34)</f>
        <v>0</v>
      </c>
      <c r="CR32" s="10" t="n">
        <f aca="false">IF(AND(CR$1&gt;Inputs!$B$34,CR$1&lt;=Inputs!$B$19),Funding!$B$8/Inputs!$B$19,Inputs!$B$34)</f>
        <v>0</v>
      </c>
      <c r="CS32" s="10" t="n">
        <f aca="false">IF(AND(CS$1&gt;Inputs!$B$34,CS$1&lt;=Inputs!$B$19),Funding!$B$8/Inputs!$B$19,Inputs!$B$34)</f>
        <v>0</v>
      </c>
      <c r="CT32" s="10" t="n">
        <f aca="false">IF(AND(CT$1&gt;Inputs!$B$34,CT$1&lt;=Inputs!$B$19),Funding!$B$8/Inputs!$B$19,Inputs!$B$34)</f>
        <v>0</v>
      </c>
      <c r="CU32" s="10" t="n">
        <f aca="false">IF(AND(CU$1&gt;Inputs!$B$34,CU$1&lt;=Inputs!$B$19),Funding!$B$8/Inputs!$B$19,Inputs!$B$34)</f>
        <v>0</v>
      </c>
      <c r="CV32" s="10" t="n">
        <f aca="false">IF(AND(CV$1&gt;Inputs!$B$34,CV$1&lt;=Inputs!$B$19),Funding!$B$8/Inputs!$B$19,Inputs!$B$34)</f>
        <v>0</v>
      </c>
      <c r="CW32" s="10" t="n">
        <f aca="false">IF(AND(CW$1&gt;Inputs!$B$34,CW$1&lt;=Inputs!$B$19),Funding!$B$8/Inputs!$B$19,Inputs!$B$34)</f>
        <v>0</v>
      </c>
      <c r="CX32" s="10" t="n">
        <f aca="false">IF(AND(CX$1&gt;Inputs!$B$34,CX$1&lt;=Inputs!$B$19),Funding!$B$8/Inputs!$B$19,Inputs!$B$34)</f>
        <v>0</v>
      </c>
      <c r="CY32" s="10" t="n">
        <f aca="false">IF(AND(CY$1&gt;Inputs!$B$34,CY$1&lt;=Inputs!$B$19),Funding!$B$8/Inputs!$B$19,Inputs!$B$34)</f>
        <v>0</v>
      </c>
      <c r="CZ32" s="10" t="n">
        <f aca="false">IF(AND(CZ$1&gt;Inputs!$B$34,CZ$1&lt;=Inputs!$B$19),Funding!$B$8/Inputs!$B$19,Inputs!$B$34)</f>
        <v>0</v>
      </c>
      <c r="DA32" s="10" t="n">
        <f aca="false">IF(AND(DA$1&gt;Inputs!$B$34,DA$1&lt;=Inputs!$B$19),Funding!$B$8/Inputs!$B$19,Inputs!$B$34)</f>
        <v>0</v>
      </c>
      <c r="DB32" s="10" t="n">
        <f aca="false">IF(AND(DB$1&gt;Inputs!$B$34,DB$1&lt;=Inputs!$B$19),Funding!$B$8/Inputs!$B$19,Inputs!$B$34)</f>
        <v>0</v>
      </c>
      <c r="DC32" s="10" t="n">
        <f aca="false">IF(AND(DC$1&gt;Inputs!$B$34,DC$1&lt;=Inputs!$B$19),Funding!$B$8/Inputs!$B$19,Inputs!$B$34)</f>
        <v>0</v>
      </c>
      <c r="DD32" s="10" t="n">
        <f aca="false">IF(AND(DD$1&gt;Inputs!$B$34,DD$1&lt;=Inputs!$B$19),Funding!$B$8/Inputs!$B$19,Inputs!$B$34)</f>
        <v>0</v>
      </c>
      <c r="DE32" s="10" t="n">
        <f aca="false">IF(AND(DE$1&gt;Inputs!$B$34,DE$1&lt;=Inputs!$B$19),Funding!$B$8/Inputs!$B$19,Inputs!$B$34)</f>
        <v>0</v>
      </c>
      <c r="DF32" s="10" t="n">
        <f aca="false">IF(AND(DF$1&gt;Inputs!$B$34,DF$1&lt;=Inputs!$B$19),Funding!$B$8/Inputs!$B$19,Inputs!$B$34)</f>
        <v>0</v>
      </c>
      <c r="DG32" s="10" t="n">
        <f aca="false">IF(AND(DG$1&gt;Inputs!$B$34,DG$1&lt;=Inputs!$B$19),Funding!$B$8/Inputs!$B$19,Inputs!$B$34)</f>
        <v>0</v>
      </c>
      <c r="DH32" s="10" t="n">
        <f aca="false">IF(AND(DH$1&gt;Inputs!$B$34,DH$1&lt;=Inputs!$B$19),Funding!$B$8/Inputs!$B$19,Inputs!$B$34)</f>
        <v>0</v>
      </c>
      <c r="DI32" s="10" t="n">
        <f aca="false">IF(AND(DI$1&gt;Inputs!$B$34,DI$1&lt;=Inputs!$B$19),Funding!$B$8/Inputs!$B$19,Inputs!$B$34)</f>
        <v>0</v>
      </c>
      <c r="DJ32" s="10" t="n">
        <f aca="false">IF(AND(DJ$1&gt;Inputs!$B$34,DJ$1&lt;=Inputs!$B$19),Funding!$B$8/Inputs!$B$19,Inputs!$B$34)</f>
        <v>0</v>
      </c>
      <c r="DK32" s="10" t="n">
        <f aca="false">IF(AND(DK$1&gt;Inputs!$B$34,DK$1&lt;=Inputs!$B$19),Funding!$B$8/Inputs!$B$19,Inputs!$B$34)</f>
        <v>0</v>
      </c>
      <c r="DL32" s="10" t="n">
        <f aca="false">IF(AND(DL$1&gt;Inputs!$B$34,DL$1&lt;=Inputs!$B$19),Funding!$B$8/Inputs!$B$19,Inputs!$B$34)</f>
        <v>0</v>
      </c>
      <c r="DM32" s="10" t="n">
        <f aca="false">IF(AND(DM$1&gt;Inputs!$B$34,DM$1&lt;=Inputs!$B$19),Funding!$B$8/Inputs!$B$19,Inputs!$B$34)</f>
        <v>0</v>
      </c>
      <c r="DN32" s="10" t="n">
        <f aca="false">IF(AND(DN$1&gt;Inputs!$B$34,DN$1&lt;=Inputs!$B$19),Funding!$B$8/Inputs!$B$19,Inputs!$B$34)</f>
        <v>0</v>
      </c>
      <c r="DO32" s="10" t="n">
        <f aca="false">IF(AND(DO$1&gt;Inputs!$B$34,DO$1&lt;=Inputs!$B$19),Funding!$B$8/Inputs!$B$19,Inputs!$B$34)</f>
        <v>0</v>
      </c>
      <c r="DP32" s="10" t="n">
        <f aca="false">IF(AND(DP$1&gt;Inputs!$B$34,DP$1&lt;=Inputs!$B$19),Funding!$B$8/Inputs!$B$19,Inputs!$B$34)</f>
        <v>0</v>
      </c>
      <c r="DQ32" s="10" t="n">
        <f aca="false">IF(AND(DQ$1&gt;Inputs!$B$34,DQ$1&lt;=Inputs!$B$19),Funding!$B$8/Inputs!$B$19,Inputs!$B$34)</f>
        <v>0</v>
      </c>
      <c r="DR32" s="10" t="n">
        <f aca="false">IF(AND(DR$1&gt;Inputs!$B$34,DR$1&lt;=Inputs!$B$19),Funding!$B$8/Inputs!$B$19,Inputs!$B$34)</f>
        <v>0</v>
      </c>
    </row>
    <row r="33" customFormat="false" ht="15" hidden="false" customHeight="false" outlineLevel="0" collapsed="false">
      <c r="A33" s="9" t="s">
        <v>202</v>
      </c>
      <c r="B33" s="11" t="n">
        <f aca="false">B31+B32</f>
        <v>0</v>
      </c>
      <c r="C33" s="11" t="n">
        <f aca="false">C31+C32</f>
        <v>1.13333333333333</v>
      </c>
      <c r="D33" s="11" t="n">
        <f aca="false">D31+D32</f>
        <v>1.13333333333333</v>
      </c>
      <c r="E33" s="11" t="n">
        <f aca="false">E31+E32</f>
        <v>1.13333333333333</v>
      </c>
      <c r="F33" s="11" t="n">
        <f aca="false">F31+F32</f>
        <v>1.13333333333333</v>
      </c>
      <c r="G33" s="11" t="n">
        <f aca="false">G31+G32</f>
        <v>1.13333333333333</v>
      </c>
      <c r="H33" s="11" t="n">
        <f aca="false">H31+H32</f>
        <v>2.33333333333333</v>
      </c>
      <c r="I33" s="11" t="n">
        <f aca="false">I31+I32</f>
        <v>2.33333333333333</v>
      </c>
      <c r="J33" s="11" t="n">
        <f aca="false">J31+J32</f>
        <v>2.33333333333333</v>
      </c>
      <c r="K33" s="11" t="n">
        <f aca="false">K31+K32</f>
        <v>3.13333333333333</v>
      </c>
      <c r="L33" s="11" t="n">
        <f aca="false">L31+L32</f>
        <v>3.13333333333333</v>
      </c>
      <c r="M33" s="11" t="n">
        <f aca="false">M31+M32</f>
        <v>3.13333333333333</v>
      </c>
      <c r="N33" s="11" t="n">
        <f aca="false">N31+N32</f>
        <v>3.93333333333333</v>
      </c>
      <c r="O33" s="11" t="n">
        <f aca="false">O31+O32</f>
        <v>3.35</v>
      </c>
      <c r="P33" s="11" t="n">
        <f aca="false">P31+P32</f>
        <v>3.35</v>
      </c>
      <c r="Q33" s="11" t="n">
        <f aca="false">Q31+Q32</f>
        <v>3.35</v>
      </c>
      <c r="R33" s="11" t="n">
        <f aca="false">R31+R32</f>
        <v>3.35</v>
      </c>
      <c r="S33" s="11" t="n">
        <f aca="false">S31+S32</f>
        <v>3.35</v>
      </c>
      <c r="T33" s="11" t="n">
        <f aca="false">T31+T32</f>
        <v>3.35</v>
      </c>
      <c r="U33" s="11" t="n">
        <f aca="false">U31+U32</f>
        <v>3.35</v>
      </c>
      <c r="V33" s="11" t="n">
        <f aca="false">V31+V32</f>
        <v>3.35</v>
      </c>
      <c r="W33" s="11" t="n">
        <f aca="false">W31+W32</f>
        <v>3.35</v>
      </c>
      <c r="X33" s="11" t="n">
        <f aca="false">X31+X32</f>
        <v>3.35</v>
      </c>
      <c r="Y33" s="11" t="n">
        <f aca="false">Y31+Y32</f>
        <v>3.35</v>
      </c>
      <c r="Z33" s="11" t="n">
        <f aca="false">Z31+Z32</f>
        <v>3.35</v>
      </c>
      <c r="AA33" s="11" t="n">
        <f aca="false">AA31+AA32</f>
        <v>3.35</v>
      </c>
      <c r="AB33" s="11" t="n">
        <f aca="false">AB31+AB32</f>
        <v>3.35</v>
      </c>
      <c r="AC33" s="11" t="n">
        <f aca="false">AC31+AC32</f>
        <v>3.35</v>
      </c>
      <c r="AD33" s="11" t="n">
        <f aca="false">AD31+AD32</f>
        <v>3.35</v>
      </c>
      <c r="AE33" s="11" t="n">
        <f aca="false">AE31+AE32</f>
        <v>3.35</v>
      </c>
      <c r="AF33" s="11" t="n">
        <f aca="false">AF31+AF32</f>
        <v>3.35</v>
      </c>
      <c r="AG33" s="11" t="n">
        <f aca="false">AG31+AG32</f>
        <v>3.35</v>
      </c>
      <c r="AH33" s="11" t="n">
        <f aca="false">AH31+AH32</f>
        <v>3.35</v>
      </c>
      <c r="AI33" s="11" t="n">
        <f aca="false">AI31+AI32</f>
        <v>3.35</v>
      </c>
      <c r="AJ33" s="11" t="n">
        <f aca="false">AJ31+AJ32</f>
        <v>3.35</v>
      </c>
      <c r="AK33" s="11" t="n">
        <f aca="false">AK31+AK32</f>
        <v>3.35</v>
      </c>
      <c r="AL33" s="11" t="n">
        <f aca="false">AL31+AL32</f>
        <v>3.35</v>
      </c>
      <c r="AM33" s="11" t="n">
        <f aca="false">AM31+AM32</f>
        <v>3.35</v>
      </c>
      <c r="AN33" s="11" t="n">
        <f aca="false">AN31+AN32</f>
        <v>3.35</v>
      </c>
      <c r="AO33" s="11" t="n">
        <f aca="false">AO31+AO32</f>
        <v>3.35</v>
      </c>
      <c r="AP33" s="11" t="n">
        <f aca="false">AP31+AP32</f>
        <v>3.35</v>
      </c>
      <c r="AQ33" s="11" t="n">
        <f aca="false">AQ31+AQ32</f>
        <v>3.35</v>
      </c>
      <c r="AR33" s="11" t="n">
        <f aca="false">AR31+AR32</f>
        <v>3.35</v>
      </c>
      <c r="AS33" s="11" t="n">
        <f aca="false">AS31+AS32</f>
        <v>3.35</v>
      </c>
      <c r="AT33" s="11" t="n">
        <f aca="false">AT31+AT32</f>
        <v>3.35</v>
      </c>
      <c r="AU33" s="11" t="n">
        <f aca="false">AU31+AU32</f>
        <v>3.35</v>
      </c>
      <c r="AV33" s="11" t="n">
        <f aca="false">AV31+AV32</f>
        <v>3.35</v>
      </c>
      <c r="AW33" s="11" t="n">
        <f aca="false">AW31+AW32</f>
        <v>3.35</v>
      </c>
      <c r="AX33" s="11" t="n">
        <f aca="false">AX31+AX32</f>
        <v>3.35</v>
      </c>
      <c r="AY33" s="11" t="n">
        <f aca="false">AY31+AY32</f>
        <v>3.35</v>
      </c>
      <c r="AZ33" s="11" t="n">
        <f aca="false">AZ31+AZ32</f>
        <v>3.35</v>
      </c>
      <c r="BA33" s="11" t="n">
        <f aca="false">BA31+BA32</f>
        <v>3.35</v>
      </c>
      <c r="BB33" s="11" t="n">
        <f aca="false">BB31+BB32</f>
        <v>3.35</v>
      </c>
      <c r="BC33" s="11" t="n">
        <f aca="false">BC31+BC32</f>
        <v>3.35</v>
      </c>
      <c r="BD33" s="11" t="n">
        <f aca="false">BD31+BD32</f>
        <v>3.35</v>
      </c>
      <c r="BE33" s="11" t="n">
        <f aca="false">BE31+BE32</f>
        <v>3.35</v>
      </c>
      <c r="BF33" s="11" t="n">
        <f aca="false">BF31+BF32</f>
        <v>3.35</v>
      </c>
      <c r="BG33" s="11" t="n">
        <f aca="false">BG31+BG32</f>
        <v>3.35</v>
      </c>
      <c r="BH33" s="11" t="n">
        <f aca="false">BH31+BH32</f>
        <v>3.35</v>
      </c>
      <c r="BI33" s="11" t="n">
        <f aca="false">BI31+BI32</f>
        <v>3.35</v>
      </c>
      <c r="BJ33" s="11" t="n">
        <f aca="false">BJ31+BJ32</f>
        <v>3.35</v>
      </c>
      <c r="BK33" s="11" t="n">
        <f aca="false">BK31+BK32</f>
        <v>3.35</v>
      </c>
      <c r="BL33" s="11" t="n">
        <f aca="false">BL31+BL32</f>
        <v>3.35</v>
      </c>
      <c r="BM33" s="11" t="n">
        <f aca="false">BM31+BM32</f>
        <v>3.35</v>
      </c>
      <c r="BN33" s="11" t="n">
        <f aca="false">BN31+BN32</f>
        <v>3.35</v>
      </c>
      <c r="BO33" s="11" t="n">
        <f aca="false">BO31+BO32</f>
        <v>3.35</v>
      </c>
      <c r="BP33" s="11" t="n">
        <f aca="false">BP31+BP32</f>
        <v>3.35</v>
      </c>
      <c r="BQ33" s="11" t="n">
        <f aca="false">BQ31+BQ32</f>
        <v>3.35</v>
      </c>
      <c r="BR33" s="11" t="n">
        <f aca="false">BR31+BR32</f>
        <v>3.35</v>
      </c>
      <c r="BS33" s="11" t="n">
        <f aca="false">BS31+BS32</f>
        <v>3.35</v>
      </c>
      <c r="BT33" s="11" t="n">
        <f aca="false">BT31+BT32</f>
        <v>3.35</v>
      </c>
      <c r="BU33" s="11" t="n">
        <f aca="false">BU31+BU32</f>
        <v>3.35</v>
      </c>
      <c r="BV33" s="11" t="n">
        <f aca="false">BV31+BV32</f>
        <v>3.35</v>
      </c>
      <c r="BW33" s="11" t="n">
        <f aca="false">BW31+BW32</f>
        <v>3.35</v>
      </c>
      <c r="BX33" s="11" t="n">
        <f aca="false">BX31+BX32</f>
        <v>3.35</v>
      </c>
      <c r="BY33" s="11" t="n">
        <f aca="false">BY31+BY32</f>
        <v>3.35</v>
      </c>
      <c r="BZ33" s="11" t="n">
        <f aca="false">BZ31+BZ32</f>
        <v>3.35</v>
      </c>
      <c r="CA33" s="11" t="n">
        <f aca="false">CA31+CA32</f>
        <v>3.35</v>
      </c>
      <c r="CB33" s="11" t="n">
        <f aca="false">CB31+CB32</f>
        <v>3.35</v>
      </c>
      <c r="CC33" s="11" t="n">
        <f aca="false">CC31+CC32</f>
        <v>3.35</v>
      </c>
      <c r="CD33" s="11" t="n">
        <f aca="false">CD31+CD32</f>
        <v>3.35</v>
      </c>
      <c r="CE33" s="11" t="n">
        <f aca="false">CE31+CE32</f>
        <v>3.35</v>
      </c>
      <c r="CF33" s="11" t="n">
        <f aca="false">CF31+CF32</f>
        <v>3.35</v>
      </c>
      <c r="CG33" s="11" t="n">
        <f aca="false">CG31+CG32</f>
        <v>3.35</v>
      </c>
      <c r="CH33" s="11" t="n">
        <f aca="false">CH31+CH32</f>
        <v>3.35</v>
      </c>
      <c r="CI33" s="11" t="n">
        <f aca="false">CI31+CI32</f>
        <v>3.35</v>
      </c>
      <c r="CJ33" s="11" t="n">
        <f aca="false">CJ31+CJ32</f>
        <v>3.35</v>
      </c>
      <c r="CK33" s="11" t="n">
        <f aca="false">CK31+CK32</f>
        <v>3.35</v>
      </c>
      <c r="CL33" s="11" t="n">
        <f aca="false">CL31+CL32</f>
        <v>3.35</v>
      </c>
      <c r="CM33" s="11" t="n">
        <f aca="false">CM31+CM32</f>
        <v>3.35</v>
      </c>
      <c r="CN33" s="11" t="n">
        <f aca="false">CN31+CN32</f>
        <v>3.35</v>
      </c>
      <c r="CO33" s="11" t="n">
        <f aca="false">CO31+CO32</f>
        <v>3.35</v>
      </c>
      <c r="CP33" s="11" t="n">
        <f aca="false">CP31+CP32</f>
        <v>3.35</v>
      </c>
      <c r="CQ33" s="11" t="n">
        <f aca="false">CQ31+CQ32</f>
        <v>3.35</v>
      </c>
      <c r="CR33" s="11" t="n">
        <f aca="false">CR31+CR32</f>
        <v>3.35</v>
      </c>
      <c r="CS33" s="11" t="n">
        <f aca="false">CS31+CS32</f>
        <v>3.35</v>
      </c>
      <c r="CT33" s="11" t="n">
        <f aca="false">CT31+CT32</f>
        <v>3.35</v>
      </c>
      <c r="CU33" s="11" t="n">
        <f aca="false">CU31+CU32</f>
        <v>3.35</v>
      </c>
      <c r="CV33" s="11" t="n">
        <f aca="false">CV31+CV32</f>
        <v>3.35</v>
      </c>
      <c r="CW33" s="11" t="n">
        <f aca="false">CW31+CW32</f>
        <v>3.35</v>
      </c>
      <c r="CX33" s="11" t="n">
        <f aca="false">CX31+CX32</f>
        <v>3.35</v>
      </c>
      <c r="CY33" s="11" t="n">
        <f aca="false">CY31+CY32</f>
        <v>3.35</v>
      </c>
      <c r="CZ33" s="11" t="n">
        <f aca="false">CZ31+CZ32</f>
        <v>3.35</v>
      </c>
      <c r="DA33" s="11" t="n">
        <f aca="false">DA31+DA32</f>
        <v>3.35</v>
      </c>
      <c r="DB33" s="11" t="n">
        <f aca="false">DB31+DB32</f>
        <v>3.35</v>
      </c>
      <c r="DC33" s="11" t="n">
        <f aca="false">DC31+DC32</f>
        <v>3.35</v>
      </c>
      <c r="DD33" s="11" t="n">
        <f aca="false">DD31+DD32</f>
        <v>3.35</v>
      </c>
      <c r="DE33" s="11" t="n">
        <f aca="false">DE31+DE32</f>
        <v>3.35</v>
      </c>
      <c r="DF33" s="11" t="n">
        <f aca="false">DF31+DF32</f>
        <v>3.35</v>
      </c>
      <c r="DG33" s="11" t="n">
        <f aca="false">DG31+DG32</f>
        <v>3.35</v>
      </c>
      <c r="DH33" s="11" t="n">
        <f aca="false">DH31+DH32</f>
        <v>3.35</v>
      </c>
      <c r="DI33" s="11" t="n">
        <f aca="false">DI31+DI32</f>
        <v>3.35</v>
      </c>
      <c r="DJ33" s="11" t="n">
        <f aca="false">DJ31+DJ32</f>
        <v>3.35</v>
      </c>
      <c r="DK33" s="11" t="n">
        <f aca="false">DK31+DK32</f>
        <v>3.35</v>
      </c>
      <c r="DL33" s="11" t="n">
        <f aca="false">DL31+DL32</f>
        <v>3.35</v>
      </c>
      <c r="DM33" s="11" t="n">
        <f aca="false">DM31+DM32</f>
        <v>3.35</v>
      </c>
      <c r="DN33" s="11" t="n">
        <f aca="false">DN31+DN32</f>
        <v>3.35</v>
      </c>
      <c r="DO33" s="11" t="n">
        <f aca="false">DO31+DO32</f>
        <v>3.35</v>
      </c>
      <c r="DP33" s="11" t="n">
        <f aca="false">DP31+DP32</f>
        <v>3.35</v>
      </c>
      <c r="DQ33" s="11" t="n">
        <f aca="false">DQ31+DQ32</f>
        <v>3.35</v>
      </c>
      <c r="DR33" s="11" t="n">
        <f aca="false">DR31+DR32</f>
        <v>3.35</v>
      </c>
    </row>
    <row r="34" customFormat="false" ht="15" hidden="false" customHeight="false" outlineLevel="0" collapsed="false">
      <c r="A34" s="9" t="s">
        <v>203</v>
      </c>
      <c r="B34" s="11" t="n">
        <f aca="false">B26-B33</f>
        <v>0</v>
      </c>
      <c r="C34" s="11" t="n">
        <f aca="false">C26-C33</f>
        <v>-1.13333333333333</v>
      </c>
      <c r="D34" s="11" t="n">
        <f aca="false">D26-D33</f>
        <v>-1.13333333333333</v>
      </c>
      <c r="E34" s="11" t="n">
        <f aca="false">E26-E33</f>
        <v>-1.13333333333333</v>
      </c>
      <c r="F34" s="11" t="n">
        <f aca="false">F26-F33</f>
        <v>-1.13333333333333</v>
      </c>
      <c r="G34" s="11" t="n">
        <f aca="false">G26-G33</f>
        <v>-1.13333333333333</v>
      </c>
      <c r="H34" s="11" t="n">
        <f aca="false">H26-H33</f>
        <v>0.666666666666667</v>
      </c>
      <c r="I34" s="11" t="n">
        <f aca="false">I26-I33</f>
        <v>0.666666666666667</v>
      </c>
      <c r="J34" s="11" t="n">
        <f aca="false">J26-J33</f>
        <v>0.666666666666667</v>
      </c>
      <c r="K34" s="11" t="n">
        <f aca="false">K26-K33</f>
        <v>1.86666666666667</v>
      </c>
      <c r="L34" s="11" t="n">
        <f aca="false">L26-L33</f>
        <v>1.86666666666667</v>
      </c>
      <c r="M34" s="11" t="n">
        <f aca="false">M26-M33</f>
        <v>1.86666666666667</v>
      </c>
      <c r="N34" s="11" t="n">
        <f aca="false">N26-N33</f>
        <v>3.06666666666667</v>
      </c>
      <c r="O34" s="11" t="n">
        <f aca="false">O26-O33</f>
        <v>3.65</v>
      </c>
      <c r="P34" s="11" t="n">
        <f aca="false">P26-P33</f>
        <v>3.65</v>
      </c>
      <c r="Q34" s="11" t="n">
        <f aca="false">Q26-Q33</f>
        <v>3.65</v>
      </c>
      <c r="R34" s="11" t="n">
        <f aca="false">R26-R33</f>
        <v>3.65</v>
      </c>
      <c r="S34" s="11" t="n">
        <f aca="false">S26-S33</f>
        <v>3.65</v>
      </c>
      <c r="T34" s="11" t="n">
        <f aca="false">T26-T33</f>
        <v>3.65</v>
      </c>
      <c r="U34" s="11" t="n">
        <f aca="false">U26-U33</f>
        <v>3.65</v>
      </c>
      <c r="V34" s="11" t="n">
        <f aca="false">V26-V33</f>
        <v>3.65</v>
      </c>
      <c r="W34" s="11" t="n">
        <f aca="false">W26-W33</f>
        <v>3.65</v>
      </c>
      <c r="X34" s="11" t="n">
        <f aca="false">X26-X33</f>
        <v>3.65</v>
      </c>
      <c r="Y34" s="11" t="n">
        <f aca="false">Y26-Y33</f>
        <v>3.65</v>
      </c>
      <c r="Z34" s="11" t="n">
        <f aca="false">Z26-Z33</f>
        <v>3.65</v>
      </c>
      <c r="AA34" s="11" t="n">
        <f aca="false">AA26-AA33</f>
        <v>3.65</v>
      </c>
      <c r="AB34" s="11" t="n">
        <f aca="false">AB26-AB33</f>
        <v>3.65</v>
      </c>
      <c r="AC34" s="11" t="n">
        <f aca="false">AC26-AC33</f>
        <v>3.65</v>
      </c>
      <c r="AD34" s="11" t="n">
        <f aca="false">AD26-AD33</f>
        <v>3.65</v>
      </c>
      <c r="AE34" s="11" t="n">
        <f aca="false">AE26-AE33</f>
        <v>3.65</v>
      </c>
      <c r="AF34" s="11" t="n">
        <f aca="false">AF26-AF33</f>
        <v>3.65</v>
      </c>
      <c r="AG34" s="11" t="n">
        <f aca="false">AG26-AG33</f>
        <v>3.65</v>
      </c>
      <c r="AH34" s="11" t="n">
        <f aca="false">AH26-AH33</f>
        <v>3.65</v>
      </c>
      <c r="AI34" s="11" t="n">
        <f aca="false">AI26-AI33</f>
        <v>3.65</v>
      </c>
      <c r="AJ34" s="11" t="n">
        <f aca="false">AJ26-AJ33</f>
        <v>3.65</v>
      </c>
      <c r="AK34" s="11" t="n">
        <f aca="false">AK26-AK33</f>
        <v>3.65</v>
      </c>
      <c r="AL34" s="11" t="n">
        <f aca="false">AL26-AL33</f>
        <v>3.65</v>
      </c>
      <c r="AM34" s="11" t="n">
        <f aca="false">AM26-AM33</f>
        <v>3.65</v>
      </c>
      <c r="AN34" s="11" t="n">
        <f aca="false">AN26-AN33</f>
        <v>3.65</v>
      </c>
      <c r="AO34" s="11" t="n">
        <f aca="false">AO26-AO33</f>
        <v>3.65</v>
      </c>
      <c r="AP34" s="11" t="n">
        <f aca="false">AP26-AP33</f>
        <v>3.65</v>
      </c>
      <c r="AQ34" s="11" t="n">
        <f aca="false">AQ26-AQ33</f>
        <v>3.65</v>
      </c>
      <c r="AR34" s="11" t="n">
        <f aca="false">AR26-AR33</f>
        <v>3.65</v>
      </c>
      <c r="AS34" s="11" t="n">
        <f aca="false">AS26-AS33</f>
        <v>3.65</v>
      </c>
      <c r="AT34" s="11" t="n">
        <f aca="false">AT26-AT33</f>
        <v>3.65</v>
      </c>
      <c r="AU34" s="11" t="n">
        <f aca="false">AU26-AU33</f>
        <v>3.65</v>
      </c>
      <c r="AV34" s="11" t="n">
        <f aca="false">AV26-AV33</f>
        <v>3.65</v>
      </c>
      <c r="AW34" s="11" t="n">
        <f aca="false">AW26-AW33</f>
        <v>3.65</v>
      </c>
      <c r="AX34" s="11" t="n">
        <f aca="false">AX26-AX33</f>
        <v>3.65</v>
      </c>
      <c r="AY34" s="11" t="n">
        <f aca="false">AY26-AY33</f>
        <v>3.65</v>
      </c>
      <c r="AZ34" s="11" t="n">
        <f aca="false">AZ26-AZ33</f>
        <v>3.65</v>
      </c>
      <c r="BA34" s="11" t="n">
        <f aca="false">BA26-BA33</f>
        <v>3.65</v>
      </c>
      <c r="BB34" s="11" t="n">
        <f aca="false">BB26-BB33</f>
        <v>3.65</v>
      </c>
      <c r="BC34" s="11" t="n">
        <f aca="false">BC26-BC33</f>
        <v>3.65</v>
      </c>
      <c r="BD34" s="11" t="n">
        <f aca="false">BD26-BD33</f>
        <v>3.65</v>
      </c>
      <c r="BE34" s="11" t="n">
        <f aca="false">BE26-BE33</f>
        <v>3.65</v>
      </c>
      <c r="BF34" s="11" t="n">
        <f aca="false">BF26-BF33</f>
        <v>3.65</v>
      </c>
      <c r="BG34" s="11" t="n">
        <f aca="false">BG26-BG33</f>
        <v>3.65</v>
      </c>
      <c r="BH34" s="11" t="n">
        <f aca="false">BH26-BH33</f>
        <v>3.65</v>
      </c>
      <c r="BI34" s="11" t="n">
        <f aca="false">BI26-BI33</f>
        <v>3.65</v>
      </c>
      <c r="BJ34" s="11" t="n">
        <f aca="false">BJ26-BJ33</f>
        <v>3.65</v>
      </c>
      <c r="BK34" s="11" t="n">
        <f aca="false">BK26-BK33</f>
        <v>3.65</v>
      </c>
      <c r="BL34" s="11" t="n">
        <f aca="false">BL26-BL33</f>
        <v>3.65</v>
      </c>
      <c r="BM34" s="11" t="n">
        <f aca="false">BM26-BM33</f>
        <v>3.65</v>
      </c>
      <c r="BN34" s="11" t="n">
        <f aca="false">BN26-BN33</f>
        <v>3.65</v>
      </c>
      <c r="BO34" s="11" t="n">
        <f aca="false">BO26-BO33</f>
        <v>3.65</v>
      </c>
      <c r="BP34" s="11" t="n">
        <f aca="false">BP26-BP33</f>
        <v>3.65</v>
      </c>
      <c r="BQ34" s="11" t="n">
        <f aca="false">BQ26-BQ33</f>
        <v>3.65</v>
      </c>
      <c r="BR34" s="11" t="n">
        <f aca="false">BR26-BR33</f>
        <v>3.65</v>
      </c>
      <c r="BS34" s="11" t="n">
        <f aca="false">BS26-BS33</f>
        <v>3.65</v>
      </c>
      <c r="BT34" s="11" t="n">
        <f aca="false">BT26-BT33</f>
        <v>3.65</v>
      </c>
      <c r="BU34" s="11" t="n">
        <f aca="false">BU26-BU33</f>
        <v>3.65</v>
      </c>
      <c r="BV34" s="11" t="n">
        <f aca="false">BV26-BV33</f>
        <v>3.65</v>
      </c>
      <c r="BW34" s="11" t="n">
        <f aca="false">BW26-BW33</f>
        <v>3.65</v>
      </c>
      <c r="BX34" s="11" t="n">
        <f aca="false">BX26-BX33</f>
        <v>3.65</v>
      </c>
      <c r="BY34" s="11" t="n">
        <f aca="false">BY26-BY33</f>
        <v>3.65</v>
      </c>
      <c r="BZ34" s="11" t="n">
        <f aca="false">BZ26-BZ33</f>
        <v>3.65</v>
      </c>
      <c r="CA34" s="11" t="n">
        <f aca="false">CA26-CA33</f>
        <v>3.65</v>
      </c>
      <c r="CB34" s="11" t="n">
        <f aca="false">CB26-CB33</f>
        <v>3.65</v>
      </c>
      <c r="CC34" s="11" t="n">
        <f aca="false">CC26-CC33</f>
        <v>3.65</v>
      </c>
      <c r="CD34" s="11" t="n">
        <f aca="false">CD26-CD33</f>
        <v>3.65</v>
      </c>
      <c r="CE34" s="11" t="n">
        <f aca="false">CE26-CE33</f>
        <v>3.65</v>
      </c>
      <c r="CF34" s="11" t="n">
        <f aca="false">CF26-CF33</f>
        <v>3.65</v>
      </c>
      <c r="CG34" s="11" t="n">
        <f aca="false">CG26-CG33</f>
        <v>3.65</v>
      </c>
      <c r="CH34" s="11" t="n">
        <f aca="false">CH26-CH33</f>
        <v>3.65</v>
      </c>
      <c r="CI34" s="11" t="n">
        <f aca="false">CI26-CI33</f>
        <v>3.65</v>
      </c>
      <c r="CJ34" s="11" t="n">
        <f aca="false">CJ26-CJ33</f>
        <v>3.65</v>
      </c>
      <c r="CK34" s="11" t="n">
        <f aca="false">CK26-CK33</f>
        <v>3.65</v>
      </c>
      <c r="CL34" s="11" t="n">
        <f aca="false">CL26-CL33</f>
        <v>3.65</v>
      </c>
      <c r="CM34" s="11" t="n">
        <f aca="false">CM26-CM33</f>
        <v>3.65</v>
      </c>
      <c r="CN34" s="11" t="n">
        <f aca="false">CN26-CN33</f>
        <v>3.65</v>
      </c>
      <c r="CO34" s="11" t="n">
        <f aca="false">CO26-CO33</f>
        <v>3.65</v>
      </c>
      <c r="CP34" s="11" t="n">
        <f aca="false">CP26-CP33</f>
        <v>3.65</v>
      </c>
      <c r="CQ34" s="11" t="n">
        <f aca="false">CQ26-CQ33</f>
        <v>3.65</v>
      </c>
      <c r="CR34" s="11" t="n">
        <f aca="false">CR26-CR33</f>
        <v>3.65</v>
      </c>
      <c r="CS34" s="11" t="n">
        <f aca="false">CS26-CS33</f>
        <v>3.65</v>
      </c>
      <c r="CT34" s="11" t="n">
        <f aca="false">CT26-CT33</f>
        <v>3.65</v>
      </c>
      <c r="CU34" s="11" t="n">
        <f aca="false">CU26-CU33</f>
        <v>3.65</v>
      </c>
      <c r="CV34" s="11" t="n">
        <f aca="false">CV26-CV33</f>
        <v>3.65</v>
      </c>
      <c r="CW34" s="11" t="n">
        <f aca="false">CW26-CW33</f>
        <v>3.65</v>
      </c>
      <c r="CX34" s="11" t="n">
        <f aca="false">CX26-CX33</f>
        <v>3.65</v>
      </c>
      <c r="CY34" s="11" t="n">
        <f aca="false">CY26-CY33</f>
        <v>3.65</v>
      </c>
      <c r="CZ34" s="11" t="n">
        <f aca="false">CZ26-CZ33</f>
        <v>3.65</v>
      </c>
      <c r="DA34" s="11" t="n">
        <f aca="false">DA26-DA33</f>
        <v>3.65</v>
      </c>
      <c r="DB34" s="11" t="n">
        <f aca="false">DB26-DB33</f>
        <v>3.65</v>
      </c>
      <c r="DC34" s="11" t="n">
        <f aca="false">DC26-DC33</f>
        <v>3.65</v>
      </c>
      <c r="DD34" s="11" t="n">
        <f aca="false">DD26-DD33</f>
        <v>3.65</v>
      </c>
      <c r="DE34" s="11" t="n">
        <f aca="false">DE26-DE33</f>
        <v>3.65</v>
      </c>
      <c r="DF34" s="11" t="n">
        <f aca="false">DF26-DF33</f>
        <v>3.65</v>
      </c>
      <c r="DG34" s="11" t="n">
        <f aca="false">DG26-DG33</f>
        <v>3.65</v>
      </c>
      <c r="DH34" s="11" t="n">
        <f aca="false">DH26-DH33</f>
        <v>3.65</v>
      </c>
      <c r="DI34" s="11" t="n">
        <f aca="false">DI26-DI33</f>
        <v>3.65</v>
      </c>
      <c r="DJ34" s="11" t="n">
        <f aca="false">DJ26-DJ33</f>
        <v>3.65</v>
      </c>
      <c r="DK34" s="11" t="n">
        <f aca="false">DK26-DK33</f>
        <v>3.65</v>
      </c>
      <c r="DL34" s="11" t="n">
        <f aca="false">DL26-DL33</f>
        <v>3.65</v>
      </c>
      <c r="DM34" s="11" t="n">
        <f aca="false">DM26-DM33</f>
        <v>3.65</v>
      </c>
      <c r="DN34" s="11" t="n">
        <f aca="false">DN26-DN33</f>
        <v>3.65</v>
      </c>
      <c r="DO34" s="11" t="n">
        <f aca="false">DO26-DO33</f>
        <v>3.65</v>
      </c>
      <c r="DP34" s="11" t="n">
        <f aca="false">DP26-DP33</f>
        <v>3.65</v>
      </c>
      <c r="DQ34" s="11" t="n">
        <f aca="false">DQ26-DQ33</f>
        <v>3.65</v>
      </c>
      <c r="DR34" s="11" t="n">
        <f aca="false">DR26-DR33</f>
        <v>3.65</v>
      </c>
    </row>
    <row r="35" customFormat="false" ht="15" hidden="false" customHeight="false" outlineLevel="0" collapsed="false">
      <c r="A35" s="12" t="s">
        <v>204</v>
      </c>
      <c r="B35" s="13" t="n">
        <f aca="false">B19-B23-B33</f>
        <v>0</v>
      </c>
      <c r="C35" s="13" t="n">
        <f aca="false">C19-C23-C33</f>
        <v>-1.13333333333333</v>
      </c>
      <c r="D35" s="13" t="n">
        <f aca="false">D19-D23-D33</f>
        <v>-1.13333333333333</v>
      </c>
      <c r="E35" s="13" t="n">
        <f aca="false">E19-E23-E33</f>
        <v>-1.13333333333333</v>
      </c>
      <c r="F35" s="13" t="n">
        <f aca="false">F19-F23-F33</f>
        <v>-1.13333333333333</v>
      </c>
      <c r="G35" s="13" t="n">
        <f aca="false">G19-G23-G33</f>
        <v>-1.13333333333333</v>
      </c>
      <c r="H35" s="13" t="n">
        <f aca="false">H19-H23-H33</f>
        <v>6.66666666666667</v>
      </c>
      <c r="I35" s="13" t="n">
        <f aca="false">I19-I23-I33</f>
        <v>6.66666666666667</v>
      </c>
      <c r="J35" s="13" t="n">
        <f aca="false">J19-J23-J33</f>
        <v>6.66666666666667</v>
      </c>
      <c r="K35" s="13" t="n">
        <f aca="false">K19-K23-K33</f>
        <v>11.8666666666667</v>
      </c>
      <c r="L35" s="13" t="n">
        <f aca="false">L19-L23-L33</f>
        <v>11.8666666666667</v>
      </c>
      <c r="M35" s="13" t="n">
        <f aca="false">M19-M23-M33</f>
        <v>11.8666666666667</v>
      </c>
      <c r="N35" s="13" t="n">
        <f aca="false">N19-N23-N33</f>
        <v>17.0666666666667</v>
      </c>
      <c r="O35" s="13" t="n">
        <f aca="false">O19-O23-O33</f>
        <v>17.65</v>
      </c>
      <c r="P35" s="13" t="n">
        <f aca="false">P19-P23-P33</f>
        <v>17.65</v>
      </c>
      <c r="Q35" s="13" t="n">
        <f aca="false">Q19-Q23-Q33</f>
        <v>17.65</v>
      </c>
      <c r="R35" s="13" t="n">
        <f aca="false">R19-R23-R33</f>
        <v>17.65</v>
      </c>
      <c r="S35" s="13" t="n">
        <f aca="false">S19-S23-S33</f>
        <v>17.65</v>
      </c>
      <c r="T35" s="13" t="n">
        <f aca="false">T19-T23-T33</f>
        <v>17.65</v>
      </c>
      <c r="U35" s="13" t="n">
        <f aca="false">U19-U23-U33</f>
        <v>17.65</v>
      </c>
      <c r="V35" s="13" t="n">
        <f aca="false">V19-V23-V33</f>
        <v>17.65</v>
      </c>
      <c r="W35" s="13" t="n">
        <f aca="false">W19-W23-W33</f>
        <v>17.65</v>
      </c>
      <c r="X35" s="13" t="n">
        <f aca="false">X19-X23-X33</f>
        <v>17.65</v>
      </c>
      <c r="Y35" s="13" t="n">
        <f aca="false">Y19-Y23-Y33</f>
        <v>17.65</v>
      </c>
      <c r="Z35" s="13" t="n">
        <f aca="false">Z19-Z23-Z33</f>
        <v>17.65</v>
      </c>
      <c r="AA35" s="13" t="n">
        <f aca="false">AA19-AA23-AA33</f>
        <v>17.65</v>
      </c>
      <c r="AB35" s="13" t="n">
        <f aca="false">AB19-AB23-AB33</f>
        <v>17.65</v>
      </c>
      <c r="AC35" s="13" t="n">
        <f aca="false">AC19-AC23-AC33</f>
        <v>17.65</v>
      </c>
      <c r="AD35" s="13" t="n">
        <f aca="false">AD19-AD23-AD33</f>
        <v>17.65</v>
      </c>
      <c r="AE35" s="13" t="n">
        <f aca="false">AE19-AE23-AE33</f>
        <v>17.65</v>
      </c>
      <c r="AF35" s="13" t="n">
        <f aca="false">AF19-AF23-AF33</f>
        <v>17.65</v>
      </c>
      <c r="AG35" s="13" t="n">
        <f aca="false">AG19-AG23-AG33</f>
        <v>17.65</v>
      </c>
      <c r="AH35" s="13" t="n">
        <f aca="false">AH19-AH23-AH33</f>
        <v>17.65</v>
      </c>
      <c r="AI35" s="13" t="n">
        <f aca="false">AI19-AI23-AI33</f>
        <v>17.65</v>
      </c>
      <c r="AJ35" s="13" t="n">
        <f aca="false">AJ19-AJ23-AJ33</f>
        <v>17.65</v>
      </c>
      <c r="AK35" s="13" t="n">
        <f aca="false">AK19-AK23-AK33</f>
        <v>17.65</v>
      </c>
      <c r="AL35" s="13" t="n">
        <f aca="false">AL19-AL23-AL33</f>
        <v>17.65</v>
      </c>
      <c r="AM35" s="13" t="n">
        <f aca="false">AM19-AM23-AM33</f>
        <v>17.65</v>
      </c>
      <c r="AN35" s="13" t="n">
        <f aca="false">AN19-AN23-AN33</f>
        <v>17.65</v>
      </c>
      <c r="AO35" s="13" t="n">
        <f aca="false">AO19-AO23-AO33</f>
        <v>17.65</v>
      </c>
      <c r="AP35" s="13" t="n">
        <f aca="false">AP19-AP23-AP33</f>
        <v>17.65</v>
      </c>
      <c r="AQ35" s="13" t="n">
        <f aca="false">AQ19-AQ23-AQ33</f>
        <v>17.65</v>
      </c>
      <c r="AR35" s="13" t="n">
        <f aca="false">AR19-AR23-AR33</f>
        <v>17.65</v>
      </c>
      <c r="AS35" s="13" t="n">
        <f aca="false">AS19-AS23-AS33</f>
        <v>17.65</v>
      </c>
      <c r="AT35" s="13" t="n">
        <f aca="false">AT19-AT23-AT33</f>
        <v>17.65</v>
      </c>
      <c r="AU35" s="13" t="n">
        <f aca="false">AU19-AU23-AU33</f>
        <v>17.65</v>
      </c>
      <c r="AV35" s="13" t="n">
        <f aca="false">AV19-AV23-AV33</f>
        <v>17.65</v>
      </c>
      <c r="AW35" s="13" t="n">
        <f aca="false">AW19-AW23-AW33</f>
        <v>17.65</v>
      </c>
      <c r="AX35" s="13" t="n">
        <f aca="false">AX19-AX23-AX33</f>
        <v>17.65</v>
      </c>
      <c r="AY35" s="13" t="n">
        <f aca="false">AY19-AY23-AY33</f>
        <v>17.65</v>
      </c>
      <c r="AZ35" s="13" t="n">
        <f aca="false">AZ19-AZ23-AZ33</f>
        <v>17.65</v>
      </c>
      <c r="BA35" s="13" t="n">
        <f aca="false">BA19-BA23-BA33</f>
        <v>17.65</v>
      </c>
      <c r="BB35" s="13" t="n">
        <f aca="false">BB19-BB23-BB33</f>
        <v>17.65</v>
      </c>
      <c r="BC35" s="13" t="n">
        <f aca="false">BC19-BC23-BC33</f>
        <v>17.65</v>
      </c>
      <c r="BD35" s="13" t="n">
        <f aca="false">BD19-BD23-BD33</f>
        <v>17.65</v>
      </c>
      <c r="BE35" s="13" t="n">
        <f aca="false">BE19-BE23-BE33</f>
        <v>17.65</v>
      </c>
      <c r="BF35" s="13" t="n">
        <f aca="false">BF19-BF23-BF33</f>
        <v>17.65</v>
      </c>
      <c r="BG35" s="13" t="n">
        <f aca="false">BG19-BG23-BG33</f>
        <v>17.65</v>
      </c>
      <c r="BH35" s="13" t="n">
        <f aca="false">BH19-BH23-BH33</f>
        <v>17.65</v>
      </c>
      <c r="BI35" s="13" t="n">
        <f aca="false">BI19-BI23-BI33</f>
        <v>17.65</v>
      </c>
      <c r="BJ35" s="13" t="n">
        <f aca="false">BJ19-BJ23-BJ33</f>
        <v>17.65</v>
      </c>
      <c r="BK35" s="13" t="n">
        <f aca="false">BK19-BK23-BK33</f>
        <v>17.65</v>
      </c>
      <c r="BL35" s="13" t="n">
        <f aca="false">BL19-BL23-BL33</f>
        <v>17.65</v>
      </c>
      <c r="BM35" s="13" t="n">
        <f aca="false">BM19-BM23-BM33</f>
        <v>17.65</v>
      </c>
      <c r="BN35" s="13" t="n">
        <f aca="false">BN19-BN23-BN33</f>
        <v>17.65</v>
      </c>
      <c r="BO35" s="13" t="n">
        <f aca="false">BO19-BO23-BO33</f>
        <v>17.65</v>
      </c>
      <c r="BP35" s="13" t="n">
        <f aca="false">BP19-BP23-BP33</f>
        <v>17.65</v>
      </c>
      <c r="BQ35" s="13" t="n">
        <f aca="false">BQ19-BQ23-BQ33</f>
        <v>17.65</v>
      </c>
      <c r="BR35" s="13" t="n">
        <f aca="false">BR19-BR23-BR33</f>
        <v>17.65</v>
      </c>
      <c r="BS35" s="13" t="n">
        <f aca="false">BS19-BS23-BS33</f>
        <v>17.65</v>
      </c>
      <c r="BT35" s="13" t="n">
        <f aca="false">BT19-BT23-BT33</f>
        <v>17.65</v>
      </c>
      <c r="BU35" s="13" t="n">
        <f aca="false">BU19-BU23-BU33</f>
        <v>17.65</v>
      </c>
      <c r="BV35" s="13" t="n">
        <f aca="false">BV19-BV23-BV33</f>
        <v>17.65</v>
      </c>
      <c r="BW35" s="13" t="n">
        <f aca="false">BW19-BW23-BW33</f>
        <v>17.65</v>
      </c>
      <c r="BX35" s="13" t="n">
        <f aca="false">BX19-BX23-BX33</f>
        <v>17.65</v>
      </c>
      <c r="BY35" s="13" t="n">
        <f aca="false">BY19-BY23-BY33</f>
        <v>17.65</v>
      </c>
      <c r="BZ35" s="13" t="n">
        <f aca="false">BZ19-BZ23-BZ33</f>
        <v>17.65</v>
      </c>
      <c r="CA35" s="13" t="n">
        <f aca="false">CA19-CA23-CA33</f>
        <v>17.65</v>
      </c>
      <c r="CB35" s="13" t="n">
        <f aca="false">CB19-CB23-CB33</f>
        <v>17.65</v>
      </c>
      <c r="CC35" s="13" t="n">
        <f aca="false">CC19-CC23-CC33</f>
        <v>17.65</v>
      </c>
      <c r="CD35" s="13" t="n">
        <f aca="false">CD19-CD23-CD33</f>
        <v>17.65</v>
      </c>
      <c r="CE35" s="13" t="n">
        <f aca="false">CE19-CE23-CE33</f>
        <v>17.65</v>
      </c>
      <c r="CF35" s="13" t="n">
        <f aca="false">CF19-CF23-CF33</f>
        <v>17.65</v>
      </c>
      <c r="CG35" s="13" t="n">
        <f aca="false">CG19-CG23-CG33</f>
        <v>17.65</v>
      </c>
      <c r="CH35" s="13" t="n">
        <f aca="false">CH19-CH23-CH33</f>
        <v>17.65</v>
      </c>
      <c r="CI35" s="13" t="n">
        <f aca="false">CI19-CI23-CI33</f>
        <v>17.65</v>
      </c>
      <c r="CJ35" s="13" t="n">
        <f aca="false">CJ19-CJ23-CJ33</f>
        <v>17.65</v>
      </c>
      <c r="CK35" s="13" t="n">
        <f aca="false">CK19-CK23-CK33</f>
        <v>17.65</v>
      </c>
      <c r="CL35" s="13" t="n">
        <f aca="false">CL19-CL23-CL33</f>
        <v>17.65</v>
      </c>
      <c r="CM35" s="13" t="n">
        <f aca="false">CM19-CM23-CM33</f>
        <v>17.65</v>
      </c>
      <c r="CN35" s="13" t="n">
        <f aca="false">CN19-CN23-CN33</f>
        <v>17.65</v>
      </c>
      <c r="CO35" s="13" t="n">
        <f aca="false">CO19-CO23-CO33</f>
        <v>17.65</v>
      </c>
      <c r="CP35" s="13" t="n">
        <f aca="false">CP19-CP23-CP33</f>
        <v>17.65</v>
      </c>
      <c r="CQ35" s="13" t="n">
        <f aca="false">CQ19-CQ23-CQ33</f>
        <v>17.65</v>
      </c>
      <c r="CR35" s="13" t="n">
        <f aca="false">CR19-CR23-CR33</f>
        <v>17.65</v>
      </c>
      <c r="CS35" s="13" t="n">
        <f aca="false">CS19-CS23-CS33</f>
        <v>17.65</v>
      </c>
      <c r="CT35" s="13" t="n">
        <f aca="false">CT19-CT23-CT33</f>
        <v>17.65</v>
      </c>
      <c r="CU35" s="13" t="n">
        <f aca="false">CU19-CU23-CU33</f>
        <v>17.65</v>
      </c>
      <c r="CV35" s="13" t="n">
        <f aca="false">CV19-CV23-CV33</f>
        <v>17.65</v>
      </c>
      <c r="CW35" s="13" t="n">
        <f aca="false">CW19-CW23-CW33</f>
        <v>17.65</v>
      </c>
      <c r="CX35" s="13" t="n">
        <f aca="false">CX19-CX23-CX33</f>
        <v>17.65</v>
      </c>
      <c r="CY35" s="13" t="n">
        <f aca="false">CY19-CY23-CY33</f>
        <v>17.65</v>
      </c>
      <c r="CZ35" s="13" t="n">
        <f aca="false">CZ19-CZ23-CZ33</f>
        <v>17.65</v>
      </c>
      <c r="DA35" s="13" t="n">
        <f aca="false">DA19-DA23-DA33</f>
        <v>17.65</v>
      </c>
      <c r="DB35" s="13" t="n">
        <f aca="false">DB19-DB23-DB33</f>
        <v>17.65</v>
      </c>
      <c r="DC35" s="13" t="n">
        <f aca="false">DC19-DC23-DC33</f>
        <v>17.65</v>
      </c>
      <c r="DD35" s="13" t="n">
        <f aca="false">DD19-DD23-DD33</f>
        <v>17.65</v>
      </c>
      <c r="DE35" s="13" t="n">
        <f aca="false">DE19-DE23-DE33</f>
        <v>17.65</v>
      </c>
      <c r="DF35" s="13" t="n">
        <f aca="false">DF19-DF23-DF33</f>
        <v>17.65</v>
      </c>
      <c r="DG35" s="13" t="n">
        <f aca="false">DG19-DG23-DG33</f>
        <v>17.65</v>
      </c>
      <c r="DH35" s="13" t="n">
        <f aca="false">DH19-DH23-DH33</f>
        <v>17.65</v>
      </c>
      <c r="DI35" s="13" t="n">
        <f aca="false">DI19-DI23-DI33</f>
        <v>17.65</v>
      </c>
      <c r="DJ35" s="13" t="n">
        <f aca="false">DJ19-DJ23-DJ33</f>
        <v>17.65</v>
      </c>
      <c r="DK35" s="13" t="n">
        <f aca="false">DK19-DK23-DK33</f>
        <v>17.65</v>
      </c>
      <c r="DL35" s="13" t="n">
        <f aca="false">DL19-DL23-DL33</f>
        <v>17.65</v>
      </c>
      <c r="DM35" s="13" t="n">
        <f aca="false">DM19-DM23-DM33</f>
        <v>17.65</v>
      </c>
      <c r="DN35" s="13" t="n">
        <f aca="false">DN19-DN23-DN33</f>
        <v>17.65</v>
      </c>
      <c r="DO35" s="13" t="n">
        <f aca="false">DO19-DO23-DO33</f>
        <v>17.65</v>
      </c>
      <c r="DP35" s="13" t="n">
        <f aca="false">DP19-DP23-DP33</f>
        <v>17.65</v>
      </c>
      <c r="DQ35" s="13" t="n">
        <f aca="false">DQ19-DQ23-DQ33</f>
        <v>17.65</v>
      </c>
      <c r="DR35" s="13" t="n">
        <f aca="false">DR19-DR23-DR33</f>
        <v>17.65</v>
      </c>
    </row>
    <row r="36" customFormat="false" ht="15" hidden="false" customHeight="false" outlineLevel="0" collapsed="false">
      <c r="A36" s="9" t="s">
        <v>205</v>
      </c>
      <c r="B36" s="10" t="n">
        <f aca="false">IF(AND(B$1&gt;Inputs!$B$34,B$1&lt;=Inputs!$B$19),Funding!$C$7/Inputs!$B$19,Inputs!$B$34)</f>
        <v>0</v>
      </c>
      <c r="C36" s="10" t="n">
        <f aca="false">IF(AND(C$1&gt;Inputs!$B$34,C$1&lt;=Inputs!$B$19),Funding!$C$7/Inputs!$B$19,Inputs!$B$34)</f>
        <v>3.58333333333333</v>
      </c>
      <c r="D36" s="10" t="n">
        <f aca="false">IF(AND(D$1&gt;Inputs!$B$34,D$1&lt;=Inputs!$B$19),Funding!$C$7/Inputs!$B$19,Inputs!$B$34)</f>
        <v>3.58333333333333</v>
      </c>
      <c r="E36" s="10" t="n">
        <f aca="false">IF(AND(E$1&gt;Inputs!$B$34,E$1&lt;=Inputs!$B$19),Funding!$C$7/Inputs!$B$19,Inputs!$B$34)</f>
        <v>3.58333333333333</v>
      </c>
      <c r="F36" s="10" t="n">
        <f aca="false">IF(AND(F$1&gt;Inputs!$B$34,F$1&lt;=Inputs!$B$19),Funding!$C$7/Inputs!$B$19,Inputs!$B$34)</f>
        <v>3.58333333333333</v>
      </c>
      <c r="G36" s="10" t="n">
        <f aca="false">IF(AND(G$1&gt;Inputs!$B$34,G$1&lt;=Inputs!$B$19),Funding!$C$7/Inputs!$B$19,Inputs!$B$34)</f>
        <v>3.58333333333333</v>
      </c>
      <c r="H36" s="10" t="n">
        <f aca="false">IF(AND(H$1&gt;Inputs!$B$34,H$1&lt;=Inputs!$B$19),Funding!$C$7/Inputs!$B$19,Inputs!$B$34)</f>
        <v>3.58333333333333</v>
      </c>
      <c r="I36" s="10" t="n">
        <f aca="false">IF(AND(I$1&gt;Inputs!$B$34,I$1&lt;=Inputs!$B$19),Funding!$C$7/Inputs!$B$19,Inputs!$B$34)</f>
        <v>3.58333333333333</v>
      </c>
      <c r="J36" s="10" t="n">
        <f aca="false">IF(AND(J$1&gt;Inputs!$B$34,J$1&lt;=Inputs!$B$19),Funding!$C$7/Inputs!$B$19,Inputs!$B$34)</f>
        <v>3.58333333333333</v>
      </c>
      <c r="K36" s="10" t="n">
        <f aca="false">IF(AND(K$1&gt;Inputs!$B$34,K$1&lt;=Inputs!$B$19),Funding!$C$7/Inputs!$B$19,Inputs!$B$34)</f>
        <v>3.58333333333333</v>
      </c>
      <c r="L36" s="10" t="n">
        <f aca="false">IF(AND(L$1&gt;Inputs!$B$34,L$1&lt;=Inputs!$B$19),Funding!$C$7/Inputs!$B$19,Inputs!$B$34)</f>
        <v>3.58333333333333</v>
      </c>
      <c r="M36" s="10" t="n">
        <f aca="false">IF(AND(M$1&gt;Inputs!$B$34,M$1&lt;=Inputs!$B$19),Funding!$C$7/Inputs!$B$19,Inputs!$B$34)</f>
        <v>3.58333333333333</v>
      </c>
      <c r="N36" s="10" t="n">
        <f aca="false">IF(AND(N$1&gt;Inputs!$B$34,N$1&lt;=Inputs!$B$19),Funding!$C$7/Inputs!$B$19,Inputs!$B$34)</f>
        <v>3.58333333333333</v>
      </c>
      <c r="O36" s="10" t="n">
        <f aca="false">IF(AND(O$1&gt;Inputs!$B$34,O$1&lt;=Inputs!$B$19),Funding!$C$7/Inputs!$B$19,Inputs!$B$34)</f>
        <v>0</v>
      </c>
      <c r="P36" s="10" t="n">
        <f aca="false">IF(AND(P$1&gt;Inputs!$B$34,P$1&lt;=Inputs!$B$19),Funding!$C$7/Inputs!$B$19,Inputs!$B$34)</f>
        <v>0</v>
      </c>
      <c r="Q36" s="10" t="n">
        <f aca="false">IF(AND(Q$1&gt;Inputs!$B$34,Q$1&lt;=Inputs!$B$19),Funding!$C$7/Inputs!$B$19,Inputs!$B$34)</f>
        <v>0</v>
      </c>
      <c r="R36" s="10" t="n">
        <f aca="false">IF(AND(R$1&gt;Inputs!$B$34,R$1&lt;=Inputs!$B$19),Funding!$C$7/Inputs!$B$19,Inputs!$B$34)</f>
        <v>0</v>
      </c>
      <c r="S36" s="10" t="n">
        <f aca="false">IF(AND(S$1&gt;Inputs!$B$34,S$1&lt;=Inputs!$B$19),Funding!$C$7/Inputs!$B$19,Inputs!$B$34)</f>
        <v>0</v>
      </c>
      <c r="T36" s="10" t="n">
        <f aca="false">IF(AND(T$1&gt;Inputs!$B$34,T$1&lt;=Inputs!$B$19),Funding!$C$7/Inputs!$B$19,Inputs!$B$34)</f>
        <v>0</v>
      </c>
      <c r="U36" s="10" t="n">
        <f aca="false">IF(AND(U$1&gt;Inputs!$B$34,U$1&lt;=Inputs!$B$19),Funding!$C$7/Inputs!$B$19,Inputs!$B$34)</f>
        <v>0</v>
      </c>
      <c r="V36" s="10" t="n">
        <f aca="false">IF(AND(V$1&gt;Inputs!$B$34,V$1&lt;=Inputs!$B$19),Funding!$C$7/Inputs!$B$19,Inputs!$B$34)</f>
        <v>0</v>
      </c>
      <c r="W36" s="10" t="n">
        <f aca="false">IF(AND(W$1&gt;Inputs!$B$34,W$1&lt;=Inputs!$B$19),Funding!$C$7/Inputs!$B$19,Inputs!$B$34)</f>
        <v>0</v>
      </c>
      <c r="X36" s="10" t="n">
        <f aca="false">IF(AND(X$1&gt;Inputs!$B$34,X$1&lt;=Inputs!$B$19),Funding!$C$7/Inputs!$B$19,Inputs!$B$34)</f>
        <v>0</v>
      </c>
      <c r="Y36" s="10" t="n">
        <f aca="false">IF(AND(Y$1&gt;Inputs!$B$34,Y$1&lt;=Inputs!$B$19),Funding!$C$7/Inputs!$B$19,Inputs!$B$34)</f>
        <v>0</v>
      </c>
      <c r="Z36" s="10" t="n">
        <f aca="false">IF(AND(Z$1&gt;Inputs!$B$34,Z$1&lt;=Inputs!$B$19),Funding!$C$7/Inputs!$B$19,Inputs!$B$34)</f>
        <v>0</v>
      </c>
      <c r="AA36" s="10" t="n">
        <f aca="false">IF(AND(AA$1&gt;Inputs!$B$34,AA$1&lt;=Inputs!$B$19),Funding!$C$7/Inputs!$B$19,Inputs!$B$34)</f>
        <v>0</v>
      </c>
      <c r="AB36" s="10" t="n">
        <f aca="false">IF(AND(AB$1&gt;Inputs!$B$34,AB$1&lt;=Inputs!$B$19),Funding!$C$7/Inputs!$B$19,Inputs!$B$34)</f>
        <v>0</v>
      </c>
      <c r="AC36" s="10" t="n">
        <f aca="false">IF(AND(AC$1&gt;Inputs!$B$34,AC$1&lt;=Inputs!$B$19),Funding!$C$7/Inputs!$B$19,Inputs!$B$34)</f>
        <v>0</v>
      </c>
      <c r="AD36" s="10" t="n">
        <f aca="false">IF(AND(AD$1&gt;Inputs!$B$34,AD$1&lt;=Inputs!$B$19),Funding!$C$7/Inputs!$B$19,Inputs!$B$34)</f>
        <v>0</v>
      </c>
      <c r="AE36" s="10" t="n">
        <f aca="false">IF(AND(AE$1&gt;Inputs!$B$34,AE$1&lt;=Inputs!$B$19),Funding!$C$7/Inputs!$B$19,Inputs!$B$34)</f>
        <v>0</v>
      </c>
      <c r="AF36" s="10" t="n">
        <f aca="false">IF(AND(AF$1&gt;Inputs!$B$34,AF$1&lt;=Inputs!$B$19),Funding!$C$7/Inputs!$B$19,Inputs!$B$34)</f>
        <v>0</v>
      </c>
      <c r="AG36" s="10" t="n">
        <f aca="false">IF(AND(AG$1&gt;Inputs!$B$34,AG$1&lt;=Inputs!$B$19),Funding!$C$7/Inputs!$B$19,Inputs!$B$34)</f>
        <v>0</v>
      </c>
      <c r="AH36" s="10" t="n">
        <f aca="false">IF(AND(AH$1&gt;Inputs!$B$34,AH$1&lt;=Inputs!$B$19),Funding!$C$7/Inputs!$B$19,Inputs!$B$34)</f>
        <v>0</v>
      </c>
      <c r="AI36" s="10" t="n">
        <f aca="false">IF(AND(AI$1&gt;Inputs!$B$34,AI$1&lt;=Inputs!$B$19),Funding!$C$7/Inputs!$B$19,Inputs!$B$34)</f>
        <v>0</v>
      </c>
      <c r="AJ36" s="10" t="n">
        <f aca="false">IF(AND(AJ$1&gt;Inputs!$B$34,AJ$1&lt;=Inputs!$B$19),Funding!$C$7/Inputs!$B$19,Inputs!$B$34)</f>
        <v>0</v>
      </c>
      <c r="AK36" s="10" t="n">
        <f aca="false">IF(AND(AK$1&gt;Inputs!$B$34,AK$1&lt;=Inputs!$B$19),Funding!$C$7/Inputs!$B$19,Inputs!$B$34)</f>
        <v>0</v>
      </c>
      <c r="AL36" s="10" t="n">
        <f aca="false">IF(AND(AL$1&gt;Inputs!$B$34,AL$1&lt;=Inputs!$B$19),Funding!$C$7/Inputs!$B$19,Inputs!$B$34)</f>
        <v>0</v>
      </c>
      <c r="AM36" s="10" t="n">
        <f aca="false">IF(AND(AM$1&gt;Inputs!$B$34,AM$1&lt;=Inputs!$B$19),Funding!$C$7/Inputs!$B$19,Inputs!$B$34)</f>
        <v>0</v>
      </c>
      <c r="AN36" s="10" t="n">
        <f aca="false">IF(AND(AN$1&gt;Inputs!$B$34,AN$1&lt;=Inputs!$B$19),Funding!$C$7/Inputs!$B$19,Inputs!$B$34)</f>
        <v>0</v>
      </c>
      <c r="AO36" s="10" t="n">
        <f aca="false">IF(AND(AO$1&gt;Inputs!$B$34,AO$1&lt;=Inputs!$B$19),Funding!$C$7/Inputs!$B$19,Inputs!$B$34)</f>
        <v>0</v>
      </c>
      <c r="AP36" s="10" t="n">
        <f aca="false">IF(AND(AP$1&gt;Inputs!$B$34,AP$1&lt;=Inputs!$B$19),Funding!$C$7/Inputs!$B$19,Inputs!$B$34)</f>
        <v>0</v>
      </c>
      <c r="AQ36" s="10" t="n">
        <f aca="false">IF(AND(AQ$1&gt;Inputs!$B$34,AQ$1&lt;=Inputs!$B$19),Funding!$C$7/Inputs!$B$19,Inputs!$B$34)</f>
        <v>0</v>
      </c>
      <c r="AR36" s="10" t="n">
        <f aca="false">IF(AND(AR$1&gt;Inputs!$B$34,AR$1&lt;=Inputs!$B$19),Funding!$C$7/Inputs!$B$19,Inputs!$B$34)</f>
        <v>0</v>
      </c>
      <c r="AS36" s="10" t="n">
        <f aca="false">IF(AND(AS$1&gt;Inputs!$B$34,AS$1&lt;=Inputs!$B$19),Funding!$C$7/Inputs!$B$19,Inputs!$B$34)</f>
        <v>0</v>
      </c>
      <c r="AT36" s="10" t="n">
        <f aca="false">IF(AND(AT$1&gt;Inputs!$B$34,AT$1&lt;=Inputs!$B$19),Funding!$C$7/Inputs!$B$19,Inputs!$B$34)</f>
        <v>0</v>
      </c>
      <c r="AU36" s="10" t="n">
        <f aca="false">IF(AND(AU$1&gt;Inputs!$B$34,AU$1&lt;=Inputs!$B$19),Funding!$C$7/Inputs!$B$19,Inputs!$B$34)</f>
        <v>0</v>
      </c>
      <c r="AV36" s="10" t="n">
        <f aca="false">IF(AND(AV$1&gt;Inputs!$B$34,AV$1&lt;=Inputs!$B$19),Funding!$C$7/Inputs!$B$19,Inputs!$B$34)</f>
        <v>0</v>
      </c>
      <c r="AW36" s="10" t="n">
        <f aca="false">IF(AND(AW$1&gt;Inputs!$B$34,AW$1&lt;=Inputs!$B$19),Funding!$C$7/Inputs!$B$19,Inputs!$B$34)</f>
        <v>0</v>
      </c>
      <c r="AX36" s="10" t="n">
        <f aca="false">IF(AND(AX$1&gt;Inputs!$B$34,AX$1&lt;=Inputs!$B$19),Funding!$C$7/Inputs!$B$19,Inputs!$B$34)</f>
        <v>0</v>
      </c>
      <c r="AY36" s="10" t="n">
        <f aca="false">IF(AND(AY$1&gt;Inputs!$B$34,AY$1&lt;=Inputs!$B$19),Funding!$C$7/Inputs!$B$19,Inputs!$B$34)</f>
        <v>0</v>
      </c>
      <c r="AZ36" s="10" t="n">
        <f aca="false">IF(AND(AZ$1&gt;Inputs!$B$34,AZ$1&lt;=Inputs!$B$19),Funding!$C$7/Inputs!$B$19,Inputs!$B$34)</f>
        <v>0</v>
      </c>
      <c r="BA36" s="10" t="n">
        <f aca="false">IF(AND(BA$1&gt;Inputs!$B$34,BA$1&lt;=Inputs!$B$19),Funding!$C$7/Inputs!$B$19,Inputs!$B$34)</f>
        <v>0</v>
      </c>
      <c r="BB36" s="10" t="n">
        <f aca="false">IF(AND(BB$1&gt;Inputs!$B$34,BB$1&lt;=Inputs!$B$19),Funding!$C$7/Inputs!$B$19,Inputs!$B$34)</f>
        <v>0</v>
      </c>
      <c r="BC36" s="10" t="n">
        <f aca="false">IF(AND(BC$1&gt;Inputs!$B$34,BC$1&lt;=Inputs!$B$19),Funding!$C$7/Inputs!$B$19,Inputs!$B$34)</f>
        <v>0</v>
      </c>
      <c r="BD36" s="10" t="n">
        <f aca="false">IF(AND(BD$1&gt;Inputs!$B$34,BD$1&lt;=Inputs!$B$19),Funding!$C$7/Inputs!$B$19,Inputs!$B$34)</f>
        <v>0</v>
      </c>
      <c r="BE36" s="10" t="n">
        <f aca="false">IF(AND(BE$1&gt;Inputs!$B$34,BE$1&lt;=Inputs!$B$19),Funding!$C$7/Inputs!$B$19,Inputs!$B$34)</f>
        <v>0</v>
      </c>
      <c r="BF36" s="10" t="n">
        <f aca="false">IF(AND(BF$1&gt;Inputs!$B$34,BF$1&lt;=Inputs!$B$19),Funding!$C$7/Inputs!$B$19,Inputs!$B$34)</f>
        <v>0</v>
      </c>
      <c r="BG36" s="10" t="n">
        <f aca="false">IF(AND(BG$1&gt;Inputs!$B$34,BG$1&lt;=Inputs!$B$19),Funding!$C$7/Inputs!$B$19,Inputs!$B$34)</f>
        <v>0</v>
      </c>
      <c r="BH36" s="10" t="n">
        <f aca="false">IF(AND(BH$1&gt;Inputs!$B$34,BH$1&lt;=Inputs!$B$19),Funding!$C$7/Inputs!$B$19,Inputs!$B$34)</f>
        <v>0</v>
      </c>
      <c r="BI36" s="10" t="n">
        <f aca="false">IF(AND(BI$1&gt;Inputs!$B$34,BI$1&lt;=Inputs!$B$19),Funding!$C$7/Inputs!$B$19,Inputs!$B$34)</f>
        <v>0</v>
      </c>
      <c r="BJ36" s="10" t="n">
        <f aca="false">IF(AND(BJ$1&gt;Inputs!$B$34,BJ$1&lt;=Inputs!$B$19),Funding!$C$7/Inputs!$B$19,Inputs!$B$34)</f>
        <v>0</v>
      </c>
      <c r="BK36" s="10" t="n">
        <f aca="false">IF(AND(BK$1&gt;Inputs!$B$34,BK$1&lt;=Inputs!$B$19),Funding!$C$7/Inputs!$B$19,Inputs!$B$34)</f>
        <v>0</v>
      </c>
      <c r="BL36" s="10" t="n">
        <f aca="false">IF(AND(BL$1&gt;Inputs!$B$34,BL$1&lt;=Inputs!$B$19),Funding!$C$7/Inputs!$B$19,Inputs!$B$34)</f>
        <v>0</v>
      </c>
      <c r="BM36" s="10" t="n">
        <f aca="false">IF(AND(BM$1&gt;Inputs!$B$34,BM$1&lt;=Inputs!$B$19),Funding!$C$7/Inputs!$B$19,Inputs!$B$34)</f>
        <v>0</v>
      </c>
      <c r="BN36" s="10" t="n">
        <f aca="false">IF(AND(BN$1&gt;Inputs!$B$34,BN$1&lt;=Inputs!$B$19),Funding!$C$7/Inputs!$B$19,Inputs!$B$34)</f>
        <v>0</v>
      </c>
      <c r="BO36" s="10" t="n">
        <f aca="false">IF(AND(BO$1&gt;Inputs!$B$34,BO$1&lt;=Inputs!$B$19),Funding!$C$7/Inputs!$B$19,Inputs!$B$34)</f>
        <v>0</v>
      </c>
      <c r="BP36" s="10" t="n">
        <f aca="false">IF(AND(BP$1&gt;Inputs!$B$34,BP$1&lt;=Inputs!$B$19),Funding!$C$7/Inputs!$B$19,Inputs!$B$34)</f>
        <v>0</v>
      </c>
      <c r="BQ36" s="10" t="n">
        <f aca="false">IF(AND(BQ$1&gt;Inputs!$B$34,BQ$1&lt;=Inputs!$B$19),Funding!$C$7/Inputs!$B$19,Inputs!$B$34)</f>
        <v>0</v>
      </c>
      <c r="BR36" s="10" t="n">
        <f aca="false">IF(AND(BR$1&gt;Inputs!$B$34,BR$1&lt;=Inputs!$B$19),Funding!$C$7/Inputs!$B$19,Inputs!$B$34)</f>
        <v>0</v>
      </c>
      <c r="BS36" s="10" t="n">
        <f aca="false">IF(AND(BS$1&gt;Inputs!$B$34,BS$1&lt;=Inputs!$B$19),Funding!$C$7/Inputs!$B$19,Inputs!$B$34)</f>
        <v>0</v>
      </c>
      <c r="BT36" s="10" t="n">
        <f aca="false">IF(AND(BT$1&gt;Inputs!$B$34,BT$1&lt;=Inputs!$B$19),Funding!$C$7/Inputs!$B$19,Inputs!$B$34)</f>
        <v>0</v>
      </c>
      <c r="BU36" s="10" t="n">
        <f aca="false">IF(AND(BU$1&gt;Inputs!$B$34,BU$1&lt;=Inputs!$B$19),Funding!$C$7/Inputs!$B$19,Inputs!$B$34)</f>
        <v>0</v>
      </c>
      <c r="BV36" s="10" t="n">
        <f aca="false">IF(AND(BV$1&gt;Inputs!$B$34,BV$1&lt;=Inputs!$B$19),Funding!$C$7/Inputs!$B$19,Inputs!$B$34)</f>
        <v>0</v>
      </c>
      <c r="BW36" s="10" t="n">
        <f aca="false">IF(AND(BW$1&gt;Inputs!$B$34,BW$1&lt;=Inputs!$B$19),Funding!$C$7/Inputs!$B$19,Inputs!$B$34)</f>
        <v>0</v>
      </c>
      <c r="BX36" s="10" t="n">
        <f aca="false">IF(AND(BX$1&gt;Inputs!$B$34,BX$1&lt;=Inputs!$B$19),Funding!$C$7/Inputs!$B$19,Inputs!$B$34)</f>
        <v>0</v>
      </c>
      <c r="BY36" s="10" t="n">
        <f aca="false">IF(AND(BY$1&gt;Inputs!$B$34,BY$1&lt;=Inputs!$B$19),Funding!$C$7/Inputs!$B$19,Inputs!$B$34)</f>
        <v>0</v>
      </c>
      <c r="BZ36" s="10" t="n">
        <f aca="false">IF(AND(BZ$1&gt;Inputs!$B$34,BZ$1&lt;=Inputs!$B$19),Funding!$C$7/Inputs!$B$19,Inputs!$B$34)</f>
        <v>0</v>
      </c>
      <c r="CA36" s="10" t="n">
        <f aca="false">IF(AND(CA$1&gt;Inputs!$B$34,CA$1&lt;=Inputs!$B$19),Funding!$C$7/Inputs!$B$19,Inputs!$B$34)</f>
        <v>0</v>
      </c>
      <c r="CB36" s="10" t="n">
        <f aca="false">IF(AND(CB$1&gt;Inputs!$B$34,CB$1&lt;=Inputs!$B$19),Funding!$C$7/Inputs!$B$19,Inputs!$B$34)</f>
        <v>0</v>
      </c>
      <c r="CC36" s="10" t="n">
        <f aca="false">IF(AND(CC$1&gt;Inputs!$B$34,CC$1&lt;=Inputs!$B$19),Funding!$C$7/Inputs!$B$19,Inputs!$B$34)</f>
        <v>0</v>
      </c>
      <c r="CD36" s="10" t="n">
        <f aca="false">IF(AND(CD$1&gt;Inputs!$B$34,CD$1&lt;=Inputs!$B$19),Funding!$C$7/Inputs!$B$19,Inputs!$B$34)</f>
        <v>0</v>
      </c>
      <c r="CE36" s="10" t="n">
        <f aca="false">IF(AND(CE$1&gt;Inputs!$B$34,CE$1&lt;=Inputs!$B$19),Funding!$C$7/Inputs!$B$19,Inputs!$B$34)</f>
        <v>0</v>
      </c>
      <c r="CF36" s="10" t="n">
        <f aca="false">IF(AND(CF$1&gt;Inputs!$B$34,CF$1&lt;=Inputs!$B$19),Funding!$C$7/Inputs!$B$19,Inputs!$B$34)</f>
        <v>0</v>
      </c>
      <c r="CG36" s="10" t="n">
        <f aca="false">IF(AND(CG$1&gt;Inputs!$B$34,CG$1&lt;=Inputs!$B$19),Funding!$C$7/Inputs!$B$19,Inputs!$B$34)</f>
        <v>0</v>
      </c>
      <c r="CH36" s="10" t="n">
        <f aca="false">IF(AND(CH$1&gt;Inputs!$B$34,CH$1&lt;=Inputs!$B$19),Funding!$C$7/Inputs!$B$19,Inputs!$B$34)</f>
        <v>0</v>
      </c>
      <c r="CI36" s="10" t="n">
        <f aca="false">IF(AND(CI$1&gt;Inputs!$B$34,CI$1&lt;=Inputs!$B$19),Funding!$C$7/Inputs!$B$19,Inputs!$B$34)</f>
        <v>0</v>
      </c>
      <c r="CJ36" s="10" t="n">
        <f aca="false">IF(AND(CJ$1&gt;Inputs!$B$34,CJ$1&lt;=Inputs!$B$19),Funding!$C$7/Inputs!$B$19,Inputs!$B$34)</f>
        <v>0</v>
      </c>
      <c r="CK36" s="10" t="n">
        <f aca="false">IF(AND(CK$1&gt;Inputs!$B$34,CK$1&lt;=Inputs!$B$19),Funding!$C$7/Inputs!$B$19,Inputs!$B$34)</f>
        <v>0</v>
      </c>
      <c r="CL36" s="10" t="n">
        <f aca="false">IF(AND(CL$1&gt;Inputs!$B$34,CL$1&lt;=Inputs!$B$19),Funding!$C$7/Inputs!$B$19,Inputs!$B$34)</f>
        <v>0</v>
      </c>
      <c r="CM36" s="10" t="n">
        <f aca="false">IF(AND(CM$1&gt;Inputs!$B$34,CM$1&lt;=Inputs!$B$19),Funding!$C$7/Inputs!$B$19,Inputs!$B$34)</f>
        <v>0</v>
      </c>
      <c r="CN36" s="10" t="n">
        <f aca="false">IF(AND(CN$1&gt;Inputs!$B$34,CN$1&lt;=Inputs!$B$19),Funding!$C$7/Inputs!$B$19,Inputs!$B$34)</f>
        <v>0</v>
      </c>
      <c r="CO36" s="10" t="n">
        <f aca="false">IF(AND(CO$1&gt;Inputs!$B$34,CO$1&lt;=Inputs!$B$19),Funding!$C$7/Inputs!$B$19,Inputs!$B$34)</f>
        <v>0</v>
      </c>
      <c r="CP36" s="10" t="n">
        <f aca="false">IF(AND(CP$1&gt;Inputs!$B$34,CP$1&lt;=Inputs!$B$19),Funding!$C$7/Inputs!$B$19,Inputs!$B$34)</f>
        <v>0</v>
      </c>
      <c r="CQ36" s="10" t="n">
        <f aca="false">IF(AND(CQ$1&gt;Inputs!$B$34,CQ$1&lt;=Inputs!$B$19),Funding!$C$7/Inputs!$B$19,Inputs!$B$34)</f>
        <v>0</v>
      </c>
      <c r="CR36" s="10" t="n">
        <f aca="false">IF(AND(CR$1&gt;Inputs!$B$34,CR$1&lt;=Inputs!$B$19),Funding!$C$7/Inputs!$B$19,Inputs!$B$34)</f>
        <v>0</v>
      </c>
      <c r="CS36" s="10" t="n">
        <f aca="false">IF(AND(CS$1&gt;Inputs!$B$34,CS$1&lt;=Inputs!$B$19),Funding!$C$7/Inputs!$B$19,Inputs!$B$34)</f>
        <v>0</v>
      </c>
      <c r="CT36" s="10" t="n">
        <f aca="false">IF(AND(CT$1&gt;Inputs!$B$34,CT$1&lt;=Inputs!$B$19),Funding!$C$7/Inputs!$B$19,Inputs!$B$34)</f>
        <v>0</v>
      </c>
      <c r="CU36" s="10" t="n">
        <f aca="false">IF(AND(CU$1&gt;Inputs!$B$34,CU$1&lt;=Inputs!$B$19),Funding!$C$7/Inputs!$B$19,Inputs!$B$34)</f>
        <v>0</v>
      </c>
      <c r="CV36" s="10" t="n">
        <f aca="false">IF(AND(CV$1&gt;Inputs!$B$34,CV$1&lt;=Inputs!$B$19),Funding!$C$7/Inputs!$B$19,Inputs!$B$34)</f>
        <v>0</v>
      </c>
      <c r="CW36" s="10" t="n">
        <f aca="false">IF(AND(CW$1&gt;Inputs!$B$34,CW$1&lt;=Inputs!$B$19),Funding!$C$7/Inputs!$B$19,Inputs!$B$34)</f>
        <v>0</v>
      </c>
      <c r="CX36" s="10" t="n">
        <f aca="false">IF(AND(CX$1&gt;Inputs!$B$34,CX$1&lt;=Inputs!$B$19),Funding!$C$7/Inputs!$B$19,Inputs!$B$34)</f>
        <v>0</v>
      </c>
      <c r="CY36" s="10" t="n">
        <f aca="false">IF(AND(CY$1&gt;Inputs!$B$34,CY$1&lt;=Inputs!$B$19),Funding!$C$7/Inputs!$B$19,Inputs!$B$34)</f>
        <v>0</v>
      </c>
      <c r="CZ36" s="10" t="n">
        <f aca="false">IF(AND(CZ$1&gt;Inputs!$B$34,CZ$1&lt;=Inputs!$B$19),Funding!$C$7/Inputs!$B$19,Inputs!$B$34)</f>
        <v>0</v>
      </c>
      <c r="DA36" s="10" t="n">
        <f aca="false">IF(AND(DA$1&gt;Inputs!$B$34,DA$1&lt;=Inputs!$B$19),Funding!$C$7/Inputs!$B$19,Inputs!$B$34)</f>
        <v>0</v>
      </c>
      <c r="DB36" s="10" t="n">
        <f aca="false">IF(AND(DB$1&gt;Inputs!$B$34,DB$1&lt;=Inputs!$B$19),Funding!$C$7/Inputs!$B$19,Inputs!$B$34)</f>
        <v>0</v>
      </c>
      <c r="DC36" s="10" t="n">
        <f aca="false">IF(AND(DC$1&gt;Inputs!$B$34,DC$1&lt;=Inputs!$B$19),Funding!$C$7/Inputs!$B$19,Inputs!$B$34)</f>
        <v>0</v>
      </c>
      <c r="DD36" s="10" t="n">
        <f aca="false">IF(AND(DD$1&gt;Inputs!$B$34,DD$1&lt;=Inputs!$B$19),Funding!$C$7/Inputs!$B$19,Inputs!$B$34)</f>
        <v>0</v>
      </c>
      <c r="DE36" s="10" t="n">
        <f aca="false">IF(AND(DE$1&gt;Inputs!$B$34,DE$1&lt;=Inputs!$B$19),Funding!$C$7/Inputs!$B$19,Inputs!$B$34)</f>
        <v>0</v>
      </c>
      <c r="DF36" s="10" t="n">
        <f aca="false">IF(AND(DF$1&gt;Inputs!$B$34,DF$1&lt;=Inputs!$B$19),Funding!$C$7/Inputs!$B$19,Inputs!$B$34)</f>
        <v>0</v>
      </c>
      <c r="DG36" s="10" t="n">
        <f aca="false">IF(AND(DG$1&gt;Inputs!$B$34,DG$1&lt;=Inputs!$B$19),Funding!$C$7/Inputs!$B$19,Inputs!$B$34)</f>
        <v>0</v>
      </c>
      <c r="DH36" s="10" t="n">
        <f aca="false">IF(AND(DH$1&gt;Inputs!$B$34,DH$1&lt;=Inputs!$B$19),Funding!$C$7/Inputs!$B$19,Inputs!$B$34)</f>
        <v>0</v>
      </c>
      <c r="DI36" s="10" t="n">
        <f aca="false">IF(AND(DI$1&gt;Inputs!$B$34,DI$1&lt;=Inputs!$B$19),Funding!$C$7/Inputs!$B$19,Inputs!$B$34)</f>
        <v>0</v>
      </c>
      <c r="DJ36" s="10" t="n">
        <f aca="false">IF(AND(DJ$1&gt;Inputs!$B$34,DJ$1&lt;=Inputs!$B$19),Funding!$C$7/Inputs!$B$19,Inputs!$B$34)</f>
        <v>0</v>
      </c>
      <c r="DK36" s="10" t="n">
        <f aca="false">IF(AND(DK$1&gt;Inputs!$B$34,DK$1&lt;=Inputs!$B$19),Funding!$C$7/Inputs!$B$19,Inputs!$B$34)</f>
        <v>0</v>
      </c>
      <c r="DL36" s="10" t="n">
        <f aca="false">IF(AND(DL$1&gt;Inputs!$B$34,DL$1&lt;=Inputs!$B$19),Funding!$C$7/Inputs!$B$19,Inputs!$B$34)</f>
        <v>0</v>
      </c>
      <c r="DM36" s="10" t="n">
        <f aca="false">IF(AND(DM$1&gt;Inputs!$B$34,DM$1&lt;=Inputs!$B$19),Funding!$C$7/Inputs!$B$19,Inputs!$B$34)</f>
        <v>0</v>
      </c>
      <c r="DN36" s="10" t="n">
        <f aca="false">IF(AND(DN$1&gt;Inputs!$B$34,DN$1&lt;=Inputs!$B$19),Funding!$C$7/Inputs!$B$19,Inputs!$B$34)</f>
        <v>0</v>
      </c>
      <c r="DO36" s="10" t="n">
        <f aca="false">IF(AND(DO$1&gt;Inputs!$B$34,DO$1&lt;=Inputs!$B$19),Funding!$C$7/Inputs!$B$19,Inputs!$B$34)</f>
        <v>0</v>
      </c>
      <c r="DP36" s="10" t="n">
        <f aca="false">IF(AND(DP$1&gt;Inputs!$B$34,DP$1&lt;=Inputs!$B$19),Funding!$C$7/Inputs!$B$19,Inputs!$B$34)</f>
        <v>0</v>
      </c>
      <c r="DQ36" s="10" t="n">
        <f aca="false">IF(AND(DQ$1&gt;Inputs!$B$34,DQ$1&lt;=Inputs!$B$19),Funding!$C$7/Inputs!$B$19,Inputs!$B$34)</f>
        <v>0</v>
      </c>
      <c r="DR36" s="10" t="n">
        <f aca="false">IF(AND(DR$1&gt;Inputs!$B$34,DR$1&lt;=Inputs!$B$19),Funding!$C$7/Inputs!$B$19,Inputs!$B$34)</f>
        <v>0</v>
      </c>
    </row>
    <row r="37" customFormat="false" ht="15" hidden="false" customHeight="false" outlineLevel="0" collapsed="false">
      <c r="A37" s="9" t="s">
        <v>206</v>
      </c>
      <c r="B37" s="10" t="n">
        <f aca="false">IF(B$1&gt;Inputs!$B$19,B19*Inputs!$B$21,Inputs!$B$34)</f>
        <v>0</v>
      </c>
      <c r="C37" s="10" t="n">
        <f aca="false">IF(C$1&gt;Inputs!$B$19,C19*Inputs!$B$21,Inputs!$B$34)</f>
        <v>0</v>
      </c>
      <c r="D37" s="10" t="n">
        <f aca="false">IF(D$1&gt;Inputs!$B$19,D19*Inputs!$B$21,Inputs!$B$34)</f>
        <v>0</v>
      </c>
      <c r="E37" s="10" t="n">
        <f aca="false">IF(E$1&gt;Inputs!$B$19,E19*Inputs!$B$21,Inputs!$B$34)</f>
        <v>0</v>
      </c>
      <c r="F37" s="10" t="n">
        <f aca="false">IF(F$1&gt;Inputs!$B$19,F19*Inputs!$B$21,Inputs!$B$34)</f>
        <v>0</v>
      </c>
      <c r="G37" s="10" t="n">
        <f aca="false">IF(G$1&gt;Inputs!$B$19,G19*Inputs!$B$21,Inputs!$B$34)</f>
        <v>0</v>
      </c>
      <c r="H37" s="10" t="n">
        <f aca="false">IF(H$1&gt;Inputs!$B$19,H19*Inputs!$B$21,Inputs!$B$34)</f>
        <v>0</v>
      </c>
      <c r="I37" s="10" t="n">
        <f aca="false">IF(I$1&gt;Inputs!$B$19,I19*Inputs!$B$21,Inputs!$B$34)</f>
        <v>0</v>
      </c>
      <c r="J37" s="10" t="n">
        <f aca="false">IF(J$1&gt;Inputs!$B$19,J19*Inputs!$B$21,Inputs!$B$34)</f>
        <v>0</v>
      </c>
      <c r="K37" s="10" t="n">
        <f aca="false">IF(K$1&gt;Inputs!$B$19,K19*Inputs!$B$21,Inputs!$B$34)</f>
        <v>0</v>
      </c>
      <c r="L37" s="10" t="n">
        <f aca="false">IF(L$1&gt;Inputs!$B$19,L19*Inputs!$B$21,Inputs!$B$34)</f>
        <v>0</v>
      </c>
      <c r="M37" s="10" t="n">
        <f aca="false">IF(M$1&gt;Inputs!$B$19,M19*Inputs!$B$21,Inputs!$B$34)</f>
        <v>0</v>
      </c>
      <c r="N37" s="10" t="n">
        <f aca="false">IF(N$1&gt;Inputs!$B$19,N19*Inputs!$B$21,Inputs!$B$34)</f>
        <v>0</v>
      </c>
      <c r="O37" s="10" t="n">
        <f aca="false">IF(O$1&gt;Inputs!$B$19,O19*Inputs!$B$21,Inputs!$B$34)</f>
        <v>0.35</v>
      </c>
      <c r="P37" s="10" t="n">
        <f aca="false">IF(P$1&gt;Inputs!$B$19,P19*Inputs!$B$21,Inputs!$B$34)</f>
        <v>0.35</v>
      </c>
      <c r="Q37" s="10" t="n">
        <f aca="false">IF(Q$1&gt;Inputs!$B$19,Q19*Inputs!$B$21,Inputs!$B$34)</f>
        <v>0.35</v>
      </c>
      <c r="R37" s="10" t="n">
        <f aca="false">IF(R$1&gt;Inputs!$B$19,R19*Inputs!$B$21,Inputs!$B$34)</f>
        <v>0.35</v>
      </c>
      <c r="S37" s="10" t="n">
        <f aca="false">IF(S$1&gt;Inputs!$B$19,S19*Inputs!$B$21,Inputs!$B$34)</f>
        <v>0.35</v>
      </c>
      <c r="T37" s="10" t="n">
        <f aca="false">IF(T$1&gt;Inputs!$B$19,T19*Inputs!$B$21,Inputs!$B$34)</f>
        <v>0.35</v>
      </c>
      <c r="U37" s="10" t="n">
        <f aca="false">IF(U$1&gt;Inputs!$B$19,U19*Inputs!$B$21,Inputs!$B$34)</f>
        <v>0.35</v>
      </c>
      <c r="V37" s="10" t="n">
        <f aca="false">IF(V$1&gt;Inputs!$B$19,V19*Inputs!$B$21,Inputs!$B$34)</f>
        <v>0.35</v>
      </c>
      <c r="W37" s="10" t="n">
        <f aca="false">IF(W$1&gt;Inputs!$B$19,W19*Inputs!$B$21,Inputs!$B$34)</f>
        <v>0.35</v>
      </c>
      <c r="X37" s="10" t="n">
        <f aca="false">IF(X$1&gt;Inputs!$B$19,X19*Inputs!$B$21,Inputs!$B$34)</f>
        <v>0.35</v>
      </c>
      <c r="Y37" s="10" t="n">
        <f aca="false">IF(Y$1&gt;Inputs!$B$19,Y19*Inputs!$B$21,Inputs!$B$34)</f>
        <v>0.35</v>
      </c>
      <c r="Z37" s="10" t="n">
        <f aca="false">IF(Z$1&gt;Inputs!$B$19,Z19*Inputs!$B$21,Inputs!$B$34)</f>
        <v>0.35</v>
      </c>
      <c r="AA37" s="10" t="n">
        <f aca="false">IF(AA$1&gt;Inputs!$B$19,AA19*Inputs!$B$21,Inputs!$B$34)</f>
        <v>0.35</v>
      </c>
      <c r="AB37" s="10" t="n">
        <f aca="false">IF(AB$1&gt;Inputs!$B$19,AB19*Inputs!$B$21,Inputs!$B$34)</f>
        <v>0.35</v>
      </c>
      <c r="AC37" s="10" t="n">
        <f aca="false">IF(AC$1&gt;Inputs!$B$19,AC19*Inputs!$B$21,Inputs!$B$34)</f>
        <v>0.35</v>
      </c>
      <c r="AD37" s="10" t="n">
        <f aca="false">IF(AD$1&gt;Inputs!$B$19,AD19*Inputs!$B$21,Inputs!$B$34)</f>
        <v>0.35</v>
      </c>
      <c r="AE37" s="10" t="n">
        <f aca="false">IF(AE$1&gt;Inputs!$B$19,AE19*Inputs!$B$21,Inputs!$B$34)</f>
        <v>0.35</v>
      </c>
      <c r="AF37" s="10" t="n">
        <f aca="false">IF(AF$1&gt;Inputs!$B$19,AF19*Inputs!$B$21,Inputs!$B$34)</f>
        <v>0.35</v>
      </c>
      <c r="AG37" s="10" t="n">
        <f aca="false">IF(AG$1&gt;Inputs!$B$19,AG19*Inputs!$B$21,Inputs!$B$34)</f>
        <v>0.35</v>
      </c>
      <c r="AH37" s="10" t="n">
        <f aca="false">IF(AH$1&gt;Inputs!$B$19,AH19*Inputs!$B$21,Inputs!$B$34)</f>
        <v>0.35</v>
      </c>
      <c r="AI37" s="10" t="n">
        <f aca="false">IF(AI$1&gt;Inputs!$B$19,AI19*Inputs!$B$21,Inputs!$B$34)</f>
        <v>0.35</v>
      </c>
      <c r="AJ37" s="10" t="n">
        <f aca="false">IF(AJ$1&gt;Inputs!$B$19,AJ19*Inputs!$B$21,Inputs!$B$34)</f>
        <v>0.35</v>
      </c>
      <c r="AK37" s="10" t="n">
        <f aca="false">IF(AK$1&gt;Inputs!$B$19,AK19*Inputs!$B$21,Inputs!$B$34)</f>
        <v>0.35</v>
      </c>
      <c r="AL37" s="10" t="n">
        <f aca="false">IF(AL$1&gt;Inputs!$B$19,AL19*Inputs!$B$21,Inputs!$B$34)</f>
        <v>0.35</v>
      </c>
      <c r="AM37" s="10" t="n">
        <f aca="false">IF(AM$1&gt;Inputs!$B$19,AM19*Inputs!$B$21,Inputs!$B$34)</f>
        <v>0.35</v>
      </c>
      <c r="AN37" s="10" t="n">
        <f aca="false">IF(AN$1&gt;Inputs!$B$19,AN19*Inputs!$B$21,Inputs!$B$34)</f>
        <v>0.35</v>
      </c>
      <c r="AO37" s="10" t="n">
        <f aca="false">IF(AO$1&gt;Inputs!$B$19,AO19*Inputs!$B$21,Inputs!$B$34)</f>
        <v>0.35</v>
      </c>
      <c r="AP37" s="10" t="n">
        <f aca="false">IF(AP$1&gt;Inputs!$B$19,AP19*Inputs!$B$21,Inputs!$B$34)</f>
        <v>0.35</v>
      </c>
      <c r="AQ37" s="10" t="n">
        <f aca="false">IF(AQ$1&gt;Inputs!$B$19,AQ19*Inputs!$B$21,Inputs!$B$34)</f>
        <v>0.35</v>
      </c>
      <c r="AR37" s="10" t="n">
        <f aca="false">IF(AR$1&gt;Inputs!$B$19,AR19*Inputs!$B$21,Inputs!$B$34)</f>
        <v>0.35</v>
      </c>
      <c r="AS37" s="10" t="n">
        <f aca="false">IF(AS$1&gt;Inputs!$B$19,AS19*Inputs!$B$21,Inputs!$B$34)</f>
        <v>0.35</v>
      </c>
      <c r="AT37" s="10" t="n">
        <f aca="false">IF(AT$1&gt;Inputs!$B$19,AT19*Inputs!$B$21,Inputs!$B$34)</f>
        <v>0.35</v>
      </c>
      <c r="AU37" s="10" t="n">
        <f aca="false">IF(AU$1&gt;Inputs!$B$19,AU19*Inputs!$B$21,Inputs!$B$34)</f>
        <v>0.35</v>
      </c>
      <c r="AV37" s="10" t="n">
        <f aca="false">IF(AV$1&gt;Inputs!$B$19,AV19*Inputs!$B$21,Inputs!$B$34)</f>
        <v>0.35</v>
      </c>
      <c r="AW37" s="10" t="n">
        <f aca="false">IF(AW$1&gt;Inputs!$B$19,AW19*Inputs!$B$21,Inputs!$B$34)</f>
        <v>0.35</v>
      </c>
      <c r="AX37" s="10" t="n">
        <f aca="false">IF(AX$1&gt;Inputs!$B$19,AX19*Inputs!$B$21,Inputs!$B$34)</f>
        <v>0.35</v>
      </c>
      <c r="AY37" s="10" t="n">
        <f aca="false">IF(AY$1&gt;Inputs!$B$19,AY19*Inputs!$B$21,Inputs!$B$34)</f>
        <v>0.35</v>
      </c>
      <c r="AZ37" s="10" t="n">
        <f aca="false">IF(AZ$1&gt;Inputs!$B$19,AZ19*Inputs!$B$21,Inputs!$B$34)</f>
        <v>0.35</v>
      </c>
      <c r="BA37" s="10" t="n">
        <f aca="false">IF(BA$1&gt;Inputs!$B$19,BA19*Inputs!$B$21,Inputs!$B$34)</f>
        <v>0.35</v>
      </c>
      <c r="BB37" s="10" t="n">
        <f aca="false">IF(BB$1&gt;Inputs!$B$19,BB19*Inputs!$B$21,Inputs!$B$34)</f>
        <v>0.35</v>
      </c>
      <c r="BC37" s="10" t="n">
        <f aca="false">IF(BC$1&gt;Inputs!$B$19,BC19*Inputs!$B$21,Inputs!$B$34)</f>
        <v>0.35</v>
      </c>
      <c r="BD37" s="10" t="n">
        <f aca="false">IF(BD$1&gt;Inputs!$B$19,BD19*Inputs!$B$21,Inputs!$B$34)</f>
        <v>0.35</v>
      </c>
      <c r="BE37" s="10" t="n">
        <f aca="false">IF(BE$1&gt;Inputs!$B$19,BE19*Inputs!$B$21,Inputs!$B$34)</f>
        <v>0.35</v>
      </c>
      <c r="BF37" s="10" t="n">
        <f aca="false">IF(BF$1&gt;Inputs!$B$19,BF19*Inputs!$B$21,Inputs!$B$34)</f>
        <v>0.35</v>
      </c>
      <c r="BG37" s="10" t="n">
        <f aca="false">IF(BG$1&gt;Inputs!$B$19,BG19*Inputs!$B$21,Inputs!$B$34)</f>
        <v>0.35</v>
      </c>
      <c r="BH37" s="10" t="n">
        <f aca="false">IF(BH$1&gt;Inputs!$B$19,BH19*Inputs!$B$21,Inputs!$B$34)</f>
        <v>0.35</v>
      </c>
      <c r="BI37" s="10" t="n">
        <f aca="false">IF(BI$1&gt;Inputs!$B$19,BI19*Inputs!$B$21,Inputs!$B$34)</f>
        <v>0.35</v>
      </c>
      <c r="BJ37" s="10" t="n">
        <f aca="false">IF(BJ$1&gt;Inputs!$B$19,BJ19*Inputs!$B$21,Inputs!$B$34)</f>
        <v>0.35</v>
      </c>
      <c r="BK37" s="10" t="n">
        <f aca="false">IF(BK$1&gt;Inputs!$B$19,BK19*Inputs!$B$21,Inputs!$B$34)</f>
        <v>0.35</v>
      </c>
      <c r="BL37" s="10" t="n">
        <f aca="false">IF(BL$1&gt;Inputs!$B$19,BL19*Inputs!$B$21,Inputs!$B$34)</f>
        <v>0.35</v>
      </c>
      <c r="BM37" s="10" t="n">
        <f aca="false">IF(BM$1&gt;Inputs!$B$19,BM19*Inputs!$B$21,Inputs!$B$34)</f>
        <v>0.35</v>
      </c>
      <c r="BN37" s="10" t="n">
        <f aca="false">IF(BN$1&gt;Inputs!$B$19,BN19*Inputs!$B$21,Inputs!$B$34)</f>
        <v>0.35</v>
      </c>
      <c r="BO37" s="10" t="n">
        <f aca="false">IF(BO$1&gt;Inputs!$B$19,BO19*Inputs!$B$21,Inputs!$B$34)</f>
        <v>0.35</v>
      </c>
      <c r="BP37" s="10" t="n">
        <f aca="false">IF(BP$1&gt;Inputs!$B$19,BP19*Inputs!$B$21,Inputs!$B$34)</f>
        <v>0.35</v>
      </c>
      <c r="BQ37" s="10" t="n">
        <f aca="false">IF(BQ$1&gt;Inputs!$B$19,BQ19*Inputs!$B$21,Inputs!$B$34)</f>
        <v>0.35</v>
      </c>
      <c r="BR37" s="10" t="n">
        <f aca="false">IF(BR$1&gt;Inputs!$B$19,BR19*Inputs!$B$21,Inputs!$B$34)</f>
        <v>0.35</v>
      </c>
      <c r="BS37" s="10" t="n">
        <f aca="false">IF(BS$1&gt;Inputs!$B$19,BS19*Inputs!$B$21,Inputs!$B$34)</f>
        <v>0.35</v>
      </c>
      <c r="BT37" s="10" t="n">
        <f aca="false">IF(BT$1&gt;Inputs!$B$19,BT19*Inputs!$B$21,Inputs!$B$34)</f>
        <v>0.35</v>
      </c>
      <c r="BU37" s="10" t="n">
        <f aca="false">IF(BU$1&gt;Inputs!$B$19,BU19*Inputs!$B$21,Inputs!$B$34)</f>
        <v>0.35</v>
      </c>
      <c r="BV37" s="10" t="n">
        <f aca="false">IF(BV$1&gt;Inputs!$B$19,BV19*Inputs!$B$21,Inputs!$B$34)</f>
        <v>0.35</v>
      </c>
      <c r="BW37" s="10" t="n">
        <f aca="false">IF(BW$1&gt;Inputs!$B$19,BW19*Inputs!$B$21,Inputs!$B$34)</f>
        <v>0.35</v>
      </c>
      <c r="BX37" s="10" t="n">
        <f aca="false">IF(BX$1&gt;Inputs!$B$19,BX19*Inputs!$B$21,Inputs!$B$34)</f>
        <v>0.35</v>
      </c>
      <c r="BY37" s="10" t="n">
        <f aca="false">IF(BY$1&gt;Inputs!$B$19,BY19*Inputs!$B$21,Inputs!$B$34)</f>
        <v>0.35</v>
      </c>
      <c r="BZ37" s="10" t="n">
        <f aca="false">IF(BZ$1&gt;Inputs!$B$19,BZ19*Inputs!$B$21,Inputs!$B$34)</f>
        <v>0.35</v>
      </c>
      <c r="CA37" s="10" t="n">
        <f aca="false">IF(CA$1&gt;Inputs!$B$19,CA19*Inputs!$B$21,Inputs!$B$34)</f>
        <v>0.35</v>
      </c>
      <c r="CB37" s="10" t="n">
        <f aca="false">IF(CB$1&gt;Inputs!$B$19,CB19*Inputs!$B$21,Inputs!$B$34)</f>
        <v>0.35</v>
      </c>
      <c r="CC37" s="10" t="n">
        <f aca="false">IF(CC$1&gt;Inputs!$B$19,CC19*Inputs!$B$21,Inputs!$B$34)</f>
        <v>0.35</v>
      </c>
      <c r="CD37" s="10" t="n">
        <f aca="false">IF(CD$1&gt;Inputs!$B$19,CD19*Inputs!$B$21,Inputs!$B$34)</f>
        <v>0.35</v>
      </c>
      <c r="CE37" s="10" t="n">
        <f aca="false">IF(CE$1&gt;Inputs!$B$19,CE19*Inputs!$B$21,Inputs!$B$34)</f>
        <v>0.35</v>
      </c>
      <c r="CF37" s="10" t="n">
        <f aca="false">IF(CF$1&gt;Inputs!$B$19,CF19*Inputs!$B$21,Inputs!$B$34)</f>
        <v>0.35</v>
      </c>
      <c r="CG37" s="10" t="n">
        <f aca="false">IF(CG$1&gt;Inputs!$B$19,CG19*Inputs!$B$21,Inputs!$B$34)</f>
        <v>0.35</v>
      </c>
      <c r="CH37" s="10" t="n">
        <f aca="false">IF(CH$1&gt;Inputs!$B$19,CH19*Inputs!$B$21,Inputs!$B$34)</f>
        <v>0.35</v>
      </c>
      <c r="CI37" s="10" t="n">
        <f aca="false">IF(CI$1&gt;Inputs!$B$19,CI19*Inputs!$B$21,Inputs!$B$34)</f>
        <v>0.35</v>
      </c>
      <c r="CJ37" s="10" t="n">
        <f aca="false">IF(CJ$1&gt;Inputs!$B$19,CJ19*Inputs!$B$21,Inputs!$B$34)</f>
        <v>0.35</v>
      </c>
      <c r="CK37" s="10" t="n">
        <f aca="false">IF(CK$1&gt;Inputs!$B$19,CK19*Inputs!$B$21,Inputs!$B$34)</f>
        <v>0.35</v>
      </c>
      <c r="CL37" s="10" t="n">
        <f aca="false">IF(CL$1&gt;Inputs!$B$19,CL19*Inputs!$B$21,Inputs!$B$34)</f>
        <v>0.35</v>
      </c>
      <c r="CM37" s="10" t="n">
        <f aca="false">IF(CM$1&gt;Inputs!$B$19,CM19*Inputs!$B$21,Inputs!$B$34)</f>
        <v>0.35</v>
      </c>
      <c r="CN37" s="10" t="n">
        <f aca="false">IF(CN$1&gt;Inputs!$B$19,CN19*Inputs!$B$21,Inputs!$B$34)</f>
        <v>0.35</v>
      </c>
      <c r="CO37" s="10" t="n">
        <f aca="false">IF(CO$1&gt;Inputs!$B$19,CO19*Inputs!$B$21,Inputs!$B$34)</f>
        <v>0.35</v>
      </c>
      <c r="CP37" s="10" t="n">
        <f aca="false">IF(CP$1&gt;Inputs!$B$19,CP19*Inputs!$B$21,Inputs!$B$34)</f>
        <v>0.35</v>
      </c>
      <c r="CQ37" s="10" t="n">
        <f aca="false">IF(CQ$1&gt;Inputs!$B$19,CQ19*Inputs!$B$21,Inputs!$B$34)</f>
        <v>0.35</v>
      </c>
      <c r="CR37" s="10" t="n">
        <f aca="false">IF(CR$1&gt;Inputs!$B$19,CR19*Inputs!$B$21,Inputs!$B$34)</f>
        <v>0.35</v>
      </c>
      <c r="CS37" s="10" t="n">
        <f aca="false">IF(CS$1&gt;Inputs!$B$19,CS19*Inputs!$B$21,Inputs!$B$34)</f>
        <v>0.35</v>
      </c>
      <c r="CT37" s="10" t="n">
        <f aca="false">IF(CT$1&gt;Inputs!$B$19,CT19*Inputs!$B$21,Inputs!$B$34)</f>
        <v>0.35</v>
      </c>
      <c r="CU37" s="10" t="n">
        <f aca="false">IF(CU$1&gt;Inputs!$B$19,CU19*Inputs!$B$21,Inputs!$B$34)</f>
        <v>0.35</v>
      </c>
      <c r="CV37" s="10" t="n">
        <f aca="false">IF(CV$1&gt;Inputs!$B$19,CV19*Inputs!$B$21,Inputs!$B$34)</f>
        <v>0.35</v>
      </c>
      <c r="CW37" s="10" t="n">
        <f aca="false">IF(CW$1&gt;Inputs!$B$19,CW19*Inputs!$B$21,Inputs!$B$34)</f>
        <v>0.35</v>
      </c>
      <c r="CX37" s="10" t="n">
        <f aca="false">IF(CX$1&gt;Inputs!$B$19,CX19*Inputs!$B$21,Inputs!$B$34)</f>
        <v>0.35</v>
      </c>
      <c r="CY37" s="10" t="n">
        <f aca="false">IF(CY$1&gt;Inputs!$B$19,CY19*Inputs!$B$21,Inputs!$B$34)</f>
        <v>0.35</v>
      </c>
      <c r="CZ37" s="10" t="n">
        <f aca="false">IF(CZ$1&gt;Inputs!$B$19,CZ19*Inputs!$B$21,Inputs!$B$34)</f>
        <v>0.35</v>
      </c>
      <c r="DA37" s="10" t="n">
        <f aca="false">IF(DA$1&gt;Inputs!$B$19,DA19*Inputs!$B$21,Inputs!$B$34)</f>
        <v>0.35</v>
      </c>
      <c r="DB37" s="10" t="n">
        <f aca="false">IF(DB$1&gt;Inputs!$B$19,DB19*Inputs!$B$21,Inputs!$B$34)</f>
        <v>0.35</v>
      </c>
      <c r="DC37" s="10" t="n">
        <f aca="false">IF(DC$1&gt;Inputs!$B$19,DC19*Inputs!$B$21,Inputs!$B$34)</f>
        <v>0.35</v>
      </c>
      <c r="DD37" s="10" t="n">
        <f aca="false">IF(DD$1&gt;Inputs!$B$19,DD19*Inputs!$B$21,Inputs!$B$34)</f>
        <v>0.35</v>
      </c>
      <c r="DE37" s="10" t="n">
        <f aca="false">IF(DE$1&gt;Inputs!$B$19,DE19*Inputs!$B$21,Inputs!$B$34)</f>
        <v>0.35</v>
      </c>
      <c r="DF37" s="10" t="n">
        <f aca="false">IF(DF$1&gt;Inputs!$B$19,DF19*Inputs!$B$21,Inputs!$B$34)</f>
        <v>0.35</v>
      </c>
      <c r="DG37" s="10" t="n">
        <f aca="false">IF(DG$1&gt;Inputs!$B$19,DG19*Inputs!$B$21,Inputs!$B$34)</f>
        <v>0.35</v>
      </c>
      <c r="DH37" s="10" t="n">
        <f aca="false">IF(DH$1&gt;Inputs!$B$19,DH19*Inputs!$B$21,Inputs!$B$34)</f>
        <v>0.35</v>
      </c>
      <c r="DI37" s="10" t="n">
        <f aca="false">IF(DI$1&gt;Inputs!$B$19,DI19*Inputs!$B$21,Inputs!$B$34)</f>
        <v>0.35</v>
      </c>
      <c r="DJ37" s="10" t="n">
        <f aca="false">IF(DJ$1&gt;Inputs!$B$19,DJ19*Inputs!$B$21,Inputs!$B$34)</f>
        <v>0.35</v>
      </c>
      <c r="DK37" s="10" t="n">
        <f aca="false">IF(DK$1&gt;Inputs!$B$19,DK19*Inputs!$B$21,Inputs!$B$34)</f>
        <v>0.35</v>
      </c>
      <c r="DL37" s="10" t="n">
        <f aca="false">IF(DL$1&gt;Inputs!$B$19,DL19*Inputs!$B$21,Inputs!$B$34)</f>
        <v>0.35</v>
      </c>
      <c r="DM37" s="10" t="n">
        <f aca="false">IF(DM$1&gt;Inputs!$B$19,DM19*Inputs!$B$21,Inputs!$B$34)</f>
        <v>0.35</v>
      </c>
      <c r="DN37" s="10" t="n">
        <f aca="false">IF(DN$1&gt;Inputs!$B$19,DN19*Inputs!$B$21,Inputs!$B$34)</f>
        <v>0.35</v>
      </c>
      <c r="DO37" s="10" t="n">
        <f aca="false">IF(DO$1&gt;Inputs!$B$19,DO19*Inputs!$B$21,Inputs!$B$34)</f>
        <v>0.35</v>
      </c>
      <c r="DP37" s="10" t="n">
        <f aca="false">IF(DP$1&gt;Inputs!$B$19,DP19*Inputs!$B$21,Inputs!$B$34)</f>
        <v>0.35</v>
      </c>
      <c r="DQ37" s="10" t="n">
        <f aca="false">IF(DQ$1&gt;Inputs!$B$19,DQ19*Inputs!$B$21,Inputs!$B$34)</f>
        <v>0.35</v>
      </c>
      <c r="DR37" s="10" t="n">
        <f aca="false">IF(DR$1&gt;Inputs!$B$19,DR19*Inputs!$B$21,Inputs!$B$34)</f>
        <v>0.35</v>
      </c>
    </row>
    <row r="38" customFormat="false" ht="15" hidden="false" customHeight="false" outlineLevel="0" collapsed="false">
      <c r="A38" s="9" t="s">
        <v>207</v>
      </c>
      <c r="B38" s="11" t="n">
        <f aca="false">B36+B37</f>
        <v>0</v>
      </c>
      <c r="C38" s="11" t="n">
        <f aca="false">C36+C37</f>
        <v>3.58333333333333</v>
      </c>
      <c r="D38" s="11" t="n">
        <f aca="false">D36+D37</f>
        <v>3.58333333333333</v>
      </c>
      <c r="E38" s="11" t="n">
        <f aca="false">E36+E37</f>
        <v>3.58333333333333</v>
      </c>
      <c r="F38" s="11" t="n">
        <f aca="false">F36+F37</f>
        <v>3.58333333333333</v>
      </c>
      <c r="G38" s="11" t="n">
        <f aca="false">G36+G37</f>
        <v>3.58333333333333</v>
      </c>
      <c r="H38" s="11" t="n">
        <f aca="false">H36+H37</f>
        <v>3.58333333333333</v>
      </c>
      <c r="I38" s="11" t="n">
        <f aca="false">I36+I37</f>
        <v>3.58333333333333</v>
      </c>
      <c r="J38" s="11" t="n">
        <f aca="false">J36+J37</f>
        <v>3.58333333333333</v>
      </c>
      <c r="K38" s="11" t="n">
        <f aca="false">K36+K37</f>
        <v>3.58333333333333</v>
      </c>
      <c r="L38" s="11" t="n">
        <f aca="false">L36+L37</f>
        <v>3.58333333333333</v>
      </c>
      <c r="M38" s="11" t="n">
        <f aca="false">M36+M37</f>
        <v>3.58333333333333</v>
      </c>
      <c r="N38" s="11" t="n">
        <f aca="false">N36+N37</f>
        <v>3.58333333333333</v>
      </c>
      <c r="O38" s="11" t="n">
        <f aca="false">O36+O37</f>
        <v>0.35</v>
      </c>
      <c r="P38" s="11" t="n">
        <f aca="false">P36+P37</f>
        <v>0.35</v>
      </c>
      <c r="Q38" s="11" t="n">
        <f aca="false">Q36+Q37</f>
        <v>0.35</v>
      </c>
      <c r="R38" s="11" t="n">
        <f aca="false">R36+R37</f>
        <v>0.35</v>
      </c>
      <c r="S38" s="11" t="n">
        <f aca="false">S36+S37</f>
        <v>0.35</v>
      </c>
      <c r="T38" s="11" t="n">
        <f aca="false">T36+T37</f>
        <v>0.35</v>
      </c>
      <c r="U38" s="11" t="n">
        <f aca="false">U36+U37</f>
        <v>0.35</v>
      </c>
      <c r="V38" s="11" t="n">
        <f aca="false">V36+V37</f>
        <v>0.35</v>
      </c>
      <c r="W38" s="11" t="n">
        <f aca="false">W36+W37</f>
        <v>0.35</v>
      </c>
      <c r="X38" s="11" t="n">
        <f aca="false">X36+X37</f>
        <v>0.35</v>
      </c>
      <c r="Y38" s="11" t="n">
        <f aca="false">Y36+Y37</f>
        <v>0.35</v>
      </c>
      <c r="Z38" s="11" t="n">
        <f aca="false">Z36+Z37</f>
        <v>0.35</v>
      </c>
      <c r="AA38" s="11" t="n">
        <f aca="false">AA36+AA37</f>
        <v>0.35</v>
      </c>
      <c r="AB38" s="11" t="n">
        <f aca="false">AB36+AB37</f>
        <v>0.35</v>
      </c>
      <c r="AC38" s="11" t="n">
        <f aca="false">AC36+AC37</f>
        <v>0.35</v>
      </c>
      <c r="AD38" s="11" t="n">
        <f aca="false">AD36+AD37</f>
        <v>0.35</v>
      </c>
      <c r="AE38" s="11" t="n">
        <f aca="false">AE36+AE37</f>
        <v>0.35</v>
      </c>
      <c r="AF38" s="11" t="n">
        <f aca="false">AF36+AF37</f>
        <v>0.35</v>
      </c>
      <c r="AG38" s="11" t="n">
        <f aca="false">AG36+AG37</f>
        <v>0.35</v>
      </c>
      <c r="AH38" s="11" t="n">
        <f aca="false">AH36+AH37</f>
        <v>0.35</v>
      </c>
      <c r="AI38" s="11" t="n">
        <f aca="false">AI36+AI37</f>
        <v>0.35</v>
      </c>
      <c r="AJ38" s="11" t="n">
        <f aca="false">AJ36+AJ37</f>
        <v>0.35</v>
      </c>
      <c r="AK38" s="11" t="n">
        <f aca="false">AK36+AK37</f>
        <v>0.35</v>
      </c>
      <c r="AL38" s="11" t="n">
        <f aca="false">AL36+AL37</f>
        <v>0.35</v>
      </c>
      <c r="AM38" s="11" t="n">
        <f aca="false">AM36+AM37</f>
        <v>0.35</v>
      </c>
      <c r="AN38" s="11" t="n">
        <f aca="false">AN36+AN37</f>
        <v>0.35</v>
      </c>
      <c r="AO38" s="11" t="n">
        <f aca="false">AO36+AO37</f>
        <v>0.35</v>
      </c>
      <c r="AP38" s="11" t="n">
        <f aca="false">AP36+AP37</f>
        <v>0.35</v>
      </c>
      <c r="AQ38" s="11" t="n">
        <f aca="false">AQ36+AQ37</f>
        <v>0.35</v>
      </c>
      <c r="AR38" s="11" t="n">
        <f aca="false">AR36+AR37</f>
        <v>0.35</v>
      </c>
      <c r="AS38" s="11" t="n">
        <f aca="false">AS36+AS37</f>
        <v>0.35</v>
      </c>
      <c r="AT38" s="11" t="n">
        <f aca="false">AT36+AT37</f>
        <v>0.35</v>
      </c>
      <c r="AU38" s="11" t="n">
        <f aca="false">AU36+AU37</f>
        <v>0.35</v>
      </c>
      <c r="AV38" s="11" t="n">
        <f aca="false">AV36+AV37</f>
        <v>0.35</v>
      </c>
      <c r="AW38" s="11" t="n">
        <f aca="false">AW36+AW37</f>
        <v>0.35</v>
      </c>
      <c r="AX38" s="11" t="n">
        <f aca="false">AX36+AX37</f>
        <v>0.35</v>
      </c>
      <c r="AY38" s="11" t="n">
        <f aca="false">AY36+AY37</f>
        <v>0.35</v>
      </c>
      <c r="AZ38" s="11" t="n">
        <f aca="false">AZ36+AZ37</f>
        <v>0.35</v>
      </c>
      <c r="BA38" s="11" t="n">
        <f aca="false">BA36+BA37</f>
        <v>0.35</v>
      </c>
      <c r="BB38" s="11" t="n">
        <f aca="false">BB36+BB37</f>
        <v>0.35</v>
      </c>
      <c r="BC38" s="11" t="n">
        <f aca="false">BC36+BC37</f>
        <v>0.35</v>
      </c>
      <c r="BD38" s="11" t="n">
        <f aca="false">BD36+BD37</f>
        <v>0.35</v>
      </c>
      <c r="BE38" s="11" t="n">
        <f aca="false">BE36+BE37</f>
        <v>0.35</v>
      </c>
      <c r="BF38" s="11" t="n">
        <f aca="false">BF36+BF37</f>
        <v>0.35</v>
      </c>
      <c r="BG38" s="11" t="n">
        <f aca="false">BG36+BG37</f>
        <v>0.35</v>
      </c>
      <c r="BH38" s="11" t="n">
        <f aca="false">BH36+BH37</f>
        <v>0.35</v>
      </c>
      <c r="BI38" s="11" t="n">
        <f aca="false">BI36+BI37</f>
        <v>0.35</v>
      </c>
      <c r="BJ38" s="11" t="n">
        <f aca="false">BJ36+BJ37</f>
        <v>0.35</v>
      </c>
      <c r="BK38" s="11" t="n">
        <f aca="false">BK36+BK37</f>
        <v>0.35</v>
      </c>
      <c r="BL38" s="11" t="n">
        <f aca="false">BL36+BL37</f>
        <v>0.35</v>
      </c>
      <c r="BM38" s="11" t="n">
        <f aca="false">BM36+BM37</f>
        <v>0.35</v>
      </c>
      <c r="BN38" s="11" t="n">
        <f aca="false">BN36+BN37</f>
        <v>0.35</v>
      </c>
      <c r="BO38" s="11" t="n">
        <f aca="false">BO36+BO37</f>
        <v>0.35</v>
      </c>
      <c r="BP38" s="11" t="n">
        <f aca="false">BP36+BP37</f>
        <v>0.35</v>
      </c>
      <c r="BQ38" s="11" t="n">
        <f aca="false">BQ36+BQ37</f>
        <v>0.35</v>
      </c>
      <c r="BR38" s="11" t="n">
        <f aca="false">BR36+BR37</f>
        <v>0.35</v>
      </c>
      <c r="BS38" s="11" t="n">
        <f aca="false">BS36+BS37</f>
        <v>0.35</v>
      </c>
      <c r="BT38" s="11" t="n">
        <f aca="false">BT36+BT37</f>
        <v>0.35</v>
      </c>
      <c r="BU38" s="11" t="n">
        <f aca="false">BU36+BU37</f>
        <v>0.35</v>
      </c>
      <c r="BV38" s="11" t="n">
        <f aca="false">BV36+BV37</f>
        <v>0.35</v>
      </c>
      <c r="BW38" s="11" t="n">
        <f aca="false">BW36+BW37</f>
        <v>0.35</v>
      </c>
      <c r="BX38" s="11" t="n">
        <f aca="false">BX36+BX37</f>
        <v>0.35</v>
      </c>
      <c r="BY38" s="11" t="n">
        <f aca="false">BY36+BY37</f>
        <v>0.35</v>
      </c>
      <c r="BZ38" s="11" t="n">
        <f aca="false">BZ36+BZ37</f>
        <v>0.35</v>
      </c>
      <c r="CA38" s="11" t="n">
        <f aca="false">CA36+CA37</f>
        <v>0.35</v>
      </c>
      <c r="CB38" s="11" t="n">
        <f aca="false">CB36+CB37</f>
        <v>0.35</v>
      </c>
      <c r="CC38" s="11" t="n">
        <f aca="false">CC36+CC37</f>
        <v>0.35</v>
      </c>
      <c r="CD38" s="11" t="n">
        <f aca="false">CD36+CD37</f>
        <v>0.35</v>
      </c>
      <c r="CE38" s="11" t="n">
        <f aca="false">CE36+CE37</f>
        <v>0.35</v>
      </c>
      <c r="CF38" s="11" t="n">
        <f aca="false">CF36+CF37</f>
        <v>0.35</v>
      </c>
      <c r="CG38" s="11" t="n">
        <f aca="false">CG36+CG37</f>
        <v>0.35</v>
      </c>
      <c r="CH38" s="11" t="n">
        <f aca="false">CH36+CH37</f>
        <v>0.35</v>
      </c>
      <c r="CI38" s="11" t="n">
        <f aca="false">CI36+CI37</f>
        <v>0.35</v>
      </c>
      <c r="CJ38" s="11" t="n">
        <f aca="false">CJ36+CJ37</f>
        <v>0.35</v>
      </c>
      <c r="CK38" s="11" t="n">
        <f aca="false">CK36+CK37</f>
        <v>0.35</v>
      </c>
      <c r="CL38" s="11" t="n">
        <f aca="false">CL36+CL37</f>
        <v>0.35</v>
      </c>
      <c r="CM38" s="11" t="n">
        <f aca="false">CM36+CM37</f>
        <v>0.35</v>
      </c>
      <c r="CN38" s="11" t="n">
        <f aca="false">CN36+CN37</f>
        <v>0.35</v>
      </c>
      <c r="CO38" s="11" t="n">
        <f aca="false">CO36+CO37</f>
        <v>0.35</v>
      </c>
      <c r="CP38" s="11" t="n">
        <f aca="false">CP36+CP37</f>
        <v>0.35</v>
      </c>
      <c r="CQ38" s="11" t="n">
        <f aca="false">CQ36+CQ37</f>
        <v>0.35</v>
      </c>
      <c r="CR38" s="11" t="n">
        <f aca="false">CR36+CR37</f>
        <v>0.35</v>
      </c>
      <c r="CS38" s="11" t="n">
        <f aca="false">CS36+CS37</f>
        <v>0.35</v>
      </c>
      <c r="CT38" s="11" t="n">
        <f aca="false">CT36+CT37</f>
        <v>0.35</v>
      </c>
      <c r="CU38" s="11" t="n">
        <f aca="false">CU36+CU37</f>
        <v>0.35</v>
      </c>
      <c r="CV38" s="11" t="n">
        <f aca="false">CV36+CV37</f>
        <v>0.35</v>
      </c>
      <c r="CW38" s="11" t="n">
        <f aca="false">CW36+CW37</f>
        <v>0.35</v>
      </c>
      <c r="CX38" s="11" t="n">
        <f aca="false">CX36+CX37</f>
        <v>0.35</v>
      </c>
      <c r="CY38" s="11" t="n">
        <f aca="false">CY36+CY37</f>
        <v>0.35</v>
      </c>
      <c r="CZ38" s="11" t="n">
        <f aca="false">CZ36+CZ37</f>
        <v>0.35</v>
      </c>
      <c r="DA38" s="11" t="n">
        <f aca="false">DA36+DA37</f>
        <v>0.35</v>
      </c>
      <c r="DB38" s="11" t="n">
        <f aca="false">DB36+DB37</f>
        <v>0.35</v>
      </c>
      <c r="DC38" s="11" t="n">
        <f aca="false">DC36+DC37</f>
        <v>0.35</v>
      </c>
      <c r="DD38" s="11" t="n">
        <f aca="false">DD36+DD37</f>
        <v>0.35</v>
      </c>
      <c r="DE38" s="11" t="n">
        <f aca="false">DE36+DE37</f>
        <v>0.35</v>
      </c>
      <c r="DF38" s="11" t="n">
        <f aca="false">DF36+DF37</f>
        <v>0.35</v>
      </c>
      <c r="DG38" s="11" t="n">
        <f aca="false">DG36+DG37</f>
        <v>0.35</v>
      </c>
      <c r="DH38" s="11" t="n">
        <f aca="false">DH36+DH37</f>
        <v>0.35</v>
      </c>
      <c r="DI38" s="11" t="n">
        <f aca="false">DI36+DI37</f>
        <v>0.35</v>
      </c>
      <c r="DJ38" s="11" t="n">
        <f aca="false">DJ36+DJ37</f>
        <v>0.35</v>
      </c>
      <c r="DK38" s="11" t="n">
        <f aca="false">DK36+DK37</f>
        <v>0.35</v>
      </c>
      <c r="DL38" s="11" t="n">
        <f aca="false">DL36+DL37</f>
        <v>0.35</v>
      </c>
      <c r="DM38" s="11" t="n">
        <f aca="false">DM36+DM37</f>
        <v>0.35</v>
      </c>
      <c r="DN38" s="11" t="n">
        <f aca="false">DN36+DN37</f>
        <v>0.35</v>
      </c>
      <c r="DO38" s="11" t="n">
        <f aca="false">DO36+DO37</f>
        <v>0.35</v>
      </c>
      <c r="DP38" s="11" t="n">
        <f aca="false">DP36+DP37</f>
        <v>0.35</v>
      </c>
      <c r="DQ38" s="11" t="n">
        <f aca="false">DQ36+DQ37</f>
        <v>0.35</v>
      </c>
      <c r="DR38" s="11" t="n">
        <f aca="false">DR36+DR37</f>
        <v>0.35</v>
      </c>
    </row>
    <row r="39" customFormat="false" ht="15" hidden="false" customHeight="false" outlineLevel="0" collapsed="false">
      <c r="A39" s="9" t="s">
        <v>40</v>
      </c>
      <c r="B39" s="10" t="n">
        <f aca="false">SUM(INDEX($B$38:B38,Inputs!$B$35,MAX(Inputs!$B$35,COLUMN()-Inputs!$B$20)): B38)/Inputs!$B$20</f>
        <v>0</v>
      </c>
      <c r="C39" s="10" t="n">
        <f aca="false">SUM(INDEX($B$38:C38,Inputs!$B$35,MAX(Inputs!$B$35,COLUMN()-Inputs!$B$20)): C38)/Inputs!$B$20</f>
        <v>0.0597222222222222</v>
      </c>
      <c r="D39" s="10" t="n">
        <f aca="false">SUM(INDEX($B$38:D38,Inputs!$B$35,MAX(Inputs!$B$35,COLUMN()-Inputs!$B$20)): D38)/Inputs!$B$20</f>
        <v>0.119444444444444</v>
      </c>
      <c r="E39" s="10" t="n">
        <f aca="false">SUM(INDEX($B$38:E38,Inputs!$B$35,MAX(Inputs!$B$35,COLUMN()-Inputs!$B$20)): E38)/Inputs!$B$20</f>
        <v>0.179166666666667</v>
      </c>
      <c r="F39" s="10" t="n">
        <f aca="false">SUM(INDEX($B$38:F38,Inputs!$B$35,MAX(Inputs!$B$35,COLUMN()-Inputs!$B$20)): F38)/Inputs!$B$20</f>
        <v>0.238888888888889</v>
      </c>
      <c r="G39" s="10" t="n">
        <f aca="false">SUM(INDEX($B$38:G38,Inputs!$B$35,MAX(Inputs!$B$35,COLUMN()-Inputs!$B$20)): G38)/Inputs!$B$20</f>
        <v>0.298611111111111</v>
      </c>
      <c r="H39" s="10" t="n">
        <f aca="false">SUM(INDEX($B$38:H38,Inputs!$B$35,MAX(Inputs!$B$35,COLUMN()-Inputs!$B$20)): H38)/Inputs!$B$20</f>
        <v>0.358333333333333</v>
      </c>
      <c r="I39" s="10" t="n">
        <f aca="false">SUM(INDEX($B$38:I38,Inputs!$B$35,MAX(Inputs!$B$35,COLUMN()-Inputs!$B$20)): I38)/Inputs!$B$20</f>
        <v>0.418055555555556</v>
      </c>
      <c r="J39" s="10" t="n">
        <f aca="false">SUM(INDEX($B$38:J38,Inputs!$B$35,MAX(Inputs!$B$35,COLUMN()-Inputs!$B$20)): J38)/Inputs!$B$20</f>
        <v>0.477777777777778</v>
      </c>
      <c r="K39" s="10" t="n">
        <f aca="false">SUM(INDEX($B$38:K38,Inputs!$B$35,MAX(Inputs!$B$35,COLUMN()-Inputs!$B$20)): K38)/Inputs!$B$20</f>
        <v>0.5375</v>
      </c>
      <c r="L39" s="10" t="n">
        <f aca="false">SUM(INDEX($B$38:L38,Inputs!$B$35,MAX(Inputs!$B$35,COLUMN()-Inputs!$B$20)): L38)/Inputs!$B$20</f>
        <v>0.597222222222222</v>
      </c>
      <c r="M39" s="10" t="n">
        <f aca="false">SUM(INDEX($B$38:M38,Inputs!$B$35,MAX(Inputs!$B$35,COLUMN()-Inputs!$B$20)): M38)/Inputs!$B$20</f>
        <v>0.656944444444445</v>
      </c>
      <c r="N39" s="10" t="n">
        <f aca="false">SUM(INDEX($B$38:N38,Inputs!$B$35,MAX(Inputs!$B$35,COLUMN()-Inputs!$B$20)): N38)/Inputs!$B$20</f>
        <v>0.716666666666667</v>
      </c>
      <c r="O39" s="10" t="n">
        <f aca="false">SUM(INDEX($B$38:O38,Inputs!$B$35,MAX(Inputs!$B$35,COLUMN()-Inputs!$B$20)): O38)/Inputs!$B$20</f>
        <v>0.7225</v>
      </c>
      <c r="P39" s="10" t="n">
        <f aca="false">SUM(INDEX($B$38:P38,Inputs!$B$35,MAX(Inputs!$B$35,COLUMN()-Inputs!$B$20)): P38)/Inputs!$B$20</f>
        <v>0.728333333333333</v>
      </c>
      <c r="Q39" s="10" t="n">
        <f aca="false">SUM(INDEX($B$38:Q38,Inputs!$B$35,MAX(Inputs!$B$35,COLUMN()-Inputs!$B$20)): Q38)/Inputs!$B$20</f>
        <v>0.734166666666667</v>
      </c>
      <c r="R39" s="10" t="n">
        <f aca="false">SUM(INDEX($B$38:R38,Inputs!$B$35,MAX(Inputs!$B$35,COLUMN()-Inputs!$B$20)): R38)/Inputs!$B$20</f>
        <v>0.74</v>
      </c>
      <c r="S39" s="10" t="n">
        <f aca="false">SUM(INDEX($B$38:S38,Inputs!$B$35,MAX(Inputs!$B$35,COLUMN()-Inputs!$B$20)): S38)/Inputs!$B$20</f>
        <v>0.745833333333333</v>
      </c>
      <c r="T39" s="10" t="n">
        <f aca="false">SUM(INDEX($B$38:T38,Inputs!$B$35,MAX(Inputs!$B$35,COLUMN()-Inputs!$B$20)): T38)/Inputs!$B$20</f>
        <v>0.751666666666667</v>
      </c>
      <c r="U39" s="10" t="n">
        <f aca="false">SUM(INDEX($B$38:U38,Inputs!$B$35,MAX(Inputs!$B$35,COLUMN()-Inputs!$B$20)): U38)/Inputs!$B$20</f>
        <v>0.7575</v>
      </c>
      <c r="V39" s="10" t="n">
        <f aca="false">SUM(INDEX($B$38:V38,Inputs!$B$35,MAX(Inputs!$B$35,COLUMN()-Inputs!$B$20)): V38)/Inputs!$B$20</f>
        <v>0.763333333333333</v>
      </c>
      <c r="W39" s="10" t="n">
        <f aca="false">SUM(INDEX($B$38:W38,Inputs!$B$35,MAX(Inputs!$B$35,COLUMN()-Inputs!$B$20)): W38)/Inputs!$B$20</f>
        <v>0.769166666666667</v>
      </c>
      <c r="X39" s="10" t="n">
        <f aca="false">SUM(INDEX($B$38:X38,Inputs!$B$35,MAX(Inputs!$B$35,COLUMN()-Inputs!$B$20)): X38)/Inputs!$B$20</f>
        <v>0.775</v>
      </c>
      <c r="Y39" s="10" t="n">
        <f aca="false">SUM(INDEX($B$38:Y38,Inputs!$B$35,MAX(Inputs!$B$35,COLUMN()-Inputs!$B$20)): Y38)/Inputs!$B$20</f>
        <v>0.780833333333333</v>
      </c>
      <c r="Z39" s="10" t="n">
        <f aca="false">SUM(INDEX($B$38:Z38,Inputs!$B$35,MAX(Inputs!$B$35,COLUMN()-Inputs!$B$20)): Z38)/Inputs!$B$20</f>
        <v>0.786666666666667</v>
      </c>
      <c r="AA39" s="10" t="n">
        <f aca="false">SUM(INDEX($B$38:AA38,Inputs!$B$35,MAX(Inputs!$B$35,COLUMN()-Inputs!$B$20)): AA38)/Inputs!$B$20</f>
        <v>0.7925</v>
      </c>
      <c r="AB39" s="10" t="n">
        <f aca="false">SUM(INDEX($B$38:AB38,Inputs!$B$35,MAX(Inputs!$B$35,COLUMN()-Inputs!$B$20)): AB38)/Inputs!$B$20</f>
        <v>0.798333333333334</v>
      </c>
      <c r="AC39" s="10" t="n">
        <f aca="false">SUM(INDEX($B$38:AC38,Inputs!$B$35,MAX(Inputs!$B$35,COLUMN()-Inputs!$B$20)): AC38)/Inputs!$B$20</f>
        <v>0.804166666666667</v>
      </c>
      <c r="AD39" s="10" t="n">
        <f aca="false">SUM(INDEX($B$38:AD38,Inputs!$B$35,MAX(Inputs!$B$35,COLUMN()-Inputs!$B$20)): AD38)/Inputs!$B$20</f>
        <v>0.81</v>
      </c>
      <c r="AE39" s="10" t="n">
        <f aca="false">SUM(INDEX($B$38:AE38,Inputs!$B$35,MAX(Inputs!$B$35,COLUMN()-Inputs!$B$20)): AE38)/Inputs!$B$20</f>
        <v>0.815833333333333</v>
      </c>
      <c r="AF39" s="10" t="n">
        <f aca="false">SUM(INDEX($B$38:AF38,Inputs!$B$35,MAX(Inputs!$B$35,COLUMN()-Inputs!$B$20)): AF38)/Inputs!$B$20</f>
        <v>0.821666666666667</v>
      </c>
      <c r="AG39" s="10" t="n">
        <f aca="false">SUM(INDEX($B$38:AG38,Inputs!$B$35,MAX(Inputs!$B$35,COLUMN()-Inputs!$B$20)): AG38)/Inputs!$B$20</f>
        <v>0.8275</v>
      </c>
      <c r="AH39" s="10" t="n">
        <f aca="false">SUM(INDEX($B$38:AH38,Inputs!$B$35,MAX(Inputs!$B$35,COLUMN()-Inputs!$B$20)): AH38)/Inputs!$B$20</f>
        <v>0.833333333333333</v>
      </c>
      <c r="AI39" s="10" t="n">
        <f aca="false">SUM(INDEX($B$38:AI38,Inputs!$B$35,MAX(Inputs!$B$35,COLUMN()-Inputs!$B$20)): AI38)/Inputs!$B$20</f>
        <v>0.839166666666667</v>
      </c>
      <c r="AJ39" s="10" t="n">
        <f aca="false">SUM(INDEX($B$38:AJ38,Inputs!$B$35,MAX(Inputs!$B$35,COLUMN()-Inputs!$B$20)): AJ38)/Inputs!$B$20</f>
        <v>0.845</v>
      </c>
      <c r="AK39" s="10" t="n">
        <f aca="false">SUM(INDEX($B$38:AK38,Inputs!$B$35,MAX(Inputs!$B$35,COLUMN()-Inputs!$B$20)): AK38)/Inputs!$B$20</f>
        <v>0.850833333333333</v>
      </c>
      <c r="AL39" s="10" t="n">
        <f aca="false">SUM(INDEX($B$38:AL38,Inputs!$B$35,MAX(Inputs!$B$35,COLUMN()-Inputs!$B$20)): AL38)/Inputs!$B$20</f>
        <v>0.856666666666667</v>
      </c>
      <c r="AM39" s="10" t="n">
        <f aca="false">SUM(INDEX($B$38:AM38,Inputs!$B$35,MAX(Inputs!$B$35,COLUMN()-Inputs!$B$20)): AM38)/Inputs!$B$20</f>
        <v>0.8625</v>
      </c>
      <c r="AN39" s="10" t="n">
        <f aca="false">SUM(INDEX($B$38:AN38,Inputs!$B$35,MAX(Inputs!$B$35,COLUMN()-Inputs!$B$20)): AN38)/Inputs!$B$20</f>
        <v>0.868333333333333</v>
      </c>
      <c r="AO39" s="10" t="n">
        <f aca="false">SUM(INDEX($B$38:AO38,Inputs!$B$35,MAX(Inputs!$B$35,COLUMN()-Inputs!$B$20)): AO38)/Inputs!$B$20</f>
        <v>0.874166666666667</v>
      </c>
      <c r="AP39" s="10" t="n">
        <f aca="false">SUM(INDEX($B$38:AP38,Inputs!$B$35,MAX(Inputs!$B$35,COLUMN()-Inputs!$B$20)): AP38)/Inputs!$B$20</f>
        <v>0.88</v>
      </c>
      <c r="AQ39" s="10" t="n">
        <f aca="false">SUM(INDEX($B$38:AQ38,Inputs!$B$35,MAX(Inputs!$B$35,COLUMN()-Inputs!$B$20)): AQ38)/Inputs!$B$20</f>
        <v>0.885833333333334</v>
      </c>
      <c r="AR39" s="10" t="n">
        <f aca="false">SUM(INDEX($B$38:AR38,Inputs!$B$35,MAX(Inputs!$B$35,COLUMN()-Inputs!$B$20)): AR38)/Inputs!$B$20</f>
        <v>0.891666666666667</v>
      </c>
      <c r="AS39" s="10" t="n">
        <f aca="false">SUM(INDEX($B$38:AS38,Inputs!$B$35,MAX(Inputs!$B$35,COLUMN()-Inputs!$B$20)): AS38)/Inputs!$B$20</f>
        <v>0.8975</v>
      </c>
      <c r="AT39" s="10" t="n">
        <f aca="false">SUM(INDEX($B$38:AT38,Inputs!$B$35,MAX(Inputs!$B$35,COLUMN()-Inputs!$B$20)): AT38)/Inputs!$B$20</f>
        <v>0.903333333333333</v>
      </c>
      <c r="AU39" s="10" t="n">
        <f aca="false">SUM(INDEX($B$38:AU38,Inputs!$B$35,MAX(Inputs!$B$35,COLUMN()-Inputs!$B$20)): AU38)/Inputs!$B$20</f>
        <v>0.909166666666667</v>
      </c>
      <c r="AV39" s="10" t="n">
        <f aca="false">SUM(INDEX($B$38:AV38,Inputs!$B$35,MAX(Inputs!$B$35,COLUMN()-Inputs!$B$20)): AV38)/Inputs!$B$20</f>
        <v>0.915</v>
      </c>
      <c r="AW39" s="10" t="n">
        <f aca="false">SUM(INDEX($B$38:AW38,Inputs!$B$35,MAX(Inputs!$B$35,COLUMN()-Inputs!$B$20)): AW38)/Inputs!$B$20</f>
        <v>0.920833333333333</v>
      </c>
      <c r="AX39" s="10" t="n">
        <f aca="false">SUM(INDEX($B$38:AX38,Inputs!$B$35,MAX(Inputs!$B$35,COLUMN()-Inputs!$B$20)): AX38)/Inputs!$B$20</f>
        <v>0.926666666666667</v>
      </c>
      <c r="AY39" s="10" t="n">
        <f aca="false">SUM(INDEX($B$38:AY38,Inputs!$B$35,MAX(Inputs!$B$35,COLUMN()-Inputs!$B$20)): AY38)/Inputs!$B$20</f>
        <v>0.9325</v>
      </c>
      <c r="AZ39" s="10" t="n">
        <f aca="false">SUM(INDEX($B$38:AZ38,Inputs!$B$35,MAX(Inputs!$B$35,COLUMN()-Inputs!$B$20)): AZ38)/Inputs!$B$20</f>
        <v>0.938333333333333</v>
      </c>
      <c r="BA39" s="10" t="n">
        <f aca="false">SUM(INDEX($B$38:BA38,Inputs!$B$35,MAX(Inputs!$B$35,COLUMN()-Inputs!$B$20)): BA38)/Inputs!$B$20</f>
        <v>0.944166666666667</v>
      </c>
      <c r="BB39" s="10" t="n">
        <f aca="false">SUM(INDEX($B$38:BB38,Inputs!$B$35,MAX(Inputs!$B$35,COLUMN()-Inputs!$B$20)): BB38)/Inputs!$B$20</f>
        <v>0.95</v>
      </c>
      <c r="BC39" s="10" t="n">
        <f aca="false">SUM(INDEX($B$38:BC38,Inputs!$B$35,MAX(Inputs!$B$35,COLUMN()-Inputs!$B$20)): BC38)/Inputs!$B$20</f>
        <v>0.955833333333333</v>
      </c>
      <c r="BD39" s="10" t="n">
        <f aca="false">SUM(INDEX($B$38:BD38,Inputs!$B$35,MAX(Inputs!$B$35,COLUMN()-Inputs!$B$20)): BD38)/Inputs!$B$20</f>
        <v>0.961666666666667</v>
      </c>
      <c r="BE39" s="10" t="n">
        <f aca="false">SUM(INDEX($B$38:BE38,Inputs!$B$35,MAX(Inputs!$B$35,COLUMN()-Inputs!$B$20)): BE38)/Inputs!$B$20</f>
        <v>0.9675</v>
      </c>
      <c r="BF39" s="10" t="n">
        <f aca="false">SUM(INDEX($B$38:BF38,Inputs!$B$35,MAX(Inputs!$B$35,COLUMN()-Inputs!$B$20)): BF38)/Inputs!$B$20</f>
        <v>0.973333333333333</v>
      </c>
      <c r="BG39" s="10" t="n">
        <f aca="false">SUM(INDEX($B$38:BG38,Inputs!$B$35,MAX(Inputs!$B$35,COLUMN()-Inputs!$B$20)): BG38)/Inputs!$B$20</f>
        <v>0.979166666666667</v>
      </c>
      <c r="BH39" s="10" t="n">
        <f aca="false">SUM(INDEX($B$38:BH38,Inputs!$B$35,MAX(Inputs!$B$35,COLUMN()-Inputs!$B$20)): BH38)/Inputs!$B$20</f>
        <v>0.985</v>
      </c>
      <c r="BI39" s="10" t="n">
        <f aca="false">SUM(INDEX($B$38:BI38,Inputs!$B$35,MAX(Inputs!$B$35,COLUMN()-Inputs!$B$20)): BI38)/Inputs!$B$20</f>
        <v>0.990833333333333</v>
      </c>
      <c r="BJ39" s="10" t="n">
        <f aca="false">SUM(INDEX($B$38:BJ38,Inputs!$B$35,MAX(Inputs!$B$35,COLUMN()-Inputs!$B$20)): BJ38)/Inputs!$B$20</f>
        <v>0.996666666666667</v>
      </c>
      <c r="BK39" s="10" t="n">
        <f aca="false">SUM(INDEX($B$38:BK38,Inputs!$B$35,MAX(Inputs!$B$35,COLUMN()-Inputs!$B$20)): BK38)/Inputs!$B$20</f>
        <v>0.942777777777778</v>
      </c>
      <c r="BL39" s="10" t="n">
        <f aca="false">SUM(INDEX($B$38:BL38,Inputs!$B$35,MAX(Inputs!$B$35,COLUMN()-Inputs!$B$20)): BL38)/Inputs!$B$20</f>
        <v>0.888888888888889</v>
      </c>
      <c r="BM39" s="10" t="n">
        <f aca="false">SUM(INDEX($B$38:BM38,Inputs!$B$35,MAX(Inputs!$B$35,COLUMN()-Inputs!$B$20)): BM38)/Inputs!$B$20</f>
        <v>0.835</v>
      </c>
      <c r="BN39" s="10" t="n">
        <f aca="false">SUM(INDEX($B$38:BN38,Inputs!$B$35,MAX(Inputs!$B$35,COLUMN()-Inputs!$B$20)): BN38)/Inputs!$B$20</f>
        <v>0.781111111111111</v>
      </c>
      <c r="BO39" s="10" t="n">
        <f aca="false">SUM(INDEX($B$38:BO38,Inputs!$B$35,MAX(Inputs!$B$35,COLUMN()-Inputs!$B$20)): BO38)/Inputs!$B$20</f>
        <v>0.727222222222222</v>
      </c>
      <c r="BP39" s="10" t="n">
        <f aca="false">SUM(INDEX($B$38:BP38,Inputs!$B$35,MAX(Inputs!$B$35,COLUMN()-Inputs!$B$20)): BP38)/Inputs!$B$20</f>
        <v>0.673333333333334</v>
      </c>
      <c r="BQ39" s="10" t="n">
        <f aca="false">SUM(INDEX($B$38:BQ38,Inputs!$B$35,MAX(Inputs!$B$35,COLUMN()-Inputs!$B$20)): BQ38)/Inputs!$B$20</f>
        <v>0.619444444444445</v>
      </c>
      <c r="BR39" s="10" t="n">
        <f aca="false">SUM(INDEX($B$38:BR38,Inputs!$B$35,MAX(Inputs!$B$35,COLUMN()-Inputs!$B$20)): BR38)/Inputs!$B$20</f>
        <v>0.565555555555556</v>
      </c>
      <c r="BS39" s="10" t="n">
        <f aca="false">SUM(INDEX($B$38:BS38,Inputs!$B$35,MAX(Inputs!$B$35,COLUMN()-Inputs!$B$20)): BS38)/Inputs!$B$20</f>
        <v>0.511666666666667</v>
      </c>
      <c r="BT39" s="10" t="n">
        <f aca="false">SUM(INDEX($B$38:BT38,Inputs!$B$35,MAX(Inputs!$B$35,COLUMN()-Inputs!$B$20)): BT38)/Inputs!$B$20</f>
        <v>0.457777777777778</v>
      </c>
      <c r="BU39" s="10" t="n">
        <f aca="false">SUM(INDEX($B$38:BU38,Inputs!$B$35,MAX(Inputs!$B$35,COLUMN()-Inputs!$B$20)): BU38)/Inputs!$B$20</f>
        <v>0.403888888888889</v>
      </c>
      <c r="BV39" s="10" t="n">
        <f aca="false">SUM(INDEX($B$38:BV38,Inputs!$B$35,MAX(Inputs!$B$35,COLUMN()-Inputs!$B$20)): BV38)/Inputs!$B$20</f>
        <v>0.35</v>
      </c>
      <c r="BW39" s="10" t="n">
        <f aca="false">SUM(INDEX($B$38:BW38,Inputs!$B$35,MAX(Inputs!$B$35,COLUMN()-Inputs!$B$20)): BW38)/Inputs!$B$20</f>
        <v>0.35</v>
      </c>
      <c r="BX39" s="10" t="n">
        <f aca="false">SUM(INDEX($B$38:BX38,Inputs!$B$35,MAX(Inputs!$B$35,COLUMN()-Inputs!$B$20)): BX38)/Inputs!$B$20</f>
        <v>0.35</v>
      </c>
      <c r="BY39" s="10" t="n">
        <f aca="false">SUM(INDEX($B$38:BY38,Inputs!$B$35,MAX(Inputs!$B$35,COLUMN()-Inputs!$B$20)): BY38)/Inputs!$B$20</f>
        <v>0.35</v>
      </c>
      <c r="BZ39" s="10" t="n">
        <f aca="false">SUM(INDEX($B$38:BZ38,Inputs!$B$35,MAX(Inputs!$B$35,COLUMN()-Inputs!$B$20)): BZ38)/Inputs!$B$20</f>
        <v>0.35</v>
      </c>
      <c r="CA39" s="10" t="n">
        <f aca="false">SUM(INDEX($B$38:CA38,Inputs!$B$35,MAX(Inputs!$B$35,COLUMN()-Inputs!$B$20)): CA38)/Inputs!$B$20</f>
        <v>0.35</v>
      </c>
      <c r="CB39" s="10" t="n">
        <f aca="false">SUM(INDEX($B$38:CB38,Inputs!$B$35,MAX(Inputs!$B$35,COLUMN()-Inputs!$B$20)): CB38)/Inputs!$B$20</f>
        <v>0.35</v>
      </c>
      <c r="CC39" s="10" t="n">
        <f aca="false">SUM(INDEX($B$38:CC38,Inputs!$B$35,MAX(Inputs!$B$35,COLUMN()-Inputs!$B$20)): CC38)/Inputs!$B$20</f>
        <v>0.35</v>
      </c>
      <c r="CD39" s="10" t="n">
        <f aca="false">SUM(INDEX($B$38:CD38,Inputs!$B$35,MAX(Inputs!$B$35,COLUMN()-Inputs!$B$20)): CD38)/Inputs!$B$20</f>
        <v>0.35</v>
      </c>
      <c r="CE39" s="10" t="n">
        <f aca="false">SUM(INDEX($B$38:CE38,Inputs!$B$35,MAX(Inputs!$B$35,COLUMN()-Inputs!$B$20)): CE38)/Inputs!$B$20</f>
        <v>0.35</v>
      </c>
      <c r="CF39" s="10" t="n">
        <f aca="false">SUM(INDEX($B$38:CF38,Inputs!$B$35,MAX(Inputs!$B$35,COLUMN()-Inputs!$B$20)): CF38)/Inputs!$B$20</f>
        <v>0.35</v>
      </c>
      <c r="CG39" s="10" t="n">
        <f aca="false">SUM(INDEX($B$38:CG38,Inputs!$B$35,MAX(Inputs!$B$35,COLUMN()-Inputs!$B$20)): CG38)/Inputs!$B$20</f>
        <v>0.35</v>
      </c>
      <c r="CH39" s="10" t="n">
        <f aca="false">SUM(INDEX($B$38:CH38,Inputs!$B$35,MAX(Inputs!$B$35,COLUMN()-Inputs!$B$20)): CH38)/Inputs!$B$20</f>
        <v>0.35</v>
      </c>
      <c r="CI39" s="10" t="n">
        <f aca="false">SUM(INDEX($B$38:CI38,Inputs!$B$35,MAX(Inputs!$B$35,COLUMN()-Inputs!$B$20)): CI38)/Inputs!$B$20</f>
        <v>0.35</v>
      </c>
      <c r="CJ39" s="10" t="n">
        <f aca="false">SUM(INDEX($B$38:CJ38,Inputs!$B$35,MAX(Inputs!$B$35,COLUMN()-Inputs!$B$20)): CJ38)/Inputs!$B$20</f>
        <v>0.35</v>
      </c>
      <c r="CK39" s="10" t="n">
        <f aca="false">SUM(INDEX($B$38:CK38,Inputs!$B$35,MAX(Inputs!$B$35,COLUMN()-Inputs!$B$20)): CK38)/Inputs!$B$20</f>
        <v>0.35</v>
      </c>
      <c r="CL39" s="10" t="n">
        <f aca="false">SUM(INDEX($B$38:CL38,Inputs!$B$35,MAX(Inputs!$B$35,COLUMN()-Inputs!$B$20)): CL38)/Inputs!$B$20</f>
        <v>0.35</v>
      </c>
      <c r="CM39" s="10" t="n">
        <f aca="false">SUM(INDEX($B$38:CM38,Inputs!$B$35,MAX(Inputs!$B$35,COLUMN()-Inputs!$B$20)): CM38)/Inputs!$B$20</f>
        <v>0.35</v>
      </c>
      <c r="CN39" s="10" t="n">
        <f aca="false">SUM(INDEX($B$38:CN38,Inputs!$B$35,MAX(Inputs!$B$35,COLUMN()-Inputs!$B$20)): CN38)/Inputs!$B$20</f>
        <v>0.35</v>
      </c>
      <c r="CO39" s="10" t="n">
        <f aca="false">SUM(INDEX($B$38:CO38,Inputs!$B$35,MAX(Inputs!$B$35,COLUMN()-Inputs!$B$20)): CO38)/Inputs!$B$20</f>
        <v>0.35</v>
      </c>
      <c r="CP39" s="10" t="n">
        <f aca="false">SUM(INDEX($B$38:CP38,Inputs!$B$35,MAX(Inputs!$B$35,COLUMN()-Inputs!$B$20)): CP38)/Inputs!$B$20</f>
        <v>0.35</v>
      </c>
      <c r="CQ39" s="10" t="n">
        <f aca="false">SUM(INDEX($B$38:CQ38,Inputs!$B$35,MAX(Inputs!$B$35,COLUMN()-Inputs!$B$20)): CQ38)/Inputs!$B$20</f>
        <v>0.35</v>
      </c>
      <c r="CR39" s="10" t="n">
        <f aca="false">SUM(INDEX($B$38:CR38,Inputs!$B$35,MAX(Inputs!$B$35,COLUMN()-Inputs!$B$20)): CR38)/Inputs!$B$20</f>
        <v>0.35</v>
      </c>
      <c r="CS39" s="10" t="n">
        <f aca="false">SUM(INDEX($B$38:CS38,Inputs!$B$35,MAX(Inputs!$B$35,COLUMN()-Inputs!$B$20)): CS38)/Inputs!$B$20</f>
        <v>0.35</v>
      </c>
      <c r="CT39" s="10" t="n">
        <f aca="false">SUM(INDEX($B$38:CT38,Inputs!$B$35,MAX(Inputs!$B$35,COLUMN()-Inputs!$B$20)): CT38)/Inputs!$B$20</f>
        <v>0.35</v>
      </c>
      <c r="CU39" s="10" t="n">
        <f aca="false">SUM(INDEX($B$38:CU38,Inputs!$B$35,MAX(Inputs!$B$35,COLUMN()-Inputs!$B$20)): CU38)/Inputs!$B$20</f>
        <v>0.35</v>
      </c>
      <c r="CV39" s="10" t="n">
        <f aca="false">SUM(INDEX($B$38:CV38,Inputs!$B$35,MAX(Inputs!$B$35,COLUMN()-Inputs!$B$20)): CV38)/Inputs!$B$20</f>
        <v>0.35</v>
      </c>
      <c r="CW39" s="10" t="n">
        <f aca="false">SUM(INDEX($B$38:CW38,Inputs!$B$35,MAX(Inputs!$B$35,COLUMN()-Inputs!$B$20)): CW38)/Inputs!$B$20</f>
        <v>0.35</v>
      </c>
      <c r="CX39" s="10" t="n">
        <f aca="false">SUM(INDEX($B$38:CX38,Inputs!$B$35,MAX(Inputs!$B$35,COLUMN()-Inputs!$B$20)): CX38)/Inputs!$B$20</f>
        <v>0.35</v>
      </c>
      <c r="CY39" s="10" t="n">
        <f aca="false">SUM(INDEX($B$38:CY38,Inputs!$B$35,MAX(Inputs!$B$35,COLUMN()-Inputs!$B$20)): CY38)/Inputs!$B$20</f>
        <v>0.35</v>
      </c>
      <c r="CZ39" s="10" t="n">
        <f aca="false">SUM(INDEX($B$38:CZ38,Inputs!$B$35,MAX(Inputs!$B$35,COLUMN()-Inputs!$B$20)): CZ38)/Inputs!$B$20</f>
        <v>0.35</v>
      </c>
      <c r="DA39" s="10" t="n">
        <f aca="false">SUM(INDEX($B$38:DA38,Inputs!$B$35,MAX(Inputs!$B$35,COLUMN()-Inputs!$B$20)): DA38)/Inputs!$B$20</f>
        <v>0.35</v>
      </c>
      <c r="DB39" s="10" t="n">
        <f aca="false">SUM(INDEX($B$38:DB38,Inputs!$B$35,MAX(Inputs!$B$35,COLUMN()-Inputs!$B$20)): DB38)/Inputs!$B$20</f>
        <v>0.35</v>
      </c>
      <c r="DC39" s="10" t="n">
        <f aca="false">SUM(INDEX($B$38:DC38,Inputs!$B$35,MAX(Inputs!$B$35,COLUMN()-Inputs!$B$20)): DC38)/Inputs!$B$20</f>
        <v>0.35</v>
      </c>
      <c r="DD39" s="10" t="n">
        <f aca="false">SUM(INDEX($B$38:DD38,Inputs!$B$35,MAX(Inputs!$B$35,COLUMN()-Inputs!$B$20)): DD38)/Inputs!$B$20</f>
        <v>0.35</v>
      </c>
      <c r="DE39" s="10" t="n">
        <f aca="false">SUM(INDEX($B$38:DE38,Inputs!$B$35,MAX(Inputs!$B$35,COLUMN()-Inputs!$B$20)): DE38)/Inputs!$B$20</f>
        <v>0.35</v>
      </c>
      <c r="DF39" s="10" t="n">
        <f aca="false">SUM(INDEX($B$38:DF38,Inputs!$B$35,MAX(Inputs!$B$35,COLUMN()-Inputs!$B$20)): DF38)/Inputs!$B$20</f>
        <v>0.35</v>
      </c>
      <c r="DG39" s="10" t="n">
        <f aca="false">SUM(INDEX($B$38:DG38,Inputs!$B$35,MAX(Inputs!$B$35,COLUMN()-Inputs!$B$20)): DG38)/Inputs!$B$20</f>
        <v>0.35</v>
      </c>
      <c r="DH39" s="10" t="n">
        <f aca="false">SUM(INDEX($B$38:DH38,Inputs!$B$35,MAX(Inputs!$B$35,COLUMN()-Inputs!$B$20)): DH38)/Inputs!$B$20</f>
        <v>0.35</v>
      </c>
      <c r="DI39" s="10" t="n">
        <f aca="false">SUM(INDEX($B$38:DI38,Inputs!$B$35,MAX(Inputs!$B$35,COLUMN()-Inputs!$B$20)): DI38)/Inputs!$B$20</f>
        <v>0.35</v>
      </c>
      <c r="DJ39" s="10" t="n">
        <f aca="false">SUM(INDEX($B$38:DJ38,Inputs!$B$35,MAX(Inputs!$B$35,COLUMN()-Inputs!$B$20)): DJ38)/Inputs!$B$20</f>
        <v>0.35</v>
      </c>
      <c r="DK39" s="10" t="n">
        <f aca="false">SUM(INDEX($B$38:DK38,Inputs!$B$35,MAX(Inputs!$B$35,COLUMN()-Inputs!$B$20)): DK38)/Inputs!$B$20</f>
        <v>0.35</v>
      </c>
      <c r="DL39" s="10" t="n">
        <f aca="false">SUM(INDEX($B$38:DL38,Inputs!$B$35,MAX(Inputs!$B$35,COLUMN()-Inputs!$B$20)): DL38)/Inputs!$B$20</f>
        <v>0.35</v>
      </c>
      <c r="DM39" s="10" t="n">
        <f aca="false">SUM(INDEX($B$38:DM38,Inputs!$B$35,MAX(Inputs!$B$35,COLUMN()-Inputs!$B$20)): DM38)/Inputs!$B$20</f>
        <v>0.35</v>
      </c>
      <c r="DN39" s="10" t="n">
        <f aca="false">SUM(INDEX($B$38:DN38,Inputs!$B$35,MAX(Inputs!$B$35,COLUMN()-Inputs!$B$20)): DN38)/Inputs!$B$20</f>
        <v>0.35</v>
      </c>
      <c r="DO39" s="10" t="n">
        <f aca="false">SUM(INDEX($B$38:DO38,Inputs!$B$35,MAX(Inputs!$B$35,COLUMN()-Inputs!$B$20)): DO38)/Inputs!$B$20</f>
        <v>0.35</v>
      </c>
      <c r="DP39" s="10" t="n">
        <f aca="false">SUM(INDEX($B$38:DP38,Inputs!$B$35,MAX(Inputs!$B$35,COLUMN()-Inputs!$B$20)): DP38)/Inputs!$B$20</f>
        <v>0.35</v>
      </c>
      <c r="DQ39" s="10" t="n">
        <f aca="false">SUM(INDEX($B$38:DQ38,Inputs!$B$35,MAX(Inputs!$B$35,COLUMN()-Inputs!$B$20)): DQ38)/Inputs!$B$20</f>
        <v>0.35</v>
      </c>
      <c r="DR39" s="10" t="n">
        <f aca="false">SUM(INDEX($B$38:DR38,Inputs!$B$35,MAX(Inputs!$B$35,COLUMN()-Inputs!$B$20)): DR38)/Inputs!$B$20</f>
        <v>0.35</v>
      </c>
    </row>
    <row r="40" customFormat="false" ht="15" hidden="false" customHeight="false" outlineLevel="0" collapsed="false">
      <c r="A40" s="9" t="s">
        <v>208</v>
      </c>
      <c r="B40" s="11" t="n">
        <f aca="false">B35-B39</f>
        <v>0</v>
      </c>
      <c r="C40" s="11" t="n">
        <f aca="false">C35-C39</f>
        <v>-1.19305555555556</v>
      </c>
      <c r="D40" s="11" t="n">
        <f aca="false">D35-D39</f>
        <v>-1.25277777777778</v>
      </c>
      <c r="E40" s="11" t="n">
        <f aca="false">E35-E39</f>
        <v>-1.3125</v>
      </c>
      <c r="F40" s="11" t="n">
        <f aca="false">F35-F39</f>
        <v>-1.37222222222222</v>
      </c>
      <c r="G40" s="11" t="n">
        <f aca="false">G35-G39</f>
        <v>-1.43194444444444</v>
      </c>
      <c r="H40" s="11" t="n">
        <f aca="false">H35-H39</f>
        <v>6.30833333333333</v>
      </c>
      <c r="I40" s="11" t="n">
        <f aca="false">I35-I39</f>
        <v>6.24861111111111</v>
      </c>
      <c r="J40" s="11" t="n">
        <f aca="false">J35-J39</f>
        <v>6.18888888888889</v>
      </c>
      <c r="K40" s="11" t="n">
        <f aca="false">K35-K39</f>
        <v>11.3291666666667</v>
      </c>
      <c r="L40" s="11" t="n">
        <f aca="false">L35-L39</f>
        <v>11.2694444444444</v>
      </c>
      <c r="M40" s="11" t="n">
        <f aca="false">M35-M39</f>
        <v>11.2097222222222</v>
      </c>
      <c r="N40" s="11" t="n">
        <f aca="false">N35-N39</f>
        <v>16.35</v>
      </c>
      <c r="O40" s="11" t="n">
        <f aca="false">O35-O39</f>
        <v>16.9275</v>
      </c>
      <c r="P40" s="11" t="n">
        <f aca="false">P35-P39</f>
        <v>16.9216666666667</v>
      </c>
      <c r="Q40" s="11" t="n">
        <f aca="false">Q35-Q39</f>
        <v>16.9158333333333</v>
      </c>
      <c r="R40" s="11" t="n">
        <f aca="false">R35-R39</f>
        <v>16.91</v>
      </c>
      <c r="S40" s="11" t="n">
        <f aca="false">S35-S39</f>
        <v>16.9041666666667</v>
      </c>
      <c r="T40" s="11" t="n">
        <f aca="false">T35-T39</f>
        <v>16.8983333333333</v>
      </c>
      <c r="U40" s="11" t="n">
        <f aca="false">U35-U39</f>
        <v>16.8925</v>
      </c>
      <c r="V40" s="11" t="n">
        <f aca="false">V35-V39</f>
        <v>16.8866666666667</v>
      </c>
      <c r="W40" s="11" t="n">
        <f aca="false">W35-W39</f>
        <v>16.8808333333333</v>
      </c>
      <c r="X40" s="11" t="n">
        <f aca="false">X35-X39</f>
        <v>16.875</v>
      </c>
      <c r="Y40" s="11" t="n">
        <f aca="false">Y35-Y39</f>
        <v>16.8691666666667</v>
      </c>
      <c r="Z40" s="11" t="n">
        <f aca="false">Z35-Z39</f>
        <v>16.8633333333333</v>
      </c>
      <c r="AA40" s="11" t="n">
        <f aca="false">AA35-AA39</f>
        <v>16.8575</v>
      </c>
      <c r="AB40" s="11" t="n">
        <f aca="false">AB35-AB39</f>
        <v>16.8516666666667</v>
      </c>
      <c r="AC40" s="11" t="n">
        <f aca="false">AC35-AC39</f>
        <v>16.8458333333333</v>
      </c>
      <c r="AD40" s="11" t="n">
        <f aca="false">AD35-AD39</f>
        <v>16.84</v>
      </c>
      <c r="AE40" s="11" t="n">
        <f aca="false">AE35-AE39</f>
        <v>16.8341666666667</v>
      </c>
      <c r="AF40" s="11" t="n">
        <f aca="false">AF35-AF39</f>
        <v>16.8283333333333</v>
      </c>
      <c r="AG40" s="11" t="n">
        <f aca="false">AG35-AG39</f>
        <v>16.8225</v>
      </c>
      <c r="AH40" s="11" t="n">
        <f aca="false">AH35-AH39</f>
        <v>16.8166666666667</v>
      </c>
      <c r="AI40" s="11" t="n">
        <f aca="false">AI35-AI39</f>
        <v>16.8108333333333</v>
      </c>
      <c r="AJ40" s="11" t="n">
        <f aca="false">AJ35-AJ39</f>
        <v>16.805</v>
      </c>
      <c r="AK40" s="11" t="n">
        <f aca="false">AK35-AK39</f>
        <v>16.7991666666667</v>
      </c>
      <c r="AL40" s="11" t="n">
        <f aca="false">AL35-AL39</f>
        <v>16.7933333333333</v>
      </c>
      <c r="AM40" s="11" t="n">
        <f aca="false">AM35-AM39</f>
        <v>16.7875</v>
      </c>
      <c r="AN40" s="11" t="n">
        <f aca="false">AN35-AN39</f>
        <v>16.7816666666667</v>
      </c>
      <c r="AO40" s="11" t="n">
        <f aca="false">AO35-AO39</f>
        <v>16.7758333333333</v>
      </c>
      <c r="AP40" s="11" t="n">
        <f aca="false">AP35-AP39</f>
        <v>16.77</v>
      </c>
      <c r="AQ40" s="11" t="n">
        <f aca="false">AQ35-AQ39</f>
        <v>16.7641666666667</v>
      </c>
      <c r="AR40" s="11" t="n">
        <f aca="false">AR35-AR39</f>
        <v>16.7583333333333</v>
      </c>
      <c r="AS40" s="11" t="n">
        <f aca="false">AS35-AS39</f>
        <v>16.7525</v>
      </c>
      <c r="AT40" s="11" t="n">
        <f aca="false">AT35-AT39</f>
        <v>16.7466666666667</v>
      </c>
      <c r="AU40" s="11" t="n">
        <f aca="false">AU35-AU39</f>
        <v>16.7408333333333</v>
      </c>
      <c r="AV40" s="11" t="n">
        <f aca="false">AV35-AV39</f>
        <v>16.735</v>
      </c>
      <c r="AW40" s="11" t="n">
        <f aca="false">AW35-AW39</f>
        <v>16.7291666666667</v>
      </c>
      <c r="AX40" s="11" t="n">
        <f aca="false">AX35-AX39</f>
        <v>16.7233333333333</v>
      </c>
      <c r="AY40" s="11" t="n">
        <f aca="false">AY35-AY39</f>
        <v>16.7175</v>
      </c>
      <c r="AZ40" s="11" t="n">
        <f aca="false">AZ35-AZ39</f>
        <v>16.7116666666667</v>
      </c>
      <c r="BA40" s="11" t="n">
        <f aca="false">BA35-BA39</f>
        <v>16.7058333333333</v>
      </c>
      <c r="BB40" s="11" t="n">
        <f aca="false">BB35-BB39</f>
        <v>16.7</v>
      </c>
      <c r="BC40" s="11" t="n">
        <f aca="false">BC35-BC39</f>
        <v>16.6941666666667</v>
      </c>
      <c r="BD40" s="11" t="n">
        <f aca="false">BD35-BD39</f>
        <v>16.6883333333333</v>
      </c>
      <c r="BE40" s="11" t="n">
        <f aca="false">BE35-BE39</f>
        <v>16.6825</v>
      </c>
      <c r="BF40" s="11" t="n">
        <f aca="false">BF35-BF39</f>
        <v>16.6766666666667</v>
      </c>
      <c r="BG40" s="11" t="n">
        <f aca="false">BG35-BG39</f>
        <v>16.6708333333333</v>
      </c>
      <c r="BH40" s="11" t="n">
        <f aca="false">BH35-BH39</f>
        <v>16.665</v>
      </c>
      <c r="BI40" s="11" t="n">
        <f aca="false">BI35-BI39</f>
        <v>16.6591666666667</v>
      </c>
      <c r="BJ40" s="11" t="n">
        <f aca="false">BJ35-BJ39</f>
        <v>16.6533333333333</v>
      </c>
      <c r="BK40" s="11" t="n">
        <f aca="false">BK35-BK39</f>
        <v>16.7072222222222</v>
      </c>
      <c r="BL40" s="11" t="n">
        <f aca="false">BL35-BL39</f>
        <v>16.7611111111111</v>
      </c>
      <c r="BM40" s="11" t="n">
        <f aca="false">BM35-BM39</f>
        <v>16.815</v>
      </c>
      <c r="BN40" s="11" t="n">
        <f aca="false">BN35-BN39</f>
        <v>16.8688888888889</v>
      </c>
      <c r="BO40" s="11" t="n">
        <f aca="false">BO35-BO39</f>
        <v>16.9227777777778</v>
      </c>
      <c r="BP40" s="11" t="n">
        <f aca="false">BP35-BP39</f>
        <v>16.9766666666667</v>
      </c>
      <c r="BQ40" s="11" t="n">
        <f aca="false">BQ35-BQ39</f>
        <v>17.0305555555556</v>
      </c>
      <c r="BR40" s="11" t="n">
        <f aca="false">BR35-BR39</f>
        <v>17.0844444444444</v>
      </c>
      <c r="BS40" s="11" t="n">
        <f aca="false">BS35-BS39</f>
        <v>17.1383333333333</v>
      </c>
      <c r="BT40" s="11" t="n">
        <f aca="false">BT35-BT39</f>
        <v>17.1922222222222</v>
      </c>
      <c r="BU40" s="11" t="n">
        <f aca="false">BU35-BU39</f>
        <v>17.2461111111111</v>
      </c>
      <c r="BV40" s="11" t="n">
        <f aca="false">BV35-BV39</f>
        <v>17.3</v>
      </c>
      <c r="BW40" s="11" t="n">
        <f aca="false">BW35-BW39</f>
        <v>17.3</v>
      </c>
      <c r="BX40" s="11" t="n">
        <f aca="false">BX35-BX39</f>
        <v>17.3</v>
      </c>
      <c r="BY40" s="11" t="n">
        <f aca="false">BY35-BY39</f>
        <v>17.3</v>
      </c>
      <c r="BZ40" s="11" t="n">
        <f aca="false">BZ35-BZ39</f>
        <v>17.3</v>
      </c>
      <c r="CA40" s="11" t="n">
        <f aca="false">CA35-CA39</f>
        <v>17.3</v>
      </c>
      <c r="CB40" s="11" t="n">
        <f aca="false">CB35-CB39</f>
        <v>17.3</v>
      </c>
      <c r="CC40" s="11" t="n">
        <f aca="false">CC35-CC39</f>
        <v>17.3</v>
      </c>
      <c r="CD40" s="11" t="n">
        <f aca="false">CD35-CD39</f>
        <v>17.3</v>
      </c>
      <c r="CE40" s="11" t="n">
        <f aca="false">CE35-CE39</f>
        <v>17.3</v>
      </c>
      <c r="CF40" s="11" t="n">
        <f aca="false">CF35-CF39</f>
        <v>17.3</v>
      </c>
      <c r="CG40" s="11" t="n">
        <f aca="false">CG35-CG39</f>
        <v>17.3</v>
      </c>
      <c r="CH40" s="11" t="n">
        <f aca="false">CH35-CH39</f>
        <v>17.3</v>
      </c>
      <c r="CI40" s="11" t="n">
        <f aca="false">CI35-CI39</f>
        <v>17.3</v>
      </c>
      <c r="CJ40" s="11" t="n">
        <f aca="false">CJ35-CJ39</f>
        <v>17.3</v>
      </c>
      <c r="CK40" s="11" t="n">
        <f aca="false">CK35-CK39</f>
        <v>17.3</v>
      </c>
      <c r="CL40" s="11" t="n">
        <f aca="false">CL35-CL39</f>
        <v>17.3</v>
      </c>
      <c r="CM40" s="11" t="n">
        <f aca="false">CM35-CM39</f>
        <v>17.3</v>
      </c>
      <c r="CN40" s="11" t="n">
        <f aca="false">CN35-CN39</f>
        <v>17.3</v>
      </c>
      <c r="CO40" s="11" t="n">
        <f aca="false">CO35-CO39</f>
        <v>17.3</v>
      </c>
      <c r="CP40" s="11" t="n">
        <f aca="false">CP35-CP39</f>
        <v>17.3</v>
      </c>
      <c r="CQ40" s="11" t="n">
        <f aca="false">CQ35-CQ39</f>
        <v>17.3</v>
      </c>
      <c r="CR40" s="11" t="n">
        <f aca="false">CR35-CR39</f>
        <v>17.3</v>
      </c>
      <c r="CS40" s="11" t="n">
        <f aca="false">CS35-CS39</f>
        <v>17.3</v>
      </c>
      <c r="CT40" s="11" t="n">
        <f aca="false">CT35-CT39</f>
        <v>17.3</v>
      </c>
      <c r="CU40" s="11" t="n">
        <f aca="false">CU35-CU39</f>
        <v>17.3</v>
      </c>
      <c r="CV40" s="11" t="n">
        <f aca="false">CV35-CV39</f>
        <v>17.3</v>
      </c>
      <c r="CW40" s="11" t="n">
        <f aca="false">CW35-CW39</f>
        <v>17.3</v>
      </c>
      <c r="CX40" s="11" t="n">
        <f aca="false">CX35-CX39</f>
        <v>17.3</v>
      </c>
      <c r="CY40" s="11" t="n">
        <f aca="false">CY35-CY39</f>
        <v>17.3</v>
      </c>
      <c r="CZ40" s="11" t="n">
        <f aca="false">CZ35-CZ39</f>
        <v>17.3</v>
      </c>
      <c r="DA40" s="11" t="n">
        <f aca="false">DA35-DA39</f>
        <v>17.3</v>
      </c>
      <c r="DB40" s="11" t="n">
        <f aca="false">DB35-DB39</f>
        <v>17.3</v>
      </c>
      <c r="DC40" s="11" t="n">
        <f aca="false">DC35-DC39</f>
        <v>17.3</v>
      </c>
      <c r="DD40" s="11" t="n">
        <f aca="false">DD35-DD39</f>
        <v>17.3</v>
      </c>
      <c r="DE40" s="11" t="n">
        <f aca="false">DE35-DE39</f>
        <v>17.3</v>
      </c>
      <c r="DF40" s="11" t="n">
        <f aca="false">DF35-DF39</f>
        <v>17.3</v>
      </c>
      <c r="DG40" s="11" t="n">
        <f aca="false">DG35-DG39</f>
        <v>17.3</v>
      </c>
      <c r="DH40" s="11" t="n">
        <f aca="false">DH35-DH39</f>
        <v>17.3</v>
      </c>
      <c r="DI40" s="11" t="n">
        <f aca="false">DI35-DI39</f>
        <v>17.3</v>
      </c>
      <c r="DJ40" s="11" t="n">
        <f aca="false">DJ35-DJ39</f>
        <v>17.3</v>
      </c>
      <c r="DK40" s="11" t="n">
        <f aca="false">DK35-DK39</f>
        <v>17.3</v>
      </c>
      <c r="DL40" s="11" t="n">
        <f aca="false">DL35-DL39</f>
        <v>17.3</v>
      </c>
      <c r="DM40" s="11" t="n">
        <f aca="false">DM35-DM39</f>
        <v>17.3</v>
      </c>
      <c r="DN40" s="11" t="n">
        <f aca="false">DN35-DN39</f>
        <v>17.3</v>
      </c>
      <c r="DO40" s="11" t="n">
        <f aca="false">DO35-DO39</f>
        <v>17.3</v>
      </c>
      <c r="DP40" s="11" t="n">
        <f aca="false">DP35-DP39</f>
        <v>17.3</v>
      </c>
      <c r="DQ40" s="11" t="n">
        <f aca="false">DQ35-DQ39</f>
        <v>17.3</v>
      </c>
      <c r="DR40" s="11" t="n">
        <f aca="false">DR35-DR39</f>
        <v>17.3</v>
      </c>
    </row>
    <row r="41" customFormat="false" ht="15" hidden="false" customHeight="false" outlineLevel="0" collapsed="false">
      <c r="A41" s="9" t="s">
        <v>209</v>
      </c>
      <c r="B41" s="10" t="n">
        <f aca="false">MAX(Inputs!$B$34,B40)*Inputs!$B$11</f>
        <v>0</v>
      </c>
      <c r="C41" s="10" t="n">
        <f aca="false">MAX(Inputs!$B$34,C40)*Inputs!$B$11</f>
        <v>0</v>
      </c>
      <c r="D41" s="10" t="n">
        <f aca="false">MAX(Inputs!$B$34,D40)*Inputs!$B$11</f>
        <v>0</v>
      </c>
      <c r="E41" s="10" t="n">
        <f aca="false">MAX(Inputs!$B$34,E40)*Inputs!$B$11</f>
        <v>0</v>
      </c>
      <c r="F41" s="10" t="n">
        <f aca="false">MAX(Inputs!$B$34,F40)*Inputs!$B$11</f>
        <v>0</v>
      </c>
      <c r="G41" s="10" t="n">
        <f aca="false">MAX(Inputs!$B$34,G40)*Inputs!$B$11</f>
        <v>0</v>
      </c>
      <c r="H41" s="10" t="n">
        <f aca="false">MAX(Inputs!$B$34,H40)*Inputs!$B$11</f>
        <v>1.8925</v>
      </c>
      <c r="I41" s="10" t="n">
        <f aca="false">MAX(Inputs!$B$34,I40)*Inputs!$B$11</f>
        <v>1.87458333333333</v>
      </c>
      <c r="J41" s="10" t="n">
        <f aca="false">MAX(Inputs!$B$34,J40)*Inputs!$B$11</f>
        <v>1.85666666666667</v>
      </c>
      <c r="K41" s="10" t="n">
        <f aca="false">MAX(Inputs!$B$34,K40)*Inputs!$B$11</f>
        <v>3.39875</v>
      </c>
      <c r="L41" s="10" t="n">
        <f aca="false">MAX(Inputs!$B$34,L40)*Inputs!$B$11</f>
        <v>3.38083333333333</v>
      </c>
      <c r="M41" s="10" t="n">
        <f aca="false">MAX(Inputs!$B$34,M40)*Inputs!$B$11</f>
        <v>3.36291666666667</v>
      </c>
      <c r="N41" s="10" t="n">
        <f aca="false">MAX(Inputs!$B$34,N40)*Inputs!$B$11</f>
        <v>4.905</v>
      </c>
      <c r="O41" s="10" t="n">
        <f aca="false">MAX(Inputs!$B$34,O40)*Inputs!$B$11</f>
        <v>5.07825</v>
      </c>
      <c r="P41" s="10" t="n">
        <f aca="false">MAX(Inputs!$B$34,P40)*Inputs!$B$11</f>
        <v>5.0765</v>
      </c>
      <c r="Q41" s="10" t="n">
        <f aca="false">MAX(Inputs!$B$34,Q40)*Inputs!$B$11</f>
        <v>5.07475</v>
      </c>
      <c r="R41" s="10" t="n">
        <f aca="false">MAX(Inputs!$B$34,R40)*Inputs!$B$11</f>
        <v>5.073</v>
      </c>
      <c r="S41" s="10" t="n">
        <f aca="false">MAX(Inputs!$B$34,S40)*Inputs!$B$11</f>
        <v>5.07125</v>
      </c>
      <c r="T41" s="10" t="n">
        <f aca="false">MAX(Inputs!$B$34,T40)*Inputs!$B$11</f>
        <v>5.0695</v>
      </c>
      <c r="U41" s="10" t="n">
        <f aca="false">MAX(Inputs!$B$34,U40)*Inputs!$B$11</f>
        <v>5.06775</v>
      </c>
      <c r="V41" s="10" t="n">
        <f aca="false">MAX(Inputs!$B$34,V40)*Inputs!$B$11</f>
        <v>5.066</v>
      </c>
      <c r="W41" s="10" t="n">
        <f aca="false">MAX(Inputs!$B$34,W40)*Inputs!$B$11</f>
        <v>5.06425</v>
      </c>
      <c r="X41" s="10" t="n">
        <f aca="false">MAX(Inputs!$B$34,X40)*Inputs!$B$11</f>
        <v>5.0625</v>
      </c>
      <c r="Y41" s="10" t="n">
        <f aca="false">MAX(Inputs!$B$34,Y40)*Inputs!$B$11</f>
        <v>5.06075</v>
      </c>
      <c r="Z41" s="10" t="n">
        <f aca="false">MAX(Inputs!$B$34,Z40)*Inputs!$B$11</f>
        <v>5.059</v>
      </c>
      <c r="AA41" s="10" t="n">
        <f aca="false">MAX(Inputs!$B$34,AA40)*Inputs!$B$11</f>
        <v>5.05725</v>
      </c>
      <c r="AB41" s="10" t="n">
        <f aca="false">MAX(Inputs!$B$34,AB40)*Inputs!$B$11</f>
        <v>5.0555</v>
      </c>
      <c r="AC41" s="10" t="n">
        <f aca="false">MAX(Inputs!$B$34,AC40)*Inputs!$B$11</f>
        <v>5.05375</v>
      </c>
      <c r="AD41" s="10" t="n">
        <f aca="false">MAX(Inputs!$B$34,AD40)*Inputs!$B$11</f>
        <v>5.052</v>
      </c>
      <c r="AE41" s="10" t="n">
        <f aca="false">MAX(Inputs!$B$34,AE40)*Inputs!$B$11</f>
        <v>5.05025</v>
      </c>
      <c r="AF41" s="10" t="n">
        <f aca="false">MAX(Inputs!$B$34,AF40)*Inputs!$B$11</f>
        <v>5.0485</v>
      </c>
      <c r="AG41" s="10" t="n">
        <f aca="false">MAX(Inputs!$B$34,AG40)*Inputs!$B$11</f>
        <v>5.04675</v>
      </c>
      <c r="AH41" s="10" t="n">
        <f aca="false">MAX(Inputs!$B$34,AH40)*Inputs!$B$11</f>
        <v>5.045</v>
      </c>
      <c r="AI41" s="10" t="n">
        <f aca="false">MAX(Inputs!$B$34,AI40)*Inputs!$B$11</f>
        <v>5.04325</v>
      </c>
      <c r="AJ41" s="10" t="n">
        <f aca="false">MAX(Inputs!$B$34,AJ40)*Inputs!$B$11</f>
        <v>5.0415</v>
      </c>
      <c r="AK41" s="10" t="n">
        <f aca="false">MAX(Inputs!$B$34,AK40)*Inputs!$B$11</f>
        <v>5.03975</v>
      </c>
      <c r="AL41" s="10" t="n">
        <f aca="false">MAX(Inputs!$B$34,AL40)*Inputs!$B$11</f>
        <v>5.038</v>
      </c>
      <c r="AM41" s="10" t="n">
        <f aca="false">MAX(Inputs!$B$34,AM40)*Inputs!$B$11</f>
        <v>5.03625</v>
      </c>
      <c r="AN41" s="10" t="n">
        <f aca="false">MAX(Inputs!$B$34,AN40)*Inputs!$B$11</f>
        <v>5.0345</v>
      </c>
      <c r="AO41" s="10" t="n">
        <f aca="false">MAX(Inputs!$B$34,AO40)*Inputs!$B$11</f>
        <v>5.03275</v>
      </c>
      <c r="AP41" s="10" t="n">
        <f aca="false">MAX(Inputs!$B$34,AP40)*Inputs!$B$11</f>
        <v>5.031</v>
      </c>
      <c r="AQ41" s="10" t="n">
        <f aca="false">MAX(Inputs!$B$34,AQ40)*Inputs!$B$11</f>
        <v>5.02925</v>
      </c>
      <c r="AR41" s="10" t="n">
        <f aca="false">MAX(Inputs!$B$34,AR40)*Inputs!$B$11</f>
        <v>5.0275</v>
      </c>
      <c r="AS41" s="10" t="n">
        <f aca="false">MAX(Inputs!$B$34,AS40)*Inputs!$B$11</f>
        <v>5.02575</v>
      </c>
      <c r="AT41" s="10" t="n">
        <f aca="false">MAX(Inputs!$B$34,AT40)*Inputs!$B$11</f>
        <v>5.024</v>
      </c>
      <c r="AU41" s="10" t="n">
        <f aca="false">MAX(Inputs!$B$34,AU40)*Inputs!$B$11</f>
        <v>5.02225</v>
      </c>
      <c r="AV41" s="10" t="n">
        <f aca="false">MAX(Inputs!$B$34,AV40)*Inputs!$B$11</f>
        <v>5.0205</v>
      </c>
      <c r="AW41" s="10" t="n">
        <f aca="false">MAX(Inputs!$B$34,AW40)*Inputs!$B$11</f>
        <v>5.01875</v>
      </c>
      <c r="AX41" s="10" t="n">
        <f aca="false">MAX(Inputs!$B$34,AX40)*Inputs!$B$11</f>
        <v>5.017</v>
      </c>
      <c r="AY41" s="10" t="n">
        <f aca="false">MAX(Inputs!$B$34,AY40)*Inputs!$B$11</f>
        <v>5.01525</v>
      </c>
      <c r="AZ41" s="10" t="n">
        <f aca="false">MAX(Inputs!$B$34,AZ40)*Inputs!$B$11</f>
        <v>5.0135</v>
      </c>
      <c r="BA41" s="10" t="n">
        <f aca="false">MAX(Inputs!$B$34,BA40)*Inputs!$B$11</f>
        <v>5.01175</v>
      </c>
      <c r="BB41" s="10" t="n">
        <f aca="false">MAX(Inputs!$B$34,BB40)*Inputs!$B$11</f>
        <v>5.01</v>
      </c>
      <c r="BC41" s="10" t="n">
        <f aca="false">MAX(Inputs!$B$34,BC40)*Inputs!$B$11</f>
        <v>5.00825</v>
      </c>
      <c r="BD41" s="10" t="n">
        <f aca="false">MAX(Inputs!$B$34,BD40)*Inputs!$B$11</f>
        <v>5.0065</v>
      </c>
      <c r="BE41" s="10" t="n">
        <f aca="false">MAX(Inputs!$B$34,BE40)*Inputs!$B$11</f>
        <v>5.00475</v>
      </c>
      <c r="BF41" s="10" t="n">
        <f aca="false">MAX(Inputs!$B$34,BF40)*Inputs!$B$11</f>
        <v>5.003</v>
      </c>
      <c r="BG41" s="10" t="n">
        <f aca="false">MAX(Inputs!$B$34,BG40)*Inputs!$B$11</f>
        <v>5.00125</v>
      </c>
      <c r="BH41" s="10" t="n">
        <f aca="false">MAX(Inputs!$B$34,BH40)*Inputs!$B$11</f>
        <v>4.9995</v>
      </c>
      <c r="BI41" s="10" t="n">
        <f aca="false">MAX(Inputs!$B$34,BI40)*Inputs!$B$11</f>
        <v>4.99775</v>
      </c>
      <c r="BJ41" s="10" t="n">
        <f aca="false">MAX(Inputs!$B$34,BJ40)*Inputs!$B$11</f>
        <v>4.996</v>
      </c>
      <c r="BK41" s="10" t="n">
        <f aca="false">MAX(Inputs!$B$34,BK40)*Inputs!$B$11</f>
        <v>5.01216666666667</v>
      </c>
      <c r="BL41" s="10" t="n">
        <f aca="false">MAX(Inputs!$B$34,BL40)*Inputs!$B$11</f>
        <v>5.02833333333333</v>
      </c>
      <c r="BM41" s="10" t="n">
        <f aca="false">MAX(Inputs!$B$34,BM40)*Inputs!$B$11</f>
        <v>5.0445</v>
      </c>
      <c r="BN41" s="10" t="n">
        <f aca="false">MAX(Inputs!$B$34,BN40)*Inputs!$B$11</f>
        <v>5.06066666666667</v>
      </c>
      <c r="BO41" s="10" t="n">
        <f aca="false">MAX(Inputs!$B$34,BO40)*Inputs!$B$11</f>
        <v>5.07683333333333</v>
      </c>
      <c r="BP41" s="10" t="n">
        <f aca="false">MAX(Inputs!$B$34,BP40)*Inputs!$B$11</f>
        <v>5.093</v>
      </c>
      <c r="BQ41" s="10" t="n">
        <f aca="false">MAX(Inputs!$B$34,BQ40)*Inputs!$B$11</f>
        <v>5.10916666666667</v>
      </c>
      <c r="BR41" s="10" t="n">
        <f aca="false">MAX(Inputs!$B$34,BR40)*Inputs!$B$11</f>
        <v>5.12533333333333</v>
      </c>
      <c r="BS41" s="10" t="n">
        <f aca="false">MAX(Inputs!$B$34,BS40)*Inputs!$B$11</f>
        <v>5.1415</v>
      </c>
      <c r="BT41" s="10" t="n">
        <f aca="false">MAX(Inputs!$B$34,BT40)*Inputs!$B$11</f>
        <v>5.15766666666667</v>
      </c>
      <c r="BU41" s="10" t="n">
        <f aca="false">MAX(Inputs!$B$34,BU40)*Inputs!$B$11</f>
        <v>5.17383333333333</v>
      </c>
      <c r="BV41" s="10" t="n">
        <f aca="false">MAX(Inputs!$B$34,BV40)*Inputs!$B$11</f>
        <v>5.19</v>
      </c>
      <c r="BW41" s="10" t="n">
        <f aca="false">MAX(Inputs!$B$34,BW40)*Inputs!$B$11</f>
        <v>5.19</v>
      </c>
      <c r="BX41" s="10" t="n">
        <f aca="false">MAX(Inputs!$B$34,BX40)*Inputs!$B$11</f>
        <v>5.19</v>
      </c>
      <c r="BY41" s="10" t="n">
        <f aca="false">MAX(Inputs!$B$34,BY40)*Inputs!$B$11</f>
        <v>5.19</v>
      </c>
      <c r="BZ41" s="10" t="n">
        <f aca="false">MAX(Inputs!$B$34,BZ40)*Inputs!$B$11</f>
        <v>5.19</v>
      </c>
      <c r="CA41" s="10" t="n">
        <f aca="false">MAX(Inputs!$B$34,CA40)*Inputs!$B$11</f>
        <v>5.19</v>
      </c>
      <c r="CB41" s="10" t="n">
        <f aca="false">MAX(Inputs!$B$34,CB40)*Inputs!$B$11</f>
        <v>5.19</v>
      </c>
      <c r="CC41" s="10" t="n">
        <f aca="false">MAX(Inputs!$B$34,CC40)*Inputs!$B$11</f>
        <v>5.19</v>
      </c>
      <c r="CD41" s="10" t="n">
        <f aca="false">MAX(Inputs!$B$34,CD40)*Inputs!$B$11</f>
        <v>5.19</v>
      </c>
      <c r="CE41" s="10" t="n">
        <f aca="false">MAX(Inputs!$B$34,CE40)*Inputs!$B$11</f>
        <v>5.19</v>
      </c>
      <c r="CF41" s="10" t="n">
        <f aca="false">MAX(Inputs!$B$34,CF40)*Inputs!$B$11</f>
        <v>5.19</v>
      </c>
      <c r="CG41" s="10" t="n">
        <f aca="false">MAX(Inputs!$B$34,CG40)*Inputs!$B$11</f>
        <v>5.19</v>
      </c>
      <c r="CH41" s="10" t="n">
        <f aca="false">MAX(Inputs!$B$34,CH40)*Inputs!$B$11</f>
        <v>5.19</v>
      </c>
      <c r="CI41" s="10" t="n">
        <f aca="false">MAX(Inputs!$B$34,CI40)*Inputs!$B$11</f>
        <v>5.19</v>
      </c>
      <c r="CJ41" s="10" t="n">
        <f aca="false">MAX(Inputs!$B$34,CJ40)*Inputs!$B$11</f>
        <v>5.19</v>
      </c>
      <c r="CK41" s="10" t="n">
        <f aca="false">MAX(Inputs!$B$34,CK40)*Inputs!$B$11</f>
        <v>5.19</v>
      </c>
      <c r="CL41" s="10" t="n">
        <f aca="false">MAX(Inputs!$B$34,CL40)*Inputs!$B$11</f>
        <v>5.19</v>
      </c>
      <c r="CM41" s="10" t="n">
        <f aca="false">MAX(Inputs!$B$34,CM40)*Inputs!$B$11</f>
        <v>5.19</v>
      </c>
      <c r="CN41" s="10" t="n">
        <f aca="false">MAX(Inputs!$B$34,CN40)*Inputs!$B$11</f>
        <v>5.19</v>
      </c>
      <c r="CO41" s="10" t="n">
        <f aca="false">MAX(Inputs!$B$34,CO40)*Inputs!$B$11</f>
        <v>5.19</v>
      </c>
      <c r="CP41" s="10" t="n">
        <f aca="false">MAX(Inputs!$B$34,CP40)*Inputs!$B$11</f>
        <v>5.19</v>
      </c>
      <c r="CQ41" s="10" t="n">
        <f aca="false">MAX(Inputs!$B$34,CQ40)*Inputs!$B$11</f>
        <v>5.19</v>
      </c>
      <c r="CR41" s="10" t="n">
        <f aca="false">MAX(Inputs!$B$34,CR40)*Inputs!$B$11</f>
        <v>5.19</v>
      </c>
      <c r="CS41" s="10" t="n">
        <f aca="false">MAX(Inputs!$B$34,CS40)*Inputs!$B$11</f>
        <v>5.19</v>
      </c>
      <c r="CT41" s="10" t="n">
        <f aca="false">MAX(Inputs!$B$34,CT40)*Inputs!$B$11</f>
        <v>5.19</v>
      </c>
      <c r="CU41" s="10" t="n">
        <f aca="false">MAX(Inputs!$B$34,CU40)*Inputs!$B$11</f>
        <v>5.19</v>
      </c>
      <c r="CV41" s="10" t="n">
        <f aca="false">MAX(Inputs!$B$34,CV40)*Inputs!$B$11</f>
        <v>5.19</v>
      </c>
      <c r="CW41" s="10" t="n">
        <f aca="false">MAX(Inputs!$B$34,CW40)*Inputs!$B$11</f>
        <v>5.19</v>
      </c>
      <c r="CX41" s="10" t="n">
        <f aca="false">MAX(Inputs!$B$34,CX40)*Inputs!$B$11</f>
        <v>5.19</v>
      </c>
      <c r="CY41" s="10" t="n">
        <f aca="false">MAX(Inputs!$B$34,CY40)*Inputs!$B$11</f>
        <v>5.19</v>
      </c>
      <c r="CZ41" s="10" t="n">
        <f aca="false">MAX(Inputs!$B$34,CZ40)*Inputs!$B$11</f>
        <v>5.19</v>
      </c>
      <c r="DA41" s="10" t="n">
        <f aca="false">MAX(Inputs!$B$34,DA40)*Inputs!$B$11</f>
        <v>5.19</v>
      </c>
      <c r="DB41" s="10" t="n">
        <f aca="false">MAX(Inputs!$B$34,DB40)*Inputs!$B$11</f>
        <v>5.19</v>
      </c>
      <c r="DC41" s="10" t="n">
        <f aca="false">MAX(Inputs!$B$34,DC40)*Inputs!$B$11</f>
        <v>5.19</v>
      </c>
      <c r="DD41" s="10" t="n">
        <f aca="false">MAX(Inputs!$B$34,DD40)*Inputs!$B$11</f>
        <v>5.19</v>
      </c>
      <c r="DE41" s="10" t="n">
        <f aca="false">MAX(Inputs!$B$34,DE40)*Inputs!$B$11</f>
        <v>5.19</v>
      </c>
      <c r="DF41" s="10" t="n">
        <f aca="false">MAX(Inputs!$B$34,DF40)*Inputs!$B$11</f>
        <v>5.19</v>
      </c>
      <c r="DG41" s="10" t="n">
        <f aca="false">MAX(Inputs!$B$34,DG40)*Inputs!$B$11</f>
        <v>5.19</v>
      </c>
      <c r="DH41" s="10" t="n">
        <f aca="false">MAX(Inputs!$B$34,DH40)*Inputs!$B$11</f>
        <v>5.19</v>
      </c>
      <c r="DI41" s="10" t="n">
        <f aca="false">MAX(Inputs!$B$34,DI40)*Inputs!$B$11</f>
        <v>5.19</v>
      </c>
      <c r="DJ41" s="10" t="n">
        <f aca="false">MAX(Inputs!$B$34,DJ40)*Inputs!$B$11</f>
        <v>5.19</v>
      </c>
      <c r="DK41" s="10" t="n">
        <f aca="false">MAX(Inputs!$B$34,DK40)*Inputs!$B$11</f>
        <v>5.19</v>
      </c>
      <c r="DL41" s="10" t="n">
        <f aca="false">MAX(Inputs!$B$34,DL40)*Inputs!$B$11</f>
        <v>5.19</v>
      </c>
      <c r="DM41" s="10" t="n">
        <f aca="false">MAX(Inputs!$B$34,DM40)*Inputs!$B$11</f>
        <v>5.19</v>
      </c>
      <c r="DN41" s="10" t="n">
        <f aca="false">MAX(Inputs!$B$34,DN40)*Inputs!$B$11</f>
        <v>5.19</v>
      </c>
      <c r="DO41" s="10" t="n">
        <f aca="false">MAX(Inputs!$B$34,DO40)*Inputs!$B$11</f>
        <v>5.19</v>
      </c>
      <c r="DP41" s="10" t="n">
        <f aca="false">MAX(Inputs!$B$34,DP40)*Inputs!$B$11</f>
        <v>5.19</v>
      </c>
      <c r="DQ41" s="10" t="n">
        <f aca="false">MAX(Inputs!$B$34,DQ40)*Inputs!$B$11</f>
        <v>5.19</v>
      </c>
      <c r="DR41" s="10" t="n">
        <f aca="false">MAX(Inputs!$B$34,DR40)*Inputs!$B$11</f>
        <v>5.19</v>
      </c>
    </row>
    <row r="42" customFormat="false" ht="15" hidden="false" customHeight="false" outlineLevel="0" collapsed="false">
      <c r="A42" s="12" t="s">
        <v>210</v>
      </c>
      <c r="B42" s="13" t="n">
        <f aca="false">B40-B41</f>
        <v>0</v>
      </c>
      <c r="C42" s="13" t="n">
        <f aca="false">C40-C41</f>
        <v>-1.19305555555556</v>
      </c>
      <c r="D42" s="13" t="n">
        <f aca="false">D40-D41</f>
        <v>-1.25277777777778</v>
      </c>
      <c r="E42" s="13" t="n">
        <f aca="false">E40-E41</f>
        <v>-1.3125</v>
      </c>
      <c r="F42" s="13" t="n">
        <f aca="false">F40-F41</f>
        <v>-1.37222222222222</v>
      </c>
      <c r="G42" s="13" t="n">
        <f aca="false">G40-G41</f>
        <v>-1.43194444444444</v>
      </c>
      <c r="H42" s="13" t="n">
        <f aca="false">H40-H41</f>
        <v>4.41583333333333</v>
      </c>
      <c r="I42" s="13" t="n">
        <f aca="false">I40-I41</f>
        <v>4.37402777777778</v>
      </c>
      <c r="J42" s="13" t="n">
        <f aca="false">J40-J41</f>
        <v>4.33222222222222</v>
      </c>
      <c r="K42" s="13" t="n">
        <f aca="false">K40-K41</f>
        <v>7.93041666666667</v>
      </c>
      <c r="L42" s="13" t="n">
        <f aca="false">L40-L41</f>
        <v>7.88861111111111</v>
      </c>
      <c r="M42" s="13" t="n">
        <f aca="false">M40-M41</f>
        <v>7.84680555555556</v>
      </c>
      <c r="N42" s="13" t="n">
        <f aca="false">N40-N41</f>
        <v>11.445</v>
      </c>
      <c r="O42" s="13" t="n">
        <f aca="false">O40-O41</f>
        <v>11.84925</v>
      </c>
      <c r="P42" s="13" t="n">
        <f aca="false">P40-P41</f>
        <v>11.8451666666667</v>
      </c>
      <c r="Q42" s="13" t="n">
        <f aca="false">Q40-Q41</f>
        <v>11.8410833333333</v>
      </c>
      <c r="R42" s="13" t="n">
        <f aca="false">R40-R41</f>
        <v>11.837</v>
      </c>
      <c r="S42" s="13" t="n">
        <f aca="false">S40-S41</f>
        <v>11.8329166666667</v>
      </c>
      <c r="T42" s="13" t="n">
        <f aca="false">T40-T41</f>
        <v>11.8288333333333</v>
      </c>
      <c r="U42" s="13" t="n">
        <f aca="false">U40-U41</f>
        <v>11.82475</v>
      </c>
      <c r="V42" s="13" t="n">
        <f aca="false">V40-V41</f>
        <v>11.8206666666667</v>
      </c>
      <c r="W42" s="13" t="n">
        <f aca="false">W40-W41</f>
        <v>11.8165833333333</v>
      </c>
      <c r="X42" s="13" t="n">
        <f aca="false">X40-X41</f>
        <v>11.8125</v>
      </c>
      <c r="Y42" s="13" t="n">
        <f aca="false">Y40-Y41</f>
        <v>11.8084166666667</v>
      </c>
      <c r="Z42" s="13" t="n">
        <f aca="false">Z40-Z41</f>
        <v>11.8043333333333</v>
      </c>
      <c r="AA42" s="13" t="n">
        <f aca="false">AA40-AA41</f>
        <v>11.80025</v>
      </c>
      <c r="AB42" s="13" t="n">
        <f aca="false">AB40-AB41</f>
        <v>11.7961666666667</v>
      </c>
      <c r="AC42" s="13" t="n">
        <f aca="false">AC40-AC41</f>
        <v>11.7920833333333</v>
      </c>
      <c r="AD42" s="13" t="n">
        <f aca="false">AD40-AD41</f>
        <v>11.788</v>
      </c>
      <c r="AE42" s="13" t="n">
        <f aca="false">AE40-AE41</f>
        <v>11.7839166666667</v>
      </c>
      <c r="AF42" s="13" t="n">
        <f aca="false">AF40-AF41</f>
        <v>11.7798333333333</v>
      </c>
      <c r="AG42" s="13" t="n">
        <f aca="false">AG40-AG41</f>
        <v>11.77575</v>
      </c>
      <c r="AH42" s="13" t="n">
        <f aca="false">AH40-AH41</f>
        <v>11.7716666666667</v>
      </c>
      <c r="AI42" s="13" t="n">
        <f aca="false">AI40-AI41</f>
        <v>11.7675833333333</v>
      </c>
      <c r="AJ42" s="13" t="n">
        <f aca="false">AJ40-AJ41</f>
        <v>11.7635</v>
      </c>
      <c r="AK42" s="13" t="n">
        <f aca="false">AK40-AK41</f>
        <v>11.7594166666667</v>
      </c>
      <c r="AL42" s="13" t="n">
        <f aca="false">AL40-AL41</f>
        <v>11.7553333333333</v>
      </c>
      <c r="AM42" s="13" t="n">
        <f aca="false">AM40-AM41</f>
        <v>11.75125</v>
      </c>
      <c r="AN42" s="13" t="n">
        <f aca="false">AN40-AN41</f>
        <v>11.7471666666667</v>
      </c>
      <c r="AO42" s="13" t="n">
        <f aca="false">AO40-AO41</f>
        <v>11.7430833333333</v>
      </c>
      <c r="AP42" s="13" t="n">
        <f aca="false">AP40-AP41</f>
        <v>11.739</v>
      </c>
      <c r="AQ42" s="13" t="n">
        <f aca="false">AQ40-AQ41</f>
        <v>11.7349166666667</v>
      </c>
      <c r="AR42" s="13" t="n">
        <f aca="false">AR40-AR41</f>
        <v>11.7308333333333</v>
      </c>
      <c r="AS42" s="13" t="n">
        <f aca="false">AS40-AS41</f>
        <v>11.72675</v>
      </c>
      <c r="AT42" s="13" t="n">
        <f aca="false">AT40-AT41</f>
        <v>11.7226666666667</v>
      </c>
      <c r="AU42" s="13" t="n">
        <f aca="false">AU40-AU41</f>
        <v>11.7185833333333</v>
      </c>
      <c r="AV42" s="13" t="n">
        <f aca="false">AV40-AV41</f>
        <v>11.7145</v>
      </c>
      <c r="AW42" s="13" t="n">
        <f aca="false">AW40-AW41</f>
        <v>11.7104166666667</v>
      </c>
      <c r="AX42" s="13" t="n">
        <f aca="false">AX40-AX41</f>
        <v>11.7063333333333</v>
      </c>
      <c r="AY42" s="13" t="n">
        <f aca="false">AY40-AY41</f>
        <v>11.70225</v>
      </c>
      <c r="AZ42" s="13" t="n">
        <f aca="false">AZ40-AZ41</f>
        <v>11.6981666666667</v>
      </c>
      <c r="BA42" s="13" t="n">
        <f aca="false">BA40-BA41</f>
        <v>11.6940833333333</v>
      </c>
      <c r="BB42" s="13" t="n">
        <f aca="false">BB40-BB41</f>
        <v>11.69</v>
      </c>
      <c r="BC42" s="13" t="n">
        <f aca="false">BC40-BC41</f>
        <v>11.6859166666667</v>
      </c>
      <c r="BD42" s="13" t="n">
        <f aca="false">BD40-BD41</f>
        <v>11.6818333333333</v>
      </c>
      <c r="BE42" s="13" t="n">
        <f aca="false">BE40-BE41</f>
        <v>11.67775</v>
      </c>
      <c r="BF42" s="13" t="n">
        <f aca="false">BF40-BF41</f>
        <v>11.6736666666667</v>
      </c>
      <c r="BG42" s="13" t="n">
        <f aca="false">BG40-BG41</f>
        <v>11.6695833333333</v>
      </c>
      <c r="BH42" s="13" t="n">
        <f aca="false">BH40-BH41</f>
        <v>11.6655</v>
      </c>
      <c r="BI42" s="13" t="n">
        <f aca="false">BI40-BI41</f>
        <v>11.6614166666667</v>
      </c>
      <c r="BJ42" s="13" t="n">
        <f aca="false">BJ40-BJ41</f>
        <v>11.6573333333333</v>
      </c>
      <c r="BK42" s="13" t="n">
        <f aca="false">BK40-BK41</f>
        <v>11.6950555555556</v>
      </c>
      <c r="BL42" s="13" t="n">
        <f aca="false">BL40-BL41</f>
        <v>11.7327777777778</v>
      </c>
      <c r="BM42" s="13" t="n">
        <f aca="false">BM40-BM41</f>
        <v>11.7705</v>
      </c>
      <c r="BN42" s="13" t="n">
        <f aca="false">BN40-BN41</f>
        <v>11.8082222222222</v>
      </c>
      <c r="BO42" s="13" t="n">
        <f aca="false">BO40-BO41</f>
        <v>11.8459444444444</v>
      </c>
      <c r="BP42" s="13" t="n">
        <f aca="false">BP40-BP41</f>
        <v>11.8836666666667</v>
      </c>
      <c r="BQ42" s="13" t="n">
        <f aca="false">BQ40-BQ41</f>
        <v>11.9213888888889</v>
      </c>
      <c r="BR42" s="13" t="n">
        <f aca="false">BR40-BR41</f>
        <v>11.9591111111111</v>
      </c>
      <c r="BS42" s="13" t="n">
        <f aca="false">BS40-BS41</f>
        <v>11.9968333333333</v>
      </c>
      <c r="BT42" s="13" t="n">
        <f aca="false">BT40-BT41</f>
        <v>12.0345555555556</v>
      </c>
      <c r="BU42" s="13" t="n">
        <f aca="false">BU40-BU41</f>
        <v>12.0722777777778</v>
      </c>
      <c r="BV42" s="13" t="n">
        <f aca="false">BV40-BV41</f>
        <v>12.11</v>
      </c>
      <c r="BW42" s="13" t="n">
        <f aca="false">BW40-BW41</f>
        <v>12.11</v>
      </c>
      <c r="BX42" s="13" t="n">
        <f aca="false">BX40-BX41</f>
        <v>12.11</v>
      </c>
      <c r="BY42" s="13" t="n">
        <f aca="false">BY40-BY41</f>
        <v>12.11</v>
      </c>
      <c r="BZ42" s="13" t="n">
        <f aca="false">BZ40-BZ41</f>
        <v>12.11</v>
      </c>
      <c r="CA42" s="13" t="n">
        <f aca="false">CA40-CA41</f>
        <v>12.11</v>
      </c>
      <c r="CB42" s="13" t="n">
        <f aca="false">CB40-CB41</f>
        <v>12.11</v>
      </c>
      <c r="CC42" s="13" t="n">
        <f aca="false">CC40-CC41</f>
        <v>12.11</v>
      </c>
      <c r="CD42" s="13" t="n">
        <f aca="false">CD40-CD41</f>
        <v>12.11</v>
      </c>
      <c r="CE42" s="13" t="n">
        <f aca="false">CE40-CE41</f>
        <v>12.11</v>
      </c>
      <c r="CF42" s="13" t="n">
        <f aca="false">CF40-CF41</f>
        <v>12.11</v>
      </c>
      <c r="CG42" s="13" t="n">
        <f aca="false">CG40-CG41</f>
        <v>12.11</v>
      </c>
      <c r="CH42" s="13" t="n">
        <f aca="false">CH40-CH41</f>
        <v>12.11</v>
      </c>
      <c r="CI42" s="13" t="n">
        <f aca="false">CI40-CI41</f>
        <v>12.11</v>
      </c>
      <c r="CJ42" s="13" t="n">
        <f aca="false">CJ40-CJ41</f>
        <v>12.11</v>
      </c>
      <c r="CK42" s="13" t="n">
        <f aca="false">CK40-CK41</f>
        <v>12.11</v>
      </c>
      <c r="CL42" s="13" t="n">
        <f aca="false">CL40-CL41</f>
        <v>12.11</v>
      </c>
      <c r="CM42" s="13" t="n">
        <f aca="false">CM40-CM41</f>
        <v>12.11</v>
      </c>
      <c r="CN42" s="13" t="n">
        <f aca="false">CN40-CN41</f>
        <v>12.11</v>
      </c>
      <c r="CO42" s="13" t="n">
        <f aca="false">CO40-CO41</f>
        <v>12.11</v>
      </c>
      <c r="CP42" s="13" t="n">
        <f aca="false">CP40-CP41</f>
        <v>12.11</v>
      </c>
      <c r="CQ42" s="13" t="n">
        <f aca="false">CQ40-CQ41</f>
        <v>12.11</v>
      </c>
      <c r="CR42" s="13" t="n">
        <f aca="false">CR40-CR41</f>
        <v>12.11</v>
      </c>
      <c r="CS42" s="13" t="n">
        <f aca="false">CS40-CS41</f>
        <v>12.11</v>
      </c>
      <c r="CT42" s="13" t="n">
        <f aca="false">CT40-CT41</f>
        <v>12.11</v>
      </c>
      <c r="CU42" s="13" t="n">
        <f aca="false">CU40-CU41</f>
        <v>12.11</v>
      </c>
      <c r="CV42" s="13" t="n">
        <f aca="false">CV40-CV41</f>
        <v>12.11</v>
      </c>
      <c r="CW42" s="13" t="n">
        <f aca="false">CW40-CW41</f>
        <v>12.11</v>
      </c>
      <c r="CX42" s="13" t="n">
        <f aca="false">CX40-CX41</f>
        <v>12.11</v>
      </c>
      <c r="CY42" s="13" t="n">
        <f aca="false">CY40-CY41</f>
        <v>12.11</v>
      </c>
      <c r="CZ42" s="13" t="n">
        <f aca="false">CZ40-CZ41</f>
        <v>12.11</v>
      </c>
      <c r="DA42" s="13" t="n">
        <f aca="false">DA40-DA41</f>
        <v>12.11</v>
      </c>
      <c r="DB42" s="13" t="n">
        <f aca="false">DB40-DB41</f>
        <v>12.11</v>
      </c>
      <c r="DC42" s="13" t="n">
        <f aca="false">DC40-DC41</f>
        <v>12.11</v>
      </c>
      <c r="DD42" s="13" t="n">
        <f aca="false">DD40-DD41</f>
        <v>12.11</v>
      </c>
      <c r="DE42" s="13" t="n">
        <f aca="false">DE40-DE41</f>
        <v>12.11</v>
      </c>
      <c r="DF42" s="13" t="n">
        <f aca="false">DF40-DF41</f>
        <v>12.11</v>
      </c>
      <c r="DG42" s="13" t="n">
        <f aca="false">DG40-DG41</f>
        <v>12.11</v>
      </c>
      <c r="DH42" s="13" t="n">
        <f aca="false">DH40-DH41</f>
        <v>12.11</v>
      </c>
      <c r="DI42" s="13" t="n">
        <f aca="false">DI40-DI41</f>
        <v>12.11</v>
      </c>
      <c r="DJ42" s="13" t="n">
        <f aca="false">DJ40-DJ41</f>
        <v>12.11</v>
      </c>
      <c r="DK42" s="13" t="n">
        <f aca="false">DK40-DK41</f>
        <v>12.11</v>
      </c>
      <c r="DL42" s="13" t="n">
        <f aca="false">DL40-DL41</f>
        <v>12.11</v>
      </c>
      <c r="DM42" s="13" t="n">
        <f aca="false">DM40-DM41</f>
        <v>12.11</v>
      </c>
      <c r="DN42" s="13" t="n">
        <f aca="false">DN40-DN41</f>
        <v>12.11</v>
      </c>
      <c r="DO42" s="13" t="n">
        <f aca="false">DO40-DO41</f>
        <v>12.11</v>
      </c>
      <c r="DP42" s="13" t="n">
        <f aca="false">DP40-DP41</f>
        <v>12.11</v>
      </c>
      <c r="DQ42" s="13" t="n">
        <f aca="false">DQ40-DQ41</f>
        <v>12.11</v>
      </c>
      <c r="DR42" s="13" t="n">
        <f aca="false">DR40-DR41</f>
        <v>12.11</v>
      </c>
    </row>
    <row r="43" customFormat="false" ht="15" hidden="false" customHeight="false" outlineLevel="0" collapsed="false">
      <c r="A43" s="9" t="s">
        <v>211</v>
      </c>
      <c r="B43" s="10" t="n">
        <f aca="false">B31*Inputs!$B$17/Inputs!$B$18</f>
        <v>0</v>
      </c>
      <c r="C43" s="10" t="n">
        <f aca="false">C31*Inputs!$B$17/Inputs!$B$18</f>
        <v>0</v>
      </c>
      <c r="D43" s="10" t="n">
        <f aca="false">D31*Inputs!$B$17/Inputs!$B$18</f>
        <v>0</v>
      </c>
      <c r="E43" s="10" t="n">
        <f aca="false">E31*Inputs!$B$17/Inputs!$B$18</f>
        <v>0</v>
      </c>
      <c r="F43" s="10" t="n">
        <f aca="false">F31*Inputs!$B$17/Inputs!$B$18</f>
        <v>0</v>
      </c>
      <c r="G43" s="10" t="n">
        <f aca="false">G31*Inputs!$B$17/Inputs!$B$18</f>
        <v>0</v>
      </c>
      <c r="H43" s="10" t="n">
        <f aca="false">H31*Inputs!$B$17/Inputs!$B$18</f>
        <v>0</v>
      </c>
      <c r="I43" s="10" t="n">
        <f aca="false">I31*Inputs!$B$17/Inputs!$B$18</f>
        <v>0</v>
      </c>
      <c r="J43" s="10" t="n">
        <f aca="false">J31*Inputs!$B$17/Inputs!$B$18</f>
        <v>0</v>
      </c>
      <c r="K43" s="10" t="n">
        <f aca="false">K31*Inputs!$B$17/Inputs!$B$18</f>
        <v>0</v>
      </c>
      <c r="L43" s="10" t="n">
        <f aca="false">L31*Inputs!$B$17/Inputs!$B$18</f>
        <v>0</v>
      </c>
      <c r="M43" s="10" t="n">
        <f aca="false">M31*Inputs!$B$17/Inputs!$B$18</f>
        <v>0</v>
      </c>
      <c r="N43" s="10" t="n">
        <f aca="false">N31*Inputs!$B$17/Inputs!$B$18</f>
        <v>0</v>
      </c>
      <c r="O43" s="10" t="n">
        <f aca="false">O31*Inputs!$B$17/Inputs!$B$18</f>
        <v>0</v>
      </c>
      <c r="P43" s="10" t="n">
        <f aca="false">P31*Inputs!$B$17/Inputs!$B$18</f>
        <v>0</v>
      </c>
      <c r="Q43" s="10" t="n">
        <f aca="false">Q31*Inputs!$B$17/Inputs!$B$18</f>
        <v>0</v>
      </c>
      <c r="R43" s="10" t="n">
        <f aca="false">R31*Inputs!$B$17/Inputs!$B$18</f>
        <v>0</v>
      </c>
      <c r="S43" s="10" t="n">
        <f aca="false">S31*Inputs!$B$17/Inputs!$B$18</f>
        <v>0</v>
      </c>
      <c r="T43" s="10" t="n">
        <f aca="false">T31*Inputs!$B$17/Inputs!$B$18</f>
        <v>0</v>
      </c>
      <c r="U43" s="10" t="n">
        <f aca="false">U31*Inputs!$B$17/Inputs!$B$18</f>
        <v>0</v>
      </c>
      <c r="V43" s="10" t="n">
        <f aca="false">V31*Inputs!$B$17/Inputs!$B$18</f>
        <v>0</v>
      </c>
      <c r="W43" s="10" t="n">
        <f aca="false">W31*Inputs!$B$17/Inputs!$B$18</f>
        <v>0</v>
      </c>
      <c r="X43" s="10" t="n">
        <f aca="false">X31*Inputs!$B$17/Inputs!$B$18</f>
        <v>0</v>
      </c>
      <c r="Y43" s="10" t="n">
        <f aca="false">Y31*Inputs!$B$17/Inputs!$B$18</f>
        <v>0</v>
      </c>
      <c r="Z43" s="10" t="n">
        <f aca="false">Z31*Inputs!$B$17/Inputs!$B$18</f>
        <v>0</v>
      </c>
      <c r="AA43" s="10" t="n">
        <f aca="false">AA31*Inputs!$B$17/Inputs!$B$18</f>
        <v>0</v>
      </c>
      <c r="AB43" s="10" t="n">
        <f aca="false">AB31*Inputs!$B$17/Inputs!$B$18</f>
        <v>0</v>
      </c>
      <c r="AC43" s="10" t="n">
        <f aca="false">AC31*Inputs!$B$17/Inputs!$B$18</f>
        <v>0</v>
      </c>
      <c r="AD43" s="10" t="n">
        <f aca="false">AD31*Inputs!$B$17/Inputs!$B$18</f>
        <v>0</v>
      </c>
      <c r="AE43" s="10" t="n">
        <f aca="false">AE31*Inputs!$B$17/Inputs!$B$18</f>
        <v>0</v>
      </c>
      <c r="AF43" s="10" t="n">
        <f aca="false">AF31*Inputs!$B$17/Inputs!$B$18</f>
        <v>0</v>
      </c>
      <c r="AG43" s="10" t="n">
        <f aca="false">AG31*Inputs!$B$17/Inputs!$B$18</f>
        <v>0</v>
      </c>
      <c r="AH43" s="10" t="n">
        <f aca="false">AH31*Inputs!$B$17/Inputs!$B$18</f>
        <v>0</v>
      </c>
      <c r="AI43" s="10" t="n">
        <f aca="false">AI31*Inputs!$B$17/Inputs!$B$18</f>
        <v>0</v>
      </c>
      <c r="AJ43" s="10" t="n">
        <f aca="false">AJ31*Inputs!$B$17/Inputs!$B$18</f>
        <v>0</v>
      </c>
      <c r="AK43" s="10" t="n">
        <f aca="false">AK31*Inputs!$B$17/Inputs!$B$18</f>
        <v>0</v>
      </c>
      <c r="AL43" s="10" t="n">
        <f aca="false">AL31*Inputs!$B$17/Inputs!$B$18</f>
        <v>0</v>
      </c>
      <c r="AM43" s="10" t="n">
        <f aca="false">AM31*Inputs!$B$17/Inputs!$B$18</f>
        <v>0</v>
      </c>
      <c r="AN43" s="10" t="n">
        <f aca="false">AN31*Inputs!$B$17/Inputs!$B$18</f>
        <v>0</v>
      </c>
      <c r="AO43" s="10" t="n">
        <f aca="false">AO31*Inputs!$B$17/Inputs!$B$18</f>
        <v>0</v>
      </c>
      <c r="AP43" s="10" t="n">
        <f aca="false">AP31*Inputs!$B$17/Inputs!$B$18</f>
        <v>0</v>
      </c>
      <c r="AQ43" s="10" t="n">
        <f aca="false">AQ31*Inputs!$B$17/Inputs!$B$18</f>
        <v>0</v>
      </c>
      <c r="AR43" s="10" t="n">
        <f aca="false">AR31*Inputs!$B$17/Inputs!$B$18</f>
        <v>0</v>
      </c>
      <c r="AS43" s="10" t="n">
        <f aca="false">AS31*Inputs!$B$17/Inputs!$B$18</f>
        <v>0</v>
      </c>
      <c r="AT43" s="10" t="n">
        <f aca="false">AT31*Inputs!$B$17/Inputs!$B$18</f>
        <v>0</v>
      </c>
      <c r="AU43" s="10" t="n">
        <f aca="false">AU31*Inputs!$B$17/Inputs!$B$18</f>
        <v>0</v>
      </c>
      <c r="AV43" s="10" t="n">
        <f aca="false">AV31*Inputs!$B$17/Inputs!$B$18</f>
        <v>0</v>
      </c>
      <c r="AW43" s="10" t="n">
        <f aca="false">AW31*Inputs!$B$17/Inputs!$B$18</f>
        <v>0</v>
      </c>
      <c r="AX43" s="10" t="n">
        <f aca="false">AX31*Inputs!$B$17/Inputs!$B$18</f>
        <v>0</v>
      </c>
      <c r="AY43" s="10" t="n">
        <f aca="false">AY31*Inputs!$B$17/Inputs!$B$18</f>
        <v>0</v>
      </c>
      <c r="AZ43" s="10" t="n">
        <f aca="false">AZ31*Inputs!$B$17/Inputs!$B$18</f>
        <v>0</v>
      </c>
      <c r="BA43" s="10" t="n">
        <f aca="false">BA31*Inputs!$B$17/Inputs!$B$18</f>
        <v>0</v>
      </c>
      <c r="BB43" s="10" t="n">
        <f aca="false">BB31*Inputs!$B$17/Inputs!$B$18</f>
        <v>0</v>
      </c>
      <c r="BC43" s="10" t="n">
        <f aca="false">BC31*Inputs!$B$17/Inputs!$B$18</f>
        <v>0</v>
      </c>
      <c r="BD43" s="10" t="n">
        <f aca="false">BD31*Inputs!$B$17/Inputs!$B$18</f>
        <v>0</v>
      </c>
      <c r="BE43" s="10" t="n">
        <f aca="false">BE31*Inputs!$B$17/Inputs!$B$18</f>
        <v>0</v>
      </c>
      <c r="BF43" s="10" t="n">
        <f aca="false">BF31*Inputs!$B$17/Inputs!$B$18</f>
        <v>0</v>
      </c>
      <c r="BG43" s="10" t="n">
        <f aca="false">BG31*Inputs!$B$17/Inputs!$B$18</f>
        <v>0</v>
      </c>
      <c r="BH43" s="10" t="n">
        <f aca="false">BH31*Inputs!$B$17/Inputs!$B$18</f>
        <v>0</v>
      </c>
      <c r="BI43" s="10" t="n">
        <f aca="false">BI31*Inputs!$B$17/Inputs!$B$18</f>
        <v>0</v>
      </c>
      <c r="BJ43" s="10" t="n">
        <f aca="false">BJ31*Inputs!$B$17/Inputs!$B$18</f>
        <v>0</v>
      </c>
      <c r="BK43" s="10" t="n">
        <f aca="false">BK31*Inputs!$B$17/Inputs!$B$18</f>
        <v>0</v>
      </c>
      <c r="BL43" s="10" t="n">
        <f aca="false">BL31*Inputs!$B$17/Inputs!$B$18</f>
        <v>0</v>
      </c>
      <c r="BM43" s="10" t="n">
        <f aca="false">BM31*Inputs!$B$17/Inputs!$B$18</f>
        <v>0</v>
      </c>
      <c r="BN43" s="10" t="n">
        <f aca="false">BN31*Inputs!$B$17/Inputs!$B$18</f>
        <v>0</v>
      </c>
      <c r="BO43" s="10" t="n">
        <f aca="false">BO31*Inputs!$B$17/Inputs!$B$18</f>
        <v>0</v>
      </c>
      <c r="BP43" s="10" t="n">
        <f aca="false">BP31*Inputs!$B$17/Inputs!$B$18</f>
        <v>0</v>
      </c>
      <c r="BQ43" s="10" t="n">
        <f aca="false">BQ31*Inputs!$B$17/Inputs!$B$18</f>
        <v>0</v>
      </c>
      <c r="BR43" s="10" t="n">
        <f aca="false">BR31*Inputs!$B$17/Inputs!$B$18</f>
        <v>0</v>
      </c>
      <c r="BS43" s="10" t="n">
        <f aca="false">BS31*Inputs!$B$17/Inputs!$B$18</f>
        <v>0</v>
      </c>
      <c r="BT43" s="10" t="n">
        <f aca="false">BT31*Inputs!$B$17/Inputs!$B$18</f>
        <v>0</v>
      </c>
      <c r="BU43" s="10" t="n">
        <f aca="false">BU31*Inputs!$B$17/Inputs!$B$18</f>
        <v>0</v>
      </c>
      <c r="BV43" s="10" t="n">
        <f aca="false">BV31*Inputs!$B$17/Inputs!$B$18</f>
        <v>0</v>
      </c>
      <c r="BW43" s="10" t="n">
        <f aca="false">BW31*Inputs!$B$17/Inputs!$B$18</f>
        <v>0</v>
      </c>
      <c r="BX43" s="10" t="n">
        <f aca="false">BX31*Inputs!$B$17/Inputs!$B$18</f>
        <v>0</v>
      </c>
      <c r="BY43" s="10" t="n">
        <f aca="false">BY31*Inputs!$B$17/Inputs!$B$18</f>
        <v>0</v>
      </c>
      <c r="BZ43" s="10" t="n">
        <f aca="false">BZ31*Inputs!$B$17/Inputs!$B$18</f>
        <v>0</v>
      </c>
      <c r="CA43" s="10" t="n">
        <f aca="false">CA31*Inputs!$B$17/Inputs!$B$18</f>
        <v>0</v>
      </c>
      <c r="CB43" s="10" t="n">
        <f aca="false">CB31*Inputs!$B$17/Inputs!$B$18</f>
        <v>0</v>
      </c>
      <c r="CC43" s="10" t="n">
        <f aca="false">CC31*Inputs!$B$17/Inputs!$B$18</f>
        <v>0</v>
      </c>
      <c r="CD43" s="10" t="n">
        <f aca="false">CD31*Inputs!$B$17/Inputs!$B$18</f>
        <v>0</v>
      </c>
      <c r="CE43" s="10" t="n">
        <f aca="false">CE31*Inputs!$B$17/Inputs!$B$18</f>
        <v>0</v>
      </c>
      <c r="CF43" s="10" t="n">
        <f aca="false">CF31*Inputs!$B$17/Inputs!$B$18</f>
        <v>0</v>
      </c>
      <c r="CG43" s="10" t="n">
        <f aca="false">CG31*Inputs!$B$17/Inputs!$B$18</f>
        <v>0</v>
      </c>
      <c r="CH43" s="10" t="n">
        <f aca="false">CH31*Inputs!$B$17/Inputs!$B$18</f>
        <v>0</v>
      </c>
      <c r="CI43" s="10" t="n">
        <f aca="false">CI31*Inputs!$B$17/Inputs!$B$18</f>
        <v>0</v>
      </c>
      <c r="CJ43" s="10" t="n">
        <f aca="false">CJ31*Inputs!$B$17/Inputs!$B$18</f>
        <v>0</v>
      </c>
      <c r="CK43" s="10" t="n">
        <f aca="false">CK31*Inputs!$B$17/Inputs!$B$18</f>
        <v>0</v>
      </c>
      <c r="CL43" s="10" t="n">
        <f aca="false">CL31*Inputs!$B$17/Inputs!$B$18</f>
        <v>0</v>
      </c>
      <c r="CM43" s="10" t="n">
        <f aca="false">CM31*Inputs!$B$17/Inputs!$B$18</f>
        <v>0</v>
      </c>
      <c r="CN43" s="10" t="n">
        <f aca="false">CN31*Inputs!$B$17/Inputs!$B$18</f>
        <v>0</v>
      </c>
      <c r="CO43" s="10" t="n">
        <f aca="false">CO31*Inputs!$B$17/Inputs!$B$18</f>
        <v>0</v>
      </c>
      <c r="CP43" s="10" t="n">
        <f aca="false">CP31*Inputs!$B$17/Inputs!$B$18</f>
        <v>0</v>
      </c>
      <c r="CQ43" s="10" t="n">
        <f aca="false">CQ31*Inputs!$B$17/Inputs!$B$18</f>
        <v>0</v>
      </c>
      <c r="CR43" s="10" t="n">
        <f aca="false">CR31*Inputs!$B$17/Inputs!$B$18</f>
        <v>0</v>
      </c>
      <c r="CS43" s="10" t="n">
        <f aca="false">CS31*Inputs!$B$17/Inputs!$B$18</f>
        <v>0</v>
      </c>
      <c r="CT43" s="10" t="n">
        <f aca="false">CT31*Inputs!$B$17/Inputs!$B$18</f>
        <v>0</v>
      </c>
      <c r="CU43" s="10" t="n">
        <f aca="false">CU31*Inputs!$B$17/Inputs!$B$18</f>
        <v>0</v>
      </c>
      <c r="CV43" s="10" t="n">
        <f aca="false">CV31*Inputs!$B$17/Inputs!$B$18</f>
        <v>0</v>
      </c>
      <c r="CW43" s="10" t="n">
        <f aca="false">CW31*Inputs!$B$17/Inputs!$B$18</f>
        <v>0</v>
      </c>
      <c r="CX43" s="10" t="n">
        <f aca="false">CX31*Inputs!$B$17/Inputs!$B$18</f>
        <v>0</v>
      </c>
      <c r="CY43" s="10" t="n">
        <f aca="false">CY31*Inputs!$B$17/Inputs!$B$18</f>
        <v>0</v>
      </c>
      <c r="CZ43" s="10" t="n">
        <f aca="false">CZ31*Inputs!$B$17/Inputs!$B$18</f>
        <v>0</v>
      </c>
      <c r="DA43" s="10" t="n">
        <f aca="false">DA31*Inputs!$B$17/Inputs!$B$18</f>
        <v>0</v>
      </c>
      <c r="DB43" s="10" t="n">
        <f aca="false">DB31*Inputs!$B$17/Inputs!$B$18</f>
        <v>0</v>
      </c>
      <c r="DC43" s="10" t="n">
        <f aca="false">DC31*Inputs!$B$17/Inputs!$B$18</f>
        <v>0</v>
      </c>
      <c r="DD43" s="10" t="n">
        <f aca="false">DD31*Inputs!$B$17/Inputs!$B$18</f>
        <v>0</v>
      </c>
      <c r="DE43" s="10" t="n">
        <f aca="false">DE31*Inputs!$B$17/Inputs!$B$18</f>
        <v>0</v>
      </c>
      <c r="DF43" s="10" t="n">
        <f aca="false">DF31*Inputs!$B$17/Inputs!$B$18</f>
        <v>0</v>
      </c>
      <c r="DG43" s="10" t="n">
        <f aca="false">DG31*Inputs!$B$17/Inputs!$B$18</f>
        <v>0</v>
      </c>
      <c r="DH43" s="10" t="n">
        <f aca="false">DH31*Inputs!$B$17/Inputs!$B$18</f>
        <v>0</v>
      </c>
      <c r="DI43" s="10" t="n">
        <f aca="false">DI31*Inputs!$B$17/Inputs!$B$18</f>
        <v>0</v>
      </c>
      <c r="DJ43" s="10" t="n">
        <f aca="false">DJ31*Inputs!$B$17/Inputs!$B$18</f>
        <v>0</v>
      </c>
      <c r="DK43" s="10" t="n">
        <f aca="false">DK31*Inputs!$B$17/Inputs!$B$18</f>
        <v>0</v>
      </c>
      <c r="DL43" s="10" t="n">
        <f aca="false">DL31*Inputs!$B$17/Inputs!$B$18</f>
        <v>0</v>
      </c>
      <c r="DM43" s="10" t="n">
        <f aca="false">DM31*Inputs!$B$17/Inputs!$B$18</f>
        <v>0</v>
      </c>
      <c r="DN43" s="10" t="n">
        <f aca="false">DN31*Inputs!$B$17/Inputs!$B$18</f>
        <v>0</v>
      </c>
      <c r="DO43" s="10" t="n">
        <f aca="false">DO31*Inputs!$B$17/Inputs!$B$18</f>
        <v>0</v>
      </c>
      <c r="DP43" s="10" t="n">
        <f aca="false">DP31*Inputs!$B$17/Inputs!$B$18</f>
        <v>0</v>
      </c>
      <c r="DQ43" s="10" t="n">
        <f aca="false">DQ31*Inputs!$B$17/Inputs!$B$18</f>
        <v>0</v>
      </c>
      <c r="DR43" s="10" t="n">
        <f aca="false">DR31*Inputs!$B$17/Inputs!$B$18</f>
        <v>0</v>
      </c>
    </row>
    <row r="44" customFormat="false" ht="15" hidden="false" customHeight="false" outlineLevel="0" collapsed="false">
      <c r="A44" s="9" t="s">
        <v>212</v>
      </c>
      <c r="B44" s="10" t="n">
        <f aca="false">B43-Inputs!$B$34</f>
        <v>0</v>
      </c>
      <c r="C44" s="11" t="n">
        <f aca="false">C43-B43</f>
        <v>0</v>
      </c>
      <c r="D44" s="11" t="n">
        <f aca="false">D43-C43</f>
        <v>0</v>
      </c>
      <c r="E44" s="11" t="n">
        <f aca="false">E43-D43</f>
        <v>0</v>
      </c>
      <c r="F44" s="11" t="n">
        <f aca="false">F43-E43</f>
        <v>0</v>
      </c>
      <c r="G44" s="11" t="n">
        <f aca="false">G43-F43</f>
        <v>0</v>
      </c>
      <c r="H44" s="11" t="n">
        <f aca="false">H43-G43</f>
        <v>0</v>
      </c>
      <c r="I44" s="11" t="n">
        <f aca="false">I43-H43</f>
        <v>0</v>
      </c>
      <c r="J44" s="11" t="n">
        <f aca="false">J43-I43</f>
        <v>0</v>
      </c>
      <c r="K44" s="11" t="n">
        <f aca="false">K43-J43</f>
        <v>0</v>
      </c>
      <c r="L44" s="11" t="n">
        <f aca="false">L43-K43</f>
        <v>0</v>
      </c>
      <c r="M44" s="11" t="n">
        <f aca="false">M43-L43</f>
        <v>0</v>
      </c>
      <c r="N44" s="11" t="n">
        <f aca="false">N43-M43</f>
        <v>0</v>
      </c>
      <c r="O44" s="11" t="n">
        <f aca="false">O43-N43</f>
        <v>0</v>
      </c>
      <c r="P44" s="11" t="n">
        <f aca="false">P43-O43</f>
        <v>0</v>
      </c>
      <c r="Q44" s="11" t="n">
        <f aca="false">Q43-P43</f>
        <v>0</v>
      </c>
      <c r="R44" s="11" t="n">
        <f aca="false">R43-Q43</f>
        <v>0</v>
      </c>
      <c r="S44" s="11" t="n">
        <f aca="false">S43-R43</f>
        <v>0</v>
      </c>
      <c r="T44" s="11" t="n">
        <f aca="false">T43-S43</f>
        <v>0</v>
      </c>
      <c r="U44" s="11" t="n">
        <f aca="false">U43-T43</f>
        <v>0</v>
      </c>
      <c r="V44" s="11" t="n">
        <f aca="false">V43-U43</f>
        <v>0</v>
      </c>
      <c r="W44" s="11" t="n">
        <f aca="false">W43-V43</f>
        <v>0</v>
      </c>
      <c r="X44" s="11" t="n">
        <f aca="false">X43-W43</f>
        <v>0</v>
      </c>
      <c r="Y44" s="11" t="n">
        <f aca="false">Y43-X43</f>
        <v>0</v>
      </c>
      <c r="Z44" s="11" t="n">
        <f aca="false">Z43-Y43</f>
        <v>0</v>
      </c>
      <c r="AA44" s="11" t="n">
        <f aca="false">AA43-Z43</f>
        <v>0</v>
      </c>
      <c r="AB44" s="11" t="n">
        <f aca="false">AB43-AA43</f>
        <v>0</v>
      </c>
      <c r="AC44" s="11" t="n">
        <f aca="false">AC43-AB43</f>
        <v>0</v>
      </c>
      <c r="AD44" s="11" t="n">
        <f aca="false">AD43-AC43</f>
        <v>0</v>
      </c>
      <c r="AE44" s="11" t="n">
        <f aca="false">AE43-AD43</f>
        <v>0</v>
      </c>
      <c r="AF44" s="11" t="n">
        <f aca="false">AF43-AE43</f>
        <v>0</v>
      </c>
      <c r="AG44" s="11" t="n">
        <f aca="false">AG43-AF43</f>
        <v>0</v>
      </c>
      <c r="AH44" s="11" t="n">
        <f aca="false">AH43-AG43</f>
        <v>0</v>
      </c>
      <c r="AI44" s="11" t="n">
        <f aca="false">AI43-AH43</f>
        <v>0</v>
      </c>
      <c r="AJ44" s="11" t="n">
        <f aca="false">AJ43-AI43</f>
        <v>0</v>
      </c>
      <c r="AK44" s="11" t="n">
        <f aca="false">AK43-AJ43</f>
        <v>0</v>
      </c>
      <c r="AL44" s="11" t="n">
        <f aca="false">AL43-AK43</f>
        <v>0</v>
      </c>
      <c r="AM44" s="11" t="n">
        <f aca="false">AM43-AL43</f>
        <v>0</v>
      </c>
      <c r="AN44" s="11" t="n">
        <f aca="false">AN43-AM43</f>
        <v>0</v>
      </c>
      <c r="AO44" s="11" t="n">
        <f aca="false">AO43-AN43</f>
        <v>0</v>
      </c>
      <c r="AP44" s="11" t="n">
        <f aca="false">AP43-AO43</f>
        <v>0</v>
      </c>
      <c r="AQ44" s="11" t="n">
        <f aca="false">AQ43-AP43</f>
        <v>0</v>
      </c>
      <c r="AR44" s="11" t="n">
        <f aca="false">AR43-AQ43</f>
        <v>0</v>
      </c>
      <c r="AS44" s="11" t="n">
        <f aca="false">AS43-AR43</f>
        <v>0</v>
      </c>
      <c r="AT44" s="11" t="n">
        <f aca="false">AT43-AS43</f>
        <v>0</v>
      </c>
      <c r="AU44" s="11" t="n">
        <f aca="false">AU43-AT43</f>
        <v>0</v>
      </c>
      <c r="AV44" s="11" t="n">
        <f aca="false">AV43-AU43</f>
        <v>0</v>
      </c>
      <c r="AW44" s="11" t="n">
        <f aca="false">AW43-AV43</f>
        <v>0</v>
      </c>
      <c r="AX44" s="11" t="n">
        <f aca="false">AX43-AW43</f>
        <v>0</v>
      </c>
      <c r="AY44" s="11" t="n">
        <f aca="false">AY43-AX43</f>
        <v>0</v>
      </c>
      <c r="AZ44" s="11" t="n">
        <f aca="false">AZ43-AY43</f>
        <v>0</v>
      </c>
      <c r="BA44" s="11" t="n">
        <f aca="false">BA43-AZ43</f>
        <v>0</v>
      </c>
      <c r="BB44" s="11" t="n">
        <f aca="false">BB43-BA43</f>
        <v>0</v>
      </c>
      <c r="BC44" s="11" t="n">
        <f aca="false">BC43-BB43</f>
        <v>0</v>
      </c>
      <c r="BD44" s="11" t="n">
        <f aca="false">BD43-BC43</f>
        <v>0</v>
      </c>
      <c r="BE44" s="11" t="n">
        <f aca="false">BE43-BD43</f>
        <v>0</v>
      </c>
      <c r="BF44" s="11" t="n">
        <f aca="false">BF43-BE43</f>
        <v>0</v>
      </c>
      <c r="BG44" s="11" t="n">
        <f aca="false">BG43-BF43</f>
        <v>0</v>
      </c>
      <c r="BH44" s="11" t="n">
        <f aca="false">BH43-BG43</f>
        <v>0</v>
      </c>
      <c r="BI44" s="11" t="n">
        <f aca="false">BI43-BH43</f>
        <v>0</v>
      </c>
      <c r="BJ44" s="11" t="n">
        <f aca="false">BJ43-BI43</f>
        <v>0</v>
      </c>
      <c r="BK44" s="11" t="n">
        <f aca="false">BK43-BJ43</f>
        <v>0</v>
      </c>
      <c r="BL44" s="11" t="n">
        <f aca="false">BL43-BK43</f>
        <v>0</v>
      </c>
      <c r="BM44" s="11" t="n">
        <f aca="false">BM43-BL43</f>
        <v>0</v>
      </c>
      <c r="BN44" s="11" t="n">
        <f aca="false">BN43-BM43</f>
        <v>0</v>
      </c>
      <c r="BO44" s="11" t="n">
        <f aca="false">BO43-BN43</f>
        <v>0</v>
      </c>
      <c r="BP44" s="11" t="n">
        <f aca="false">BP43-BO43</f>
        <v>0</v>
      </c>
      <c r="BQ44" s="11" t="n">
        <f aca="false">BQ43-BP43</f>
        <v>0</v>
      </c>
      <c r="BR44" s="11" t="n">
        <f aca="false">BR43-BQ43</f>
        <v>0</v>
      </c>
      <c r="BS44" s="11" t="n">
        <f aca="false">BS43-BR43</f>
        <v>0</v>
      </c>
      <c r="BT44" s="11" t="n">
        <f aca="false">BT43-BS43</f>
        <v>0</v>
      </c>
      <c r="BU44" s="11" t="n">
        <f aca="false">BU43-BT43</f>
        <v>0</v>
      </c>
      <c r="BV44" s="11" t="n">
        <f aca="false">BV43-BU43</f>
        <v>0</v>
      </c>
      <c r="BW44" s="11" t="n">
        <f aca="false">BW43-BV43</f>
        <v>0</v>
      </c>
      <c r="BX44" s="11" t="n">
        <f aca="false">BX43-BW43</f>
        <v>0</v>
      </c>
      <c r="BY44" s="11" t="n">
        <f aca="false">BY43-BX43</f>
        <v>0</v>
      </c>
      <c r="BZ44" s="11" t="n">
        <f aca="false">BZ43-BY43</f>
        <v>0</v>
      </c>
      <c r="CA44" s="11" t="n">
        <f aca="false">CA43-BZ43</f>
        <v>0</v>
      </c>
      <c r="CB44" s="11" t="n">
        <f aca="false">CB43-CA43</f>
        <v>0</v>
      </c>
      <c r="CC44" s="11" t="n">
        <f aca="false">CC43-CB43</f>
        <v>0</v>
      </c>
      <c r="CD44" s="11" t="n">
        <f aca="false">CD43-CC43</f>
        <v>0</v>
      </c>
      <c r="CE44" s="11" t="n">
        <f aca="false">CE43-CD43</f>
        <v>0</v>
      </c>
      <c r="CF44" s="11" t="n">
        <f aca="false">CF43-CE43</f>
        <v>0</v>
      </c>
      <c r="CG44" s="11" t="n">
        <f aca="false">CG43-CF43</f>
        <v>0</v>
      </c>
      <c r="CH44" s="11" t="n">
        <f aca="false">CH43-CG43</f>
        <v>0</v>
      </c>
      <c r="CI44" s="11" t="n">
        <f aca="false">CI43-CH43</f>
        <v>0</v>
      </c>
      <c r="CJ44" s="11" t="n">
        <f aca="false">CJ43-CI43</f>
        <v>0</v>
      </c>
      <c r="CK44" s="11" t="n">
        <f aca="false">CK43-CJ43</f>
        <v>0</v>
      </c>
      <c r="CL44" s="11" t="n">
        <f aca="false">CL43-CK43</f>
        <v>0</v>
      </c>
      <c r="CM44" s="11" t="n">
        <f aca="false">CM43-CL43</f>
        <v>0</v>
      </c>
      <c r="CN44" s="11" t="n">
        <f aca="false">CN43-CM43</f>
        <v>0</v>
      </c>
      <c r="CO44" s="11" t="n">
        <f aca="false">CO43-CN43</f>
        <v>0</v>
      </c>
      <c r="CP44" s="11" t="n">
        <f aca="false">CP43-CO43</f>
        <v>0</v>
      </c>
      <c r="CQ44" s="11" t="n">
        <f aca="false">CQ43-CP43</f>
        <v>0</v>
      </c>
      <c r="CR44" s="11" t="n">
        <f aca="false">CR43-CQ43</f>
        <v>0</v>
      </c>
      <c r="CS44" s="11" t="n">
        <f aca="false">CS43-CR43</f>
        <v>0</v>
      </c>
      <c r="CT44" s="11" t="n">
        <f aca="false">CT43-CS43</f>
        <v>0</v>
      </c>
      <c r="CU44" s="11" t="n">
        <f aca="false">CU43-CT43</f>
        <v>0</v>
      </c>
      <c r="CV44" s="11" t="n">
        <f aca="false">CV43-CU43</f>
        <v>0</v>
      </c>
      <c r="CW44" s="11" t="n">
        <f aca="false">CW43-CV43</f>
        <v>0</v>
      </c>
      <c r="CX44" s="11" t="n">
        <f aca="false">CX43-CW43</f>
        <v>0</v>
      </c>
      <c r="CY44" s="11" t="n">
        <f aca="false">CY43-CX43</f>
        <v>0</v>
      </c>
      <c r="CZ44" s="11" t="n">
        <f aca="false">CZ43-CY43</f>
        <v>0</v>
      </c>
      <c r="DA44" s="11" t="n">
        <f aca="false">DA43-CZ43</f>
        <v>0</v>
      </c>
      <c r="DB44" s="11" t="n">
        <f aca="false">DB43-DA43</f>
        <v>0</v>
      </c>
      <c r="DC44" s="11" t="n">
        <f aca="false">DC43-DB43</f>
        <v>0</v>
      </c>
      <c r="DD44" s="11" t="n">
        <f aca="false">DD43-DC43</f>
        <v>0</v>
      </c>
      <c r="DE44" s="11" t="n">
        <f aca="false">DE43-DD43</f>
        <v>0</v>
      </c>
      <c r="DF44" s="11" t="n">
        <f aca="false">DF43-DE43</f>
        <v>0</v>
      </c>
      <c r="DG44" s="11" t="n">
        <f aca="false">DG43-DF43</f>
        <v>0</v>
      </c>
      <c r="DH44" s="11" t="n">
        <f aca="false">DH43-DG43</f>
        <v>0</v>
      </c>
      <c r="DI44" s="11" t="n">
        <f aca="false">DI43-DH43</f>
        <v>0</v>
      </c>
      <c r="DJ44" s="11" t="n">
        <f aca="false">DJ43-DI43</f>
        <v>0</v>
      </c>
      <c r="DK44" s="11" t="n">
        <f aca="false">DK43-DJ43</f>
        <v>0</v>
      </c>
      <c r="DL44" s="11" t="n">
        <f aca="false">DL43-DK43</f>
        <v>0</v>
      </c>
      <c r="DM44" s="11" t="n">
        <f aca="false">DM43-DL43</f>
        <v>0</v>
      </c>
      <c r="DN44" s="11" t="n">
        <f aca="false">DN43-DM43</f>
        <v>0</v>
      </c>
      <c r="DO44" s="11" t="n">
        <f aca="false">DO43-DN43</f>
        <v>0</v>
      </c>
      <c r="DP44" s="11" t="n">
        <f aca="false">DP43-DO43</f>
        <v>0</v>
      </c>
      <c r="DQ44" s="11" t="n">
        <f aca="false">DQ43-DP43</f>
        <v>0</v>
      </c>
      <c r="DR44" s="11" t="n">
        <f aca="false">DR43-DQ43</f>
        <v>0</v>
      </c>
    </row>
    <row r="45" customFormat="false" ht="15" hidden="false" customHeight="false" outlineLevel="0" collapsed="false">
      <c r="A45" s="12" t="s">
        <v>213</v>
      </c>
      <c r="B45" s="13" t="n">
        <f aca="false">B42+B39-B21+B44</f>
        <v>0</v>
      </c>
      <c r="C45" s="13" t="n">
        <f aca="false">C42+C39-C21+C44</f>
        <v>-1.13333333333333</v>
      </c>
      <c r="D45" s="13" t="n">
        <f aca="false">D42+D39-D21+D44</f>
        <v>-1.13333333333333</v>
      </c>
      <c r="E45" s="13" t="n">
        <f aca="false">E42+E39-E21+E44</f>
        <v>-1.13333333333333</v>
      </c>
      <c r="F45" s="13" t="n">
        <f aca="false">F42+F39-F21+F44</f>
        <v>-1.13333333333333</v>
      </c>
      <c r="G45" s="13" t="n">
        <f aca="false">G42+G39-G21+G44</f>
        <v>-1.13333333333333</v>
      </c>
      <c r="H45" s="13" t="n">
        <f aca="false">H42+H39-H21+H44</f>
        <v>4.77416666666667</v>
      </c>
      <c r="I45" s="13" t="n">
        <f aca="false">I42+I39-I21+I44</f>
        <v>4.79208333333333</v>
      </c>
      <c r="J45" s="13" t="n">
        <f aca="false">J42+J39-J21+J44</f>
        <v>4.81</v>
      </c>
      <c r="K45" s="13" t="n">
        <f aca="false">K42+K39-K21+K44</f>
        <v>8.46791666666667</v>
      </c>
      <c r="L45" s="13" t="n">
        <f aca="false">L42+L39-L21+L44</f>
        <v>8.48583333333333</v>
      </c>
      <c r="M45" s="13" t="n">
        <f aca="false">M42+M39-M21+M44</f>
        <v>8.50375</v>
      </c>
      <c r="N45" s="13" t="n">
        <f aca="false">N42+N39-N21+N44</f>
        <v>12.1616666666667</v>
      </c>
      <c r="O45" s="13" t="n">
        <f aca="false">O42+O39-O21+O44</f>
        <v>12.57175</v>
      </c>
      <c r="P45" s="13" t="n">
        <f aca="false">P42+P39-P21+P44</f>
        <v>12.5735</v>
      </c>
      <c r="Q45" s="13" t="n">
        <f aca="false">Q42+Q39-Q21+Q44</f>
        <v>12.57525</v>
      </c>
      <c r="R45" s="13" t="n">
        <f aca="false">R42+R39-R21+R44</f>
        <v>12.577</v>
      </c>
      <c r="S45" s="13" t="n">
        <f aca="false">S42+S39-S21+S44</f>
        <v>12.57875</v>
      </c>
      <c r="T45" s="13" t="n">
        <f aca="false">T42+T39-T21+T44</f>
        <v>12.5805</v>
      </c>
      <c r="U45" s="13" t="n">
        <f aca="false">U42+U39-U21+U44</f>
        <v>12.58225</v>
      </c>
      <c r="V45" s="13" t="n">
        <f aca="false">V42+V39-V21+V44</f>
        <v>12.584</v>
      </c>
      <c r="W45" s="13" t="n">
        <f aca="false">W42+W39-W21+W44</f>
        <v>12.58575</v>
      </c>
      <c r="X45" s="13" t="n">
        <f aca="false">X42+X39-X21+X44</f>
        <v>12.5875</v>
      </c>
      <c r="Y45" s="13" t="n">
        <f aca="false">Y42+Y39-Y21+Y44</f>
        <v>12.58925</v>
      </c>
      <c r="Z45" s="13" t="n">
        <f aca="false">Z42+Z39-Z21+Z44</f>
        <v>12.591</v>
      </c>
      <c r="AA45" s="13" t="n">
        <f aca="false">AA42+AA39-AA21+AA44</f>
        <v>12.59275</v>
      </c>
      <c r="AB45" s="13" t="n">
        <f aca="false">AB42+AB39-AB21+AB44</f>
        <v>12.5945</v>
      </c>
      <c r="AC45" s="13" t="n">
        <f aca="false">AC42+AC39-AC21+AC44</f>
        <v>12.59625</v>
      </c>
      <c r="AD45" s="13" t="n">
        <f aca="false">AD42+AD39-AD21+AD44</f>
        <v>12.598</v>
      </c>
      <c r="AE45" s="13" t="n">
        <f aca="false">AE42+AE39-AE21+AE44</f>
        <v>12.59975</v>
      </c>
      <c r="AF45" s="13" t="n">
        <f aca="false">AF42+AF39-AF21+AF44</f>
        <v>12.6015</v>
      </c>
      <c r="AG45" s="13" t="n">
        <f aca="false">AG42+AG39-AG21+AG44</f>
        <v>12.60325</v>
      </c>
      <c r="AH45" s="13" t="n">
        <f aca="false">AH42+AH39-AH21+AH44</f>
        <v>12.605</v>
      </c>
      <c r="AI45" s="13" t="n">
        <f aca="false">AI42+AI39-AI21+AI44</f>
        <v>12.60675</v>
      </c>
      <c r="AJ45" s="13" t="n">
        <f aca="false">AJ42+AJ39-AJ21+AJ44</f>
        <v>12.6085</v>
      </c>
      <c r="AK45" s="13" t="n">
        <f aca="false">AK42+AK39-AK21+AK44</f>
        <v>12.61025</v>
      </c>
      <c r="AL45" s="13" t="n">
        <f aca="false">AL42+AL39-AL21+AL44</f>
        <v>12.612</v>
      </c>
      <c r="AM45" s="13" t="n">
        <f aca="false">AM42+AM39-AM21+AM44</f>
        <v>12.61375</v>
      </c>
      <c r="AN45" s="13" t="n">
        <f aca="false">AN42+AN39-AN21+AN44</f>
        <v>12.6155</v>
      </c>
      <c r="AO45" s="13" t="n">
        <f aca="false">AO42+AO39-AO21+AO44</f>
        <v>12.61725</v>
      </c>
      <c r="AP45" s="13" t="n">
        <f aca="false">AP42+AP39-AP21+AP44</f>
        <v>12.619</v>
      </c>
      <c r="AQ45" s="13" t="n">
        <f aca="false">AQ42+AQ39-AQ21+AQ44</f>
        <v>12.62075</v>
      </c>
      <c r="AR45" s="13" t="n">
        <f aca="false">AR42+AR39-AR21+AR44</f>
        <v>12.6225</v>
      </c>
      <c r="AS45" s="13" t="n">
        <f aca="false">AS42+AS39-AS21+AS44</f>
        <v>12.62425</v>
      </c>
      <c r="AT45" s="13" t="n">
        <f aca="false">AT42+AT39-AT21+AT44</f>
        <v>12.626</v>
      </c>
      <c r="AU45" s="13" t="n">
        <f aca="false">AU42+AU39-AU21+AU44</f>
        <v>12.62775</v>
      </c>
      <c r="AV45" s="13" t="n">
        <f aca="false">AV42+AV39-AV21+AV44</f>
        <v>12.6295</v>
      </c>
      <c r="AW45" s="13" t="n">
        <f aca="false">AW42+AW39-AW21+AW44</f>
        <v>12.63125</v>
      </c>
      <c r="AX45" s="13" t="n">
        <f aca="false">AX42+AX39-AX21+AX44</f>
        <v>12.633</v>
      </c>
      <c r="AY45" s="13" t="n">
        <f aca="false">AY42+AY39-AY21+AY44</f>
        <v>12.63475</v>
      </c>
      <c r="AZ45" s="13" t="n">
        <f aca="false">AZ42+AZ39-AZ21+AZ44</f>
        <v>12.6365</v>
      </c>
      <c r="BA45" s="13" t="n">
        <f aca="false">BA42+BA39-BA21+BA44</f>
        <v>12.63825</v>
      </c>
      <c r="BB45" s="13" t="n">
        <f aca="false">BB42+BB39-BB21+BB44</f>
        <v>12.64</v>
      </c>
      <c r="BC45" s="13" t="n">
        <f aca="false">BC42+BC39-BC21+BC44</f>
        <v>12.64175</v>
      </c>
      <c r="BD45" s="13" t="n">
        <f aca="false">BD42+BD39-BD21+BD44</f>
        <v>12.6435</v>
      </c>
      <c r="BE45" s="13" t="n">
        <f aca="false">BE42+BE39-BE21+BE44</f>
        <v>12.64525</v>
      </c>
      <c r="BF45" s="13" t="n">
        <f aca="false">BF42+BF39-BF21+BF44</f>
        <v>12.647</v>
      </c>
      <c r="BG45" s="13" t="n">
        <f aca="false">BG42+BG39-BG21+BG44</f>
        <v>12.64875</v>
      </c>
      <c r="BH45" s="13" t="n">
        <f aca="false">BH42+BH39-BH21+BH44</f>
        <v>12.6505</v>
      </c>
      <c r="BI45" s="13" t="n">
        <f aca="false">BI42+BI39-BI21+BI44</f>
        <v>12.65225</v>
      </c>
      <c r="BJ45" s="13" t="n">
        <f aca="false">BJ42+BJ39-BJ21+BJ44</f>
        <v>12.654</v>
      </c>
      <c r="BK45" s="13" t="n">
        <f aca="false">BK42+BK39-BK21+BK44</f>
        <v>12.6378333333333</v>
      </c>
      <c r="BL45" s="13" t="n">
        <f aca="false">BL42+BL39-BL21+BL44</f>
        <v>12.6216666666667</v>
      </c>
      <c r="BM45" s="13" t="n">
        <f aca="false">BM42+BM39-BM21+BM44</f>
        <v>12.6055</v>
      </c>
      <c r="BN45" s="13" t="n">
        <f aca="false">BN42+BN39-BN21+BN44</f>
        <v>12.5893333333333</v>
      </c>
      <c r="BO45" s="13" t="n">
        <f aca="false">BO42+BO39-BO21+BO44</f>
        <v>12.5731666666667</v>
      </c>
      <c r="BP45" s="13" t="n">
        <f aca="false">BP42+BP39-BP21+BP44</f>
        <v>12.557</v>
      </c>
      <c r="BQ45" s="13" t="n">
        <f aca="false">BQ42+BQ39-BQ21+BQ44</f>
        <v>12.5408333333333</v>
      </c>
      <c r="BR45" s="13" t="n">
        <f aca="false">BR42+BR39-BR21+BR44</f>
        <v>12.5246666666667</v>
      </c>
      <c r="BS45" s="13" t="n">
        <f aca="false">BS42+BS39-BS21+BS44</f>
        <v>12.5085</v>
      </c>
      <c r="BT45" s="13" t="n">
        <f aca="false">BT42+BT39-BT21+BT44</f>
        <v>12.4923333333333</v>
      </c>
      <c r="BU45" s="13" t="n">
        <f aca="false">BU42+BU39-BU21+BU44</f>
        <v>12.4761666666667</v>
      </c>
      <c r="BV45" s="13" t="n">
        <f aca="false">BV42+BV39-BV21+BV44</f>
        <v>12.46</v>
      </c>
      <c r="BW45" s="13" t="n">
        <f aca="false">BW42+BW39-BW21+BW44</f>
        <v>12.46</v>
      </c>
      <c r="BX45" s="13" t="n">
        <f aca="false">BX42+BX39-BX21+BX44</f>
        <v>12.46</v>
      </c>
      <c r="BY45" s="13" t="n">
        <f aca="false">BY42+BY39-BY21+BY44</f>
        <v>12.46</v>
      </c>
      <c r="BZ45" s="13" t="n">
        <f aca="false">BZ42+BZ39-BZ21+BZ44</f>
        <v>12.46</v>
      </c>
      <c r="CA45" s="13" t="n">
        <f aca="false">CA42+CA39-CA21+CA44</f>
        <v>12.46</v>
      </c>
      <c r="CB45" s="13" t="n">
        <f aca="false">CB42+CB39-CB21+CB44</f>
        <v>12.46</v>
      </c>
      <c r="CC45" s="13" t="n">
        <f aca="false">CC42+CC39-CC21+CC44</f>
        <v>12.46</v>
      </c>
      <c r="CD45" s="13" t="n">
        <f aca="false">CD42+CD39-CD21+CD44</f>
        <v>12.46</v>
      </c>
      <c r="CE45" s="13" t="n">
        <f aca="false">CE42+CE39-CE21+CE44</f>
        <v>12.46</v>
      </c>
      <c r="CF45" s="13" t="n">
        <f aca="false">CF42+CF39-CF21+CF44</f>
        <v>12.46</v>
      </c>
      <c r="CG45" s="13" t="n">
        <f aca="false">CG42+CG39-CG21+CG44</f>
        <v>12.46</v>
      </c>
      <c r="CH45" s="13" t="n">
        <f aca="false">CH42+CH39-CH21+CH44</f>
        <v>12.46</v>
      </c>
      <c r="CI45" s="13" t="n">
        <f aca="false">CI42+CI39-CI21+CI44</f>
        <v>12.46</v>
      </c>
      <c r="CJ45" s="13" t="n">
        <f aca="false">CJ42+CJ39-CJ21+CJ44</f>
        <v>12.46</v>
      </c>
      <c r="CK45" s="13" t="n">
        <f aca="false">CK42+CK39-CK21+CK44</f>
        <v>12.46</v>
      </c>
      <c r="CL45" s="13" t="n">
        <f aca="false">CL42+CL39-CL21+CL44</f>
        <v>12.46</v>
      </c>
      <c r="CM45" s="13" t="n">
        <f aca="false">CM42+CM39-CM21+CM44</f>
        <v>12.46</v>
      </c>
      <c r="CN45" s="13" t="n">
        <f aca="false">CN42+CN39-CN21+CN44</f>
        <v>12.46</v>
      </c>
      <c r="CO45" s="13" t="n">
        <f aca="false">CO42+CO39-CO21+CO44</f>
        <v>12.46</v>
      </c>
      <c r="CP45" s="13" t="n">
        <f aca="false">CP42+CP39-CP21+CP44</f>
        <v>12.46</v>
      </c>
      <c r="CQ45" s="13" t="n">
        <f aca="false">CQ42+CQ39-CQ21+CQ44</f>
        <v>12.46</v>
      </c>
      <c r="CR45" s="13" t="n">
        <f aca="false">CR42+CR39-CR21+CR44</f>
        <v>12.46</v>
      </c>
      <c r="CS45" s="13" t="n">
        <f aca="false">CS42+CS39-CS21+CS44</f>
        <v>12.46</v>
      </c>
      <c r="CT45" s="13" t="n">
        <f aca="false">CT42+CT39-CT21+CT44</f>
        <v>12.46</v>
      </c>
      <c r="CU45" s="13" t="n">
        <f aca="false">CU42+CU39-CU21+CU44</f>
        <v>12.46</v>
      </c>
      <c r="CV45" s="13" t="n">
        <f aca="false">CV42+CV39-CV21+CV44</f>
        <v>12.46</v>
      </c>
      <c r="CW45" s="13" t="n">
        <f aca="false">CW42+CW39-CW21+CW44</f>
        <v>12.46</v>
      </c>
      <c r="CX45" s="13" t="n">
        <f aca="false">CX42+CX39-CX21+CX44</f>
        <v>12.46</v>
      </c>
      <c r="CY45" s="13" t="n">
        <f aca="false">CY42+CY39-CY21+CY44</f>
        <v>12.46</v>
      </c>
      <c r="CZ45" s="13" t="n">
        <f aca="false">CZ42+CZ39-CZ21+CZ44</f>
        <v>12.46</v>
      </c>
      <c r="DA45" s="13" t="n">
        <f aca="false">DA42+DA39-DA21+DA44</f>
        <v>12.46</v>
      </c>
      <c r="DB45" s="13" t="n">
        <f aca="false">DB42+DB39-DB21+DB44</f>
        <v>12.46</v>
      </c>
      <c r="DC45" s="13" t="n">
        <f aca="false">DC42+DC39-DC21+DC44</f>
        <v>12.46</v>
      </c>
      <c r="DD45" s="13" t="n">
        <f aca="false">DD42+DD39-DD21+DD44</f>
        <v>12.46</v>
      </c>
      <c r="DE45" s="13" t="n">
        <f aca="false">DE42+DE39-DE21+DE44</f>
        <v>12.46</v>
      </c>
      <c r="DF45" s="13" t="n">
        <f aca="false">DF42+DF39-DF21+DF44</f>
        <v>12.46</v>
      </c>
      <c r="DG45" s="13" t="n">
        <f aca="false">DG42+DG39-DG21+DG44</f>
        <v>12.46</v>
      </c>
      <c r="DH45" s="13" t="n">
        <f aca="false">DH42+DH39-DH21+DH44</f>
        <v>12.46</v>
      </c>
      <c r="DI45" s="13" t="n">
        <f aca="false">DI42+DI39-DI21+DI44</f>
        <v>12.46</v>
      </c>
      <c r="DJ45" s="13" t="n">
        <f aca="false">DJ42+DJ39-DJ21+DJ44</f>
        <v>12.46</v>
      </c>
      <c r="DK45" s="13" t="n">
        <f aca="false">DK42+DK39-DK21+DK44</f>
        <v>12.46</v>
      </c>
      <c r="DL45" s="13" t="n">
        <f aca="false">DL42+DL39-DL21+DL44</f>
        <v>12.46</v>
      </c>
      <c r="DM45" s="13" t="n">
        <f aca="false">DM42+DM39-DM21+DM44</f>
        <v>12.46</v>
      </c>
      <c r="DN45" s="13" t="n">
        <f aca="false">DN42+DN39-DN21+DN44</f>
        <v>12.46</v>
      </c>
      <c r="DO45" s="13" t="n">
        <f aca="false">DO42+DO39-DO21+DO44</f>
        <v>12.46</v>
      </c>
      <c r="DP45" s="13" t="n">
        <f aca="false">DP42+DP39-DP21+DP44</f>
        <v>12.46</v>
      </c>
      <c r="DQ45" s="13" t="n">
        <f aca="false">DQ42+DQ39-DQ21+DQ44</f>
        <v>12.46</v>
      </c>
      <c r="DR45" s="13" t="n">
        <f aca="false">DR42+DR39-DR21+DR44</f>
        <v>12.46</v>
      </c>
    </row>
    <row r="46" customFormat="false" ht="15" hidden="false" customHeight="false" outlineLevel="0" collapsed="false">
      <c r="A46" s="9" t="s">
        <v>214</v>
      </c>
      <c r="B46" s="11" t="n">
        <f aca="false">-B38</f>
        <v>-0</v>
      </c>
      <c r="C46" s="11" t="n">
        <f aca="false">-C38</f>
        <v>-3.58333333333333</v>
      </c>
      <c r="D46" s="11" t="n">
        <f aca="false">-D38</f>
        <v>-3.58333333333333</v>
      </c>
      <c r="E46" s="11" t="n">
        <f aca="false">-E38</f>
        <v>-3.58333333333333</v>
      </c>
      <c r="F46" s="11" t="n">
        <f aca="false">-F38</f>
        <v>-3.58333333333333</v>
      </c>
      <c r="G46" s="11" t="n">
        <f aca="false">-G38</f>
        <v>-3.58333333333333</v>
      </c>
      <c r="H46" s="11" t="n">
        <f aca="false">-H38</f>
        <v>-3.58333333333333</v>
      </c>
      <c r="I46" s="11" t="n">
        <f aca="false">-I38</f>
        <v>-3.58333333333333</v>
      </c>
      <c r="J46" s="11" t="n">
        <f aca="false">-J38</f>
        <v>-3.58333333333333</v>
      </c>
      <c r="K46" s="11" t="n">
        <f aca="false">-K38</f>
        <v>-3.58333333333333</v>
      </c>
      <c r="L46" s="11" t="n">
        <f aca="false">-L38</f>
        <v>-3.58333333333333</v>
      </c>
      <c r="M46" s="11" t="n">
        <f aca="false">-M38</f>
        <v>-3.58333333333333</v>
      </c>
      <c r="N46" s="11" t="n">
        <f aca="false">-N38</f>
        <v>-3.58333333333333</v>
      </c>
      <c r="O46" s="11" t="n">
        <f aca="false">-O38</f>
        <v>-0.35</v>
      </c>
      <c r="P46" s="11" t="n">
        <f aca="false">-P38</f>
        <v>-0.35</v>
      </c>
      <c r="Q46" s="11" t="n">
        <f aca="false">-Q38</f>
        <v>-0.35</v>
      </c>
      <c r="R46" s="11" t="n">
        <f aca="false">-R38</f>
        <v>-0.35</v>
      </c>
      <c r="S46" s="11" t="n">
        <f aca="false">-S38</f>
        <v>-0.35</v>
      </c>
      <c r="T46" s="11" t="n">
        <f aca="false">-T38</f>
        <v>-0.35</v>
      </c>
      <c r="U46" s="11" t="n">
        <f aca="false">-U38</f>
        <v>-0.35</v>
      </c>
      <c r="V46" s="11" t="n">
        <f aca="false">-V38</f>
        <v>-0.35</v>
      </c>
      <c r="W46" s="11" t="n">
        <f aca="false">-W38</f>
        <v>-0.35</v>
      </c>
      <c r="X46" s="11" t="n">
        <f aca="false">-X38</f>
        <v>-0.35</v>
      </c>
      <c r="Y46" s="11" t="n">
        <f aca="false">-Y38</f>
        <v>-0.35</v>
      </c>
      <c r="Z46" s="11" t="n">
        <f aca="false">-Z38</f>
        <v>-0.35</v>
      </c>
      <c r="AA46" s="11" t="n">
        <f aca="false">-AA38</f>
        <v>-0.35</v>
      </c>
      <c r="AB46" s="11" t="n">
        <f aca="false">-AB38</f>
        <v>-0.35</v>
      </c>
      <c r="AC46" s="11" t="n">
        <f aca="false">-AC38</f>
        <v>-0.35</v>
      </c>
      <c r="AD46" s="11" t="n">
        <f aca="false">-AD38</f>
        <v>-0.35</v>
      </c>
      <c r="AE46" s="11" t="n">
        <f aca="false">-AE38</f>
        <v>-0.35</v>
      </c>
      <c r="AF46" s="11" t="n">
        <f aca="false">-AF38</f>
        <v>-0.35</v>
      </c>
      <c r="AG46" s="11" t="n">
        <f aca="false">-AG38</f>
        <v>-0.35</v>
      </c>
      <c r="AH46" s="11" t="n">
        <f aca="false">-AH38</f>
        <v>-0.35</v>
      </c>
      <c r="AI46" s="11" t="n">
        <f aca="false">-AI38</f>
        <v>-0.35</v>
      </c>
      <c r="AJ46" s="11" t="n">
        <f aca="false">-AJ38</f>
        <v>-0.35</v>
      </c>
      <c r="AK46" s="11" t="n">
        <f aca="false">-AK38</f>
        <v>-0.35</v>
      </c>
      <c r="AL46" s="11" t="n">
        <f aca="false">-AL38</f>
        <v>-0.35</v>
      </c>
      <c r="AM46" s="11" t="n">
        <f aca="false">-AM38</f>
        <v>-0.35</v>
      </c>
      <c r="AN46" s="11" t="n">
        <f aca="false">-AN38</f>
        <v>-0.35</v>
      </c>
      <c r="AO46" s="11" t="n">
        <f aca="false">-AO38</f>
        <v>-0.35</v>
      </c>
      <c r="AP46" s="11" t="n">
        <f aca="false">-AP38</f>
        <v>-0.35</v>
      </c>
      <c r="AQ46" s="11" t="n">
        <f aca="false">-AQ38</f>
        <v>-0.35</v>
      </c>
      <c r="AR46" s="11" t="n">
        <f aca="false">-AR38</f>
        <v>-0.35</v>
      </c>
      <c r="AS46" s="11" t="n">
        <f aca="false">-AS38</f>
        <v>-0.35</v>
      </c>
      <c r="AT46" s="11" t="n">
        <f aca="false">-AT38</f>
        <v>-0.35</v>
      </c>
      <c r="AU46" s="11" t="n">
        <f aca="false">-AU38</f>
        <v>-0.35</v>
      </c>
      <c r="AV46" s="11" t="n">
        <f aca="false">-AV38</f>
        <v>-0.35</v>
      </c>
      <c r="AW46" s="11" t="n">
        <f aca="false">-AW38</f>
        <v>-0.35</v>
      </c>
      <c r="AX46" s="11" t="n">
        <f aca="false">-AX38</f>
        <v>-0.35</v>
      </c>
      <c r="AY46" s="11" t="n">
        <f aca="false">-AY38</f>
        <v>-0.35</v>
      </c>
      <c r="AZ46" s="11" t="n">
        <f aca="false">-AZ38</f>
        <v>-0.35</v>
      </c>
      <c r="BA46" s="11" t="n">
        <f aca="false">-BA38</f>
        <v>-0.35</v>
      </c>
      <c r="BB46" s="11" t="n">
        <f aca="false">-BB38</f>
        <v>-0.35</v>
      </c>
      <c r="BC46" s="11" t="n">
        <f aca="false">-BC38</f>
        <v>-0.35</v>
      </c>
      <c r="BD46" s="11" t="n">
        <f aca="false">-BD38</f>
        <v>-0.35</v>
      </c>
      <c r="BE46" s="11" t="n">
        <f aca="false">-BE38</f>
        <v>-0.35</v>
      </c>
      <c r="BF46" s="11" t="n">
        <f aca="false">-BF38</f>
        <v>-0.35</v>
      </c>
      <c r="BG46" s="11" t="n">
        <f aca="false">-BG38</f>
        <v>-0.35</v>
      </c>
      <c r="BH46" s="11" t="n">
        <f aca="false">-BH38</f>
        <v>-0.35</v>
      </c>
      <c r="BI46" s="11" t="n">
        <f aca="false">-BI38</f>
        <v>-0.35</v>
      </c>
      <c r="BJ46" s="11" t="n">
        <f aca="false">-BJ38</f>
        <v>-0.35</v>
      </c>
      <c r="BK46" s="11" t="n">
        <f aca="false">-BK38</f>
        <v>-0.35</v>
      </c>
      <c r="BL46" s="11" t="n">
        <f aca="false">-BL38</f>
        <v>-0.35</v>
      </c>
      <c r="BM46" s="11" t="n">
        <f aca="false">-BM38</f>
        <v>-0.35</v>
      </c>
      <c r="BN46" s="11" t="n">
        <f aca="false">-BN38</f>
        <v>-0.35</v>
      </c>
      <c r="BO46" s="11" t="n">
        <f aca="false">-BO38</f>
        <v>-0.35</v>
      </c>
      <c r="BP46" s="11" t="n">
        <f aca="false">-BP38</f>
        <v>-0.35</v>
      </c>
      <c r="BQ46" s="11" t="n">
        <f aca="false">-BQ38</f>
        <v>-0.35</v>
      </c>
      <c r="BR46" s="11" t="n">
        <f aca="false">-BR38</f>
        <v>-0.35</v>
      </c>
      <c r="BS46" s="11" t="n">
        <f aca="false">-BS38</f>
        <v>-0.35</v>
      </c>
      <c r="BT46" s="11" t="n">
        <f aca="false">-BT38</f>
        <v>-0.35</v>
      </c>
      <c r="BU46" s="11" t="n">
        <f aca="false">-BU38</f>
        <v>-0.35</v>
      </c>
      <c r="BV46" s="11" t="n">
        <f aca="false">-BV38</f>
        <v>-0.35</v>
      </c>
      <c r="BW46" s="11" t="n">
        <f aca="false">-BW38</f>
        <v>-0.35</v>
      </c>
      <c r="BX46" s="11" t="n">
        <f aca="false">-BX38</f>
        <v>-0.35</v>
      </c>
      <c r="BY46" s="11" t="n">
        <f aca="false">-BY38</f>
        <v>-0.35</v>
      </c>
      <c r="BZ46" s="11" t="n">
        <f aca="false">-BZ38</f>
        <v>-0.35</v>
      </c>
      <c r="CA46" s="11" t="n">
        <f aca="false">-CA38</f>
        <v>-0.35</v>
      </c>
      <c r="CB46" s="11" t="n">
        <f aca="false">-CB38</f>
        <v>-0.35</v>
      </c>
      <c r="CC46" s="11" t="n">
        <f aca="false">-CC38</f>
        <v>-0.35</v>
      </c>
      <c r="CD46" s="11" t="n">
        <f aca="false">-CD38</f>
        <v>-0.35</v>
      </c>
      <c r="CE46" s="11" t="n">
        <f aca="false">-CE38</f>
        <v>-0.35</v>
      </c>
      <c r="CF46" s="11" t="n">
        <f aca="false">-CF38</f>
        <v>-0.35</v>
      </c>
      <c r="CG46" s="11" t="n">
        <f aca="false">-CG38</f>
        <v>-0.35</v>
      </c>
      <c r="CH46" s="11" t="n">
        <f aca="false">-CH38</f>
        <v>-0.35</v>
      </c>
      <c r="CI46" s="11" t="n">
        <f aca="false">-CI38</f>
        <v>-0.35</v>
      </c>
      <c r="CJ46" s="11" t="n">
        <f aca="false">-CJ38</f>
        <v>-0.35</v>
      </c>
      <c r="CK46" s="11" t="n">
        <f aca="false">-CK38</f>
        <v>-0.35</v>
      </c>
      <c r="CL46" s="11" t="n">
        <f aca="false">-CL38</f>
        <v>-0.35</v>
      </c>
      <c r="CM46" s="11" t="n">
        <f aca="false">-CM38</f>
        <v>-0.35</v>
      </c>
      <c r="CN46" s="11" t="n">
        <f aca="false">-CN38</f>
        <v>-0.35</v>
      </c>
      <c r="CO46" s="11" t="n">
        <f aca="false">-CO38</f>
        <v>-0.35</v>
      </c>
      <c r="CP46" s="11" t="n">
        <f aca="false">-CP38</f>
        <v>-0.35</v>
      </c>
      <c r="CQ46" s="11" t="n">
        <f aca="false">-CQ38</f>
        <v>-0.35</v>
      </c>
      <c r="CR46" s="11" t="n">
        <f aca="false">-CR38</f>
        <v>-0.35</v>
      </c>
      <c r="CS46" s="11" t="n">
        <f aca="false">-CS38</f>
        <v>-0.35</v>
      </c>
      <c r="CT46" s="11" t="n">
        <f aca="false">-CT38</f>
        <v>-0.35</v>
      </c>
      <c r="CU46" s="11" t="n">
        <f aca="false">-CU38</f>
        <v>-0.35</v>
      </c>
      <c r="CV46" s="11" t="n">
        <f aca="false">-CV38</f>
        <v>-0.35</v>
      </c>
      <c r="CW46" s="11" t="n">
        <f aca="false">-CW38</f>
        <v>-0.35</v>
      </c>
      <c r="CX46" s="11" t="n">
        <f aca="false">-CX38</f>
        <v>-0.35</v>
      </c>
      <c r="CY46" s="11" t="n">
        <f aca="false">-CY38</f>
        <v>-0.35</v>
      </c>
      <c r="CZ46" s="11" t="n">
        <f aca="false">-CZ38</f>
        <v>-0.35</v>
      </c>
      <c r="DA46" s="11" t="n">
        <f aca="false">-DA38</f>
        <v>-0.35</v>
      </c>
      <c r="DB46" s="11" t="n">
        <f aca="false">-DB38</f>
        <v>-0.35</v>
      </c>
      <c r="DC46" s="11" t="n">
        <f aca="false">-DC38</f>
        <v>-0.35</v>
      </c>
      <c r="DD46" s="11" t="n">
        <f aca="false">-DD38</f>
        <v>-0.35</v>
      </c>
      <c r="DE46" s="11" t="n">
        <f aca="false">-DE38</f>
        <v>-0.35</v>
      </c>
      <c r="DF46" s="11" t="n">
        <f aca="false">-DF38</f>
        <v>-0.35</v>
      </c>
      <c r="DG46" s="11" t="n">
        <f aca="false">-DG38</f>
        <v>-0.35</v>
      </c>
      <c r="DH46" s="11" t="n">
        <f aca="false">-DH38</f>
        <v>-0.35</v>
      </c>
      <c r="DI46" s="11" t="n">
        <f aca="false">-DI38</f>
        <v>-0.35</v>
      </c>
      <c r="DJ46" s="11" t="n">
        <f aca="false">-DJ38</f>
        <v>-0.35</v>
      </c>
      <c r="DK46" s="11" t="n">
        <f aca="false">-DK38</f>
        <v>-0.35</v>
      </c>
      <c r="DL46" s="11" t="n">
        <f aca="false">-DL38</f>
        <v>-0.35</v>
      </c>
      <c r="DM46" s="11" t="n">
        <f aca="false">-DM38</f>
        <v>-0.35</v>
      </c>
      <c r="DN46" s="11" t="n">
        <f aca="false">-DN38</f>
        <v>-0.35</v>
      </c>
      <c r="DO46" s="11" t="n">
        <f aca="false">-DO38</f>
        <v>-0.35</v>
      </c>
      <c r="DP46" s="11" t="n">
        <f aca="false">-DP38</f>
        <v>-0.35</v>
      </c>
      <c r="DQ46" s="11" t="n">
        <f aca="false">-DQ38</f>
        <v>-0.35</v>
      </c>
      <c r="DR46" s="11" t="n">
        <f aca="false">-DR38</f>
        <v>-0.35</v>
      </c>
    </row>
    <row r="47" customFormat="false" ht="15" hidden="false" customHeight="false" outlineLevel="0" collapsed="false">
      <c r="A47" s="9" t="s">
        <v>215</v>
      </c>
      <c r="B47" s="10" t="n">
        <f aca="false">IF(B$1=Inputs!$B$34,Inputs!$B$22,IF(B$1=Inputs!$B$24,Inputs!$B$23,Inputs!$B$34))</f>
        <v>25</v>
      </c>
      <c r="C47" s="10" t="n">
        <f aca="false">IF(C$1=Inputs!$B$34,Inputs!$B$22,IF(C$1=Inputs!$B$24,Inputs!$B$23,Inputs!$B$34))</f>
        <v>0</v>
      </c>
      <c r="D47" s="10" t="n">
        <f aca="false">IF(D$1=Inputs!$B$34,Inputs!$B$22,IF(D$1=Inputs!$B$24,Inputs!$B$23,Inputs!$B$34))</f>
        <v>0</v>
      </c>
      <c r="E47" s="10" t="n">
        <f aca="false">IF(E$1=Inputs!$B$34,Inputs!$B$22,IF(E$1=Inputs!$B$24,Inputs!$B$23,Inputs!$B$34))</f>
        <v>0</v>
      </c>
      <c r="F47" s="10" t="n">
        <f aca="false">IF(F$1=Inputs!$B$34,Inputs!$B$22,IF(F$1=Inputs!$B$24,Inputs!$B$23,Inputs!$B$34))</f>
        <v>0</v>
      </c>
      <c r="G47" s="10" t="n">
        <f aca="false">IF(G$1=Inputs!$B$34,Inputs!$B$22,IF(G$1=Inputs!$B$24,Inputs!$B$23,Inputs!$B$34))</f>
        <v>0</v>
      </c>
      <c r="H47" s="10" t="n">
        <f aca="false">IF(H$1=Inputs!$B$34,Inputs!$B$22,IF(H$1=Inputs!$B$24,Inputs!$B$23,Inputs!$B$34))</f>
        <v>0</v>
      </c>
      <c r="I47" s="10" t="n">
        <f aca="false">IF(I$1=Inputs!$B$34,Inputs!$B$22,IF(I$1=Inputs!$B$24,Inputs!$B$23,Inputs!$B$34))</f>
        <v>0</v>
      </c>
      <c r="J47" s="10" t="n">
        <f aca="false">IF(J$1=Inputs!$B$34,Inputs!$B$22,IF(J$1=Inputs!$B$24,Inputs!$B$23,Inputs!$B$34))</f>
        <v>0</v>
      </c>
      <c r="K47" s="10" t="n">
        <f aca="false">IF(K$1=Inputs!$B$34,Inputs!$B$22,IF(K$1=Inputs!$B$24,Inputs!$B$23,Inputs!$B$34))</f>
        <v>25</v>
      </c>
      <c r="L47" s="10" t="n">
        <f aca="false">IF(L$1=Inputs!$B$34,Inputs!$B$22,IF(L$1=Inputs!$B$24,Inputs!$B$23,Inputs!$B$34))</f>
        <v>0</v>
      </c>
      <c r="M47" s="10" t="n">
        <f aca="false">IF(M$1=Inputs!$B$34,Inputs!$B$22,IF(M$1=Inputs!$B$24,Inputs!$B$23,Inputs!$B$34))</f>
        <v>0</v>
      </c>
      <c r="N47" s="10" t="n">
        <f aca="false">IF(N$1=Inputs!$B$34,Inputs!$B$22,IF(N$1=Inputs!$B$24,Inputs!$B$23,Inputs!$B$34))</f>
        <v>0</v>
      </c>
      <c r="O47" s="10" t="n">
        <f aca="false">IF(O$1=Inputs!$B$34,Inputs!$B$22,IF(O$1=Inputs!$B$24,Inputs!$B$23,Inputs!$B$34))</f>
        <v>0</v>
      </c>
      <c r="P47" s="10" t="n">
        <f aca="false">IF(P$1=Inputs!$B$34,Inputs!$B$22,IF(P$1=Inputs!$B$24,Inputs!$B$23,Inputs!$B$34))</f>
        <v>0</v>
      </c>
      <c r="Q47" s="10" t="n">
        <f aca="false">IF(Q$1=Inputs!$B$34,Inputs!$B$22,IF(Q$1=Inputs!$B$24,Inputs!$B$23,Inputs!$B$34))</f>
        <v>0</v>
      </c>
      <c r="R47" s="10" t="n">
        <f aca="false">IF(R$1=Inputs!$B$34,Inputs!$B$22,IF(R$1=Inputs!$B$24,Inputs!$B$23,Inputs!$B$34))</f>
        <v>0</v>
      </c>
      <c r="S47" s="10" t="n">
        <f aca="false">IF(S$1=Inputs!$B$34,Inputs!$B$22,IF(S$1=Inputs!$B$24,Inputs!$B$23,Inputs!$B$34))</f>
        <v>0</v>
      </c>
      <c r="T47" s="10" t="n">
        <f aca="false">IF(T$1=Inputs!$B$34,Inputs!$B$22,IF(T$1=Inputs!$B$24,Inputs!$B$23,Inputs!$B$34))</f>
        <v>0</v>
      </c>
      <c r="U47" s="10" t="n">
        <f aca="false">IF(U$1=Inputs!$B$34,Inputs!$B$22,IF(U$1=Inputs!$B$24,Inputs!$B$23,Inputs!$B$34))</f>
        <v>0</v>
      </c>
      <c r="V47" s="10" t="n">
        <f aca="false">IF(V$1=Inputs!$B$34,Inputs!$B$22,IF(V$1=Inputs!$B$24,Inputs!$B$23,Inputs!$B$34))</f>
        <v>0</v>
      </c>
      <c r="W47" s="10" t="n">
        <f aca="false">IF(W$1=Inputs!$B$34,Inputs!$B$22,IF(W$1=Inputs!$B$24,Inputs!$B$23,Inputs!$B$34))</f>
        <v>0</v>
      </c>
      <c r="X47" s="10" t="n">
        <f aca="false">IF(X$1=Inputs!$B$34,Inputs!$B$22,IF(X$1=Inputs!$B$24,Inputs!$B$23,Inputs!$B$34))</f>
        <v>0</v>
      </c>
      <c r="Y47" s="10" t="n">
        <f aca="false">IF(Y$1=Inputs!$B$34,Inputs!$B$22,IF(Y$1=Inputs!$B$24,Inputs!$B$23,Inputs!$B$34))</f>
        <v>0</v>
      </c>
      <c r="Z47" s="10" t="n">
        <f aca="false">IF(Z$1=Inputs!$B$34,Inputs!$B$22,IF(Z$1=Inputs!$B$24,Inputs!$B$23,Inputs!$B$34))</f>
        <v>0</v>
      </c>
      <c r="AA47" s="10" t="n">
        <f aca="false">IF(AA$1=Inputs!$B$34,Inputs!$B$22,IF(AA$1=Inputs!$B$24,Inputs!$B$23,Inputs!$B$34))</f>
        <v>0</v>
      </c>
      <c r="AB47" s="10" t="n">
        <f aca="false">IF(AB$1=Inputs!$B$34,Inputs!$B$22,IF(AB$1=Inputs!$B$24,Inputs!$B$23,Inputs!$B$34))</f>
        <v>0</v>
      </c>
      <c r="AC47" s="10" t="n">
        <f aca="false">IF(AC$1=Inputs!$B$34,Inputs!$B$22,IF(AC$1=Inputs!$B$24,Inputs!$B$23,Inputs!$B$34))</f>
        <v>0</v>
      </c>
      <c r="AD47" s="10" t="n">
        <f aca="false">IF(AD$1=Inputs!$B$34,Inputs!$B$22,IF(AD$1=Inputs!$B$24,Inputs!$B$23,Inputs!$B$34))</f>
        <v>0</v>
      </c>
      <c r="AE47" s="10" t="n">
        <f aca="false">IF(AE$1=Inputs!$B$34,Inputs!$B$22,IF(AE$1=Inputs!$B$24,Inputs!$B$23,Inputs!$B$34))</f>
        <v>0</v>
      </c>
      <c r="AF47" s="10" t="n">
        <f aca="false">IF(AF$1=Inputs!$B$34,Inputs!$B$22,IF(AF$1=Inputs!$B$24,Inputs!$B$23,Inputs!$B$34))</f>
        <v>0</v>
      </c>
      <c r="AG47" s="10" t="n">
        <f aca="false">IF(AG$1=Inputs!$B$34,Inputs!$B$22,IF(AG$1=Inputs!$B$24,Inputs!$B$23,Inputs!$B$34))</f>
        <v>0</v>
      </c>
      <c r="AH47" s="10" t="n">
        <f aca="false">IF(AH$1=Inputs!$B$34,Inputs!$B$22,IF(AH$1=Inputs!$B$24,Inputs!$B$23,Inputs!$B$34))</f>
        <v>0</v>
      </c>
      <c r="AI47" s="10" t="n">
        <f aca="false">IF(AI$1=Inputs!$B$34,Inputs!$B$22,IF(AI$1=Inputs!$B$24,Inputs!$B$23,Inputs!$B$34))</f>
        <v>0</v>
      </c>
      <c r="AJ47" s="10" t="n">
        <f aca="false">IF(AJ$1=Inputs!$B$34,Inputs!$B$22,IF(AJ$1=Inputs!$B$24,Inputs!$B$23,Inputs!$B$34))</f>
        <v>0</v>
      </c>
      <c r="AK47" s="10" t="n">
        <f aca="false">IF(AK$1=Inputs!$B$34,Inputs!$B$22,IF(AK$1=Inputs!$B$24,Inputs!$B$23,Inputs!$B$34))</f>
        <v>0</v>
      </c>
      <c r="AL47" s="10" t="n">
        <f aca="false">IF(AL$1=Inputs!$B$34,Inputs!$B$22,IF(AL$1=Inputs!$B$24,Inputs!$B$23,Inputs!$B$34))</f>
        <v>0</v>
      </c>
      <c r="AM47" s="10" t="n">
        <f aca="false">IF(AM$1=Inputs!$B$34,Inputs!$B$22,IF(AM$1=Inputs!$B$24,Inputs!$B$23,Inputs!$B$34))</f>
        <v>0</v>
      </c>
      <c r="AN47" s="10" t="n">
        <f aca="false">IF(AN$1=Inputs!$B$34,Inputs!$B$22,IF(AN$1=Inputs!$B$24,Inputs!$B$23,Inputs!$B$34))</f>
        <v>0</v>
      </c>
      <c r="AO47" s="10" t="n">
        <f aca="false">IF(AO$1=Inputs!$B$34,Inputs!$B$22,IF(AO$1=Inputs!$B$24,Inputs!$B$23,Inputs!$B$34))</f>
        <v>0</v>
      </c>
      <c r="AP47" s="10" t="n">
        <f aca="false">IF(AP$1=Inputs!$B$34,Inputs!$B$22,IF(AP$1=Inputs!$B$24,Inputs!$B$23,Inputs!$B$34))</f>
        <v>0</v>
      </c>
      <c r="AQ47" s="10" t="n">
        <f aca="false">IF(AQ$1=Inputs!$B$34,Inputs!$B$22,IF(AQ$1=Inputs!$B$24,Inputs!$B$23,Inputs!$B$34))</f>
        <v>0</v>
      </c>
      <c r="AR47" s="10" t="n">
        <f aca="false">IF(AR$1=Inputs!$B$34,Inputs!$B$22,IF(AR$1=Inputs!$B$24,Inputs!$B$23,Inputs!$B$34))</f>
        <v>0</v>
      </c>
      <c r="AS47" s="10" t="n">
        <f aca="false">IF(AS$1=Inputs!$B$34,Inputs!$B$22,IF(AS$1=Inputs!$B$24,Inputs!$B$23,Inputs!$B$34))</f>
        <v>0</v>
      </c>
      <c r="AT47" s="10" t="n">
        <f aca="false">IF(AT$1=Inputs!$B$34,Inputs!$B$22,IF(AT$1=Inputs!$B$24,Inputs!$B$23,Inputs!$B$34))</f>
        <v>0</v>
      </c>
      <c r="AU47" s="10" t="n">
        <f aca="false">IF(AU$1=Inputs!$B$34,Inputs!$B$22,IF(AU$1=Inputs!$B$24,Inputs!$B$23,Inputs!$B$34))</f>
        <v>0</v>
      </c>
      <c r="AV47" s="10" t="n">
        <f aca="false">IF(AV$1=Inputs!$B$34,Inputs!$B$22,IF(AV$1=Inputs!$B$24,Inputs!$B$23,Inputs!$B$34))</f>
        <v>0</v>
      </c>
      <c r="AW47" s="10" t="n">
        <f aca="false">IF(AW$1=Inputs!$B$34,Inputs!$B$22,IF(AW$1=Inputs!$B$24,Inputs!$B$23,Inputs!$B$34))</f>
        <v>0</v>
      </c>
      <c r="AX47" s="10" t="n">
        <f aca="false">IF(AX$1=Inputs!$B$34,Inputs!$B$22,IF(AX$1=Inputs!$B$24,Inputs!$B$23,Inputs!$B$34))</f>
        <v>0</v>
      </c>
      <c r="AY47" s="10" t="n">
        <f aca="false">IF(AY$1=Inputs!$B$34,Inputs!$B$22,IF(AY$1=Inputs!$B$24,Inputs!$B$23,Inputs!$B$34))</f>
        <v>0</v>
      </c>
      <c r="AZ47" s="10" t="n">
        <f aca="false">IF(AZ$1=Inputs!$B$34,Inputs!$B$22,IF(AZ$1=Inputs!$B$24,Inputs!$B$23,Inputs!$B$34))</f>
        <v>0</v>
      </c>
      <c r="BA47" s="10" t="n">
        <f aca="false">IF(BA$1=Inputs!$B$34,Inputs!$B$22,IF(BA$1=Inputs!$B$24,Inputs!$B$23,Inputs!$B$34))</f>
        <v>0</v>
      </c>
      <c r="BB47" s="10" t="n">
        <f aca="false">IF(BB$1=Inputs!$B$34,Inputs!$B$22,IF(BB$1=Inputs!$B$24,Inputs!$B$23,Inputs!$B$34))</f>
        <v>0</v>
      </c>
      <c r="BC47" s="10" t="n">
        <f aca="false">IF(BC$1=Inputs!$B$34,Inputs!$B$22,IF(BC$1=Inputs!$B$24,Inputs!$B$23,Inputs!$B$34))</f>
        <v>0</v>
      </c>
      <c r="BD47" s="10" t="n">
        <f aca="false">IF(BD$1=Inputs!$B$34,Inputs!$B$22,IF(BD$1=Inputs!$B$24,Inputs!$B$23,Inputs!$B$34))</f>
        <v>0</v>
      </c>
      <c r="BE47" s="10" t="n">
        <f aca="false">IF(BE$1=Inputs!$B$34,Inputs!$B$22,IF(BE$1=Inputs!$B$24,Inputs!$B$23,Inputs!$B$34))</f>
        <v>0</v>
      </c>
      <c r="BF47" s="10" t="n">
        <f aca="false">IF(BF$1=Inputs!$B$34,Inputs!$B$22,IF(BF$1=Inputs!$B$24,Inputs!$B$23,Inputs!$B$34))</f>
        <v>0</v>
      </c>
      <c r="BG47" s="10" t="n">
        <f aca="false">IF(BG$1=Inputs!$B$34,Inputs!$B$22,IF(BG$1=Inputs!$B$24,Inputs!$B$23,Inputs!$B$34))</f>
        <v>0</v>
      </c>
      <c r="BH47" s="10" t="n">
        <f aca="false">IF(BH$1=Inputs!$B$34,Inputs!$B$22,IF(BH$1=Inputs!$B$24,Inputs!$B$23,Inputs!$B$34))</f>
        <v>0</v>
      </c>
      <c r="BI47" s="10" t="n">
        <f aca="false">IF(BI$1=Inputs!$B$34,Inputs!$B$22,IF(BI$1=Inputs!$B$24,Inputs!$B$23,Inputs!$B$34))</f>
        <v>0</v>
      </c>
      <c r="BJ47" s="10" t="n">
        <f aca="false">IF(BJ$1=Inputs!$B$34,Inputs!$B$22,IF(BJ$1=Inputs!$B$24,Inputs!$B$23,Inputs!$B$34))</f>
        <v>0</v>
      </c>
      <c r="BK47" s="10" t="n">
        <f aca="false">IF(BK$1=Inputs!$B$34,Inputs!$B$22,IF(BK$1=Inputs!$B$24,Inputs!$B$23,Inputs!$B$34))</f>
        <v>0</v>
      </c>
      <c r="BL47" s="10" t="n">
        <f aca="false">IF(BL$1=Inputs!$B$34,Inputs!$B$22,IF(BL$1=Inputs!$B$24,Inputs!$B$23,Inputs!$B$34))</f>
        <v>0</v>
      </c>
      <c r="BM47" s="10" t="n">
        <f aca="false">IF(BM$1=Inputs!$B$34,Inputs!$B$22,IF(BM$1=Inputs!$B$24,Inputs!$B$23,Inputs!$B$34))</f>
        <v>0</v>
      </c>
      <c r="BN47" s="10" t="n">
        <f aca="false">IF(BN$1=Inputs!$B$34,Inputs!$B$22,IF(BN$1=Inputs!$B$24,Inputs!$B$23,Inputs!$B$34))</f>
        <v>0</v>
      </c>
      <c r="BO47" s="10" t="n">
        <f aca="false">IF(BO$1=Inputs!$B$34,Inputs!$B$22,IF(BO$1=Inputs!$B$24,Inputs!$B$23,Inputs!$B$34))</f>
        <v>0</v>
      </c>
      <c r="BP47" s="10" t="n">
        <f aca="false">IF(BP$1=Inputs!$B$34,Inputs!$B$22,IF(BP$1=Inputs!$B$24,Inputs!$B$23,Inputs!$B$34))</f>
        <v>0</v>
      </c>
      <c r="BQ47" s="10" t="n">
        <f aca="false">IF(BQ$1=Inputs!$B$34,Inputs!$B$22,IF(BQ$1=Inputs!$B$24,Inputs!$B$23,Inputs!$B$34))</f>
        <v>0</v>
      </c>
      <c r="BR47" s="10" t="n">
        <f aca="false">IF(BR$1=Inputs!$B$34,Inputs!$B$22,IF(BR$1=Inputs!$B$24,Inputs!$B$23,Inputs!$B$34))</f>
        <v>0</v>
      </c>
      <c r="BS47" s="10" t="n">
        <f aca="false">IF(BS$1=Inputs!$B$34,Inputs!$B$22,IF(BS$1=Inputs!$B$24,Inputs!$B$23,Inputs!$B$34))</f>
        <v>0</v>
      </c>
      <c r="BT47" s="10" t="n">
        <f aca="false">IF(BT$1=Inputs!$B$34,Inputs!$B$22,IF(BT$1=Inputs!$B$24,Inputs!$B$23,Inputs!$B$34))</f>
        <v>0</v>
      </c>
      <c r="BU47" s="10" t="n">
        <f aca="false">IF(BU$1=Inputs!$B$34,Inputs!$B$22,IF(BU$1=Inputs!$B$24,Inputs!$B$23,Inputs!$B$34))</f>
        <v>0</v>
      </c>
      <c r="BV47" s="10" t="n">
        <f aca="false">IF(BV$1=Inputs!$B$34,Inputs!$B$22,IF(BV$1=Inputs!$B$24,Inputs!$B$23,Inputs!$B$34))</f>
        <v>0</v>
      </c>
      <c r="BW47" s="10" t="n">
        <f aca="false">IF(BW$1=Inputs!$B$34,Inputs!$B$22,IF(BW$1=Inputs!$B$24,Inputs!$B$23,Inputs!$B$34))</f>
        <v>0</v>
      </c>
      <c r="BX47" s="10" t="n">
        <f aca="false">IF(BX$1=Inputs!$B$34,Inputs!$B$22,IF(BX$1=Inputs!$B$24,Inputs!$B$23,Inputs!$B$34))</f>
        <v>0</v>
      </c>
      <c r="BY47" s="10" t="n">
        <f aca="false">IF(BY$1=Inputs!$B$34,Inputs!$B$22,IF(BY$1=Inputs!$B$24,Inputs!$B$23,Inputs!$B$34))</f>
        <v>0</v>
      </c>
      <c r="BZ47" s="10" t="n">
        <f aca="false">IF(BZ$1=Inputs!$B$34,Inputs!$B$22,IF(BZ$1=Inputs!$B$24,Inputs!$B$23,Inputs!$B$34))</f>
        <v>0</v>
      </c>
      <c r="CA47" s="10" t="n">
        <f aca="false">IF(CA$1=Inputs!$B$34,Inputs!$B$22,IF(CA$1=Inputs!$B$24,Inputs!$B$23,Inputs!$B$34))</f>
        <v>0</v>
      </c>
      <c r="CB47" s="10" t="n">
        <f aca="false">IF(CB$1=Inputs!$B$34,Inputs!$B$22,IF(CB$1=Inputs!$B$24,Inputs!$B$23,Inputs!$B$34))</f>
        <v>0</v>
      </c>
      <c r="CC47" s="10" t="n">
        <f aca="false">IF(CC$1=Inputs!$B$34,Inputs!$B$22,IF(CC$1=Inputs!$B$24,Inputs!$B$23,Inputs!$B$34))</f>
        <v>0</v>
      </c>
      <c r="CD47" s="10" t="n">
        <f aca="false">IF(CD$1=Inputs!$B$34,Inputs!$B$22,IF(CD$1=Inputs!$B$24,Inputs!$B$23,Inputs!$B$34))</f>
        <v>0</v>
      </c>
      <c r="CE47" s="10" t="n">
        <f aca="false">IF(CE$1=Inputs!$B$34,Inputs!$B$22,IF(CE$1=Inputs!$B$24,Inputs!$B$23,Inputs!$B$34))</f>
        <v>0</v>
      </c>
      <c r="CF47" s="10" t="n">
        <f aca="false">IF(CF$1=Inputs!$B$34,Inputs!$B$22,IF(CF$1=Inputs!$B$24,Inputs!$B$23,Inputs!$B$34))</f>
        <v>0</v>
      </c>
      <c r="CG47" s="10" t="n">
        <f aca="false">IF(CG$1=Inputs!$B$34,Inputs!$B$22,IF(CG$1=Inputs!$B$24,Inputs!$B$23,Inputs!$B$34))</f>
        <v>0</v>
      </c>
      <c r="CH47" s="10" t="n">
        <f aca="false">IF(CH$1=Inputs!$B$34,Inputs!$B$22,IF(CH$1=Inputs!$B$24,Inputs!$B$23,Inputs!$B$34))</f>
        <v>0</v>
      </c>
      <c r="CI47" s="10" t="n">
        <f aca="false">IF(CI$1=Inputs!$B$34,Inputs!$B$22,IF(CI$1=Inputs!$B$24,Inputs!$B$23,Inputs!$B$34))</f>
        <v>0</v>
      </c>
      <c r="CJ47" s="10" t="n">
        <f aca="false">IF(CJ$1=Inputs!$B$34,Inputs!$B$22,IF(CJ$1=Inputs!$B$24,Inputs!$B$23,Inputs!$B$34))</f>
        <v>0</v>
      </c>
      <c r="CK47" s="10" t="n">
        <f aca="false">IF(CK$1=Inputs!$B$34,Inputs!$B$22,IF(CK$1=Inputs!$B$24,Inputs!$B$23,Inputs!$B$34))</f>
        <v>0</v>
      </c>
      <c r="CL47" s="10" t="n">
        <f aca="false">IF(CL$1=Inputs!$B$34,Inputs!$B$22,IF(CL$1=Inputs!$B$24,Inputs!$B$23,Inputs!$B$34))</f>
        <v>0</v>
      </c>
      <c r="CM47" s="10" t="n">
        <f aca="false">IF(CM$1=Inputs!$B$34,Inputs!$B$22,IF(CM$1=Inputs!$B$24,Inputs!$B$23,Inputs!$B$34))</f>
        <v>0</v>
      </c>
      <c r="CN47" s="10" t="n">
        <f aca="false">IF(CN$1=Inputs!$B$34,Inputs!$B$22,IF(CN$1=Inputs!$B$24,Inputs!$B$23,Inputs!$B$34))</f>
        <v>0</v>
      </c>
      <c r="CO47" s="10" t="n">
        <f aca="false">IF(CO$1=Inputs!$B$34,Inputs!$B$22,IF(CO$1=Inputs!$B$24,Inputs!$B$23,Inputs!$B$34))</f>
        <v>0</v>
      </c>
      <c r="CP47" s="10" t="n">
        <f aca="false">IF(CP$1=Inputs!$B$34,Inputs!$B$22,IF(CP$1=Inputs!$B$24,Inputs!$B$23,Inputs!$B$34))</f>
        <v>0</v>
      </c>
      <c r="CQ47" s="10" t="n">
        <f aca="false">IF(CQ$1=Inputs!$B$34,Inputs!$B$22,IF(CQ$1=Inputs!$B$24,Inputs!$B$23,Inputs!$B$34))</f>
        <v>0</v>
      </c>
      <c r="CR47" s="10" t="n">
        <f aca="false">IF(CR$1=Inputs!$B$34,Inputs!$B$22,IF(CR$1=Inputs!$B$24,Inputs!$B$23,Inputs!$B$34))</f>
        <v>0</v>
      </c>
      <c r="CS47" s="10" t="n">
        <f aca="false">IF(CS$1=Inputs!$B$34,Inputs!$B$22,IF(CS$1=Inputs!$B$24,Inputs!$B$23,Inputs!$B$34))</f>
        <v>0</v>
      </c>
      <c r="CT47" s="10" t="n">
        <f aca="false">IF(CT$1=Inputs!$B$34,Inputs!$B$22,IF(CT$1=Inputs!$B$24,Inputs!$B$23,Inputs!$B$34))</f>
        <v>0</v>
      </c>
      <c r="CU47" s="10" t="n">
        <f aca="false">IF(CU$1=Inputs!$B$34,Inputs!$B$22,IF(CU$1=Inputs!$B$24,Inputs!$B$23,Inputs!$B$34))</f>
        <v>0</v>
      </c>
      <c r="CV47" s="10" t="n">
        <f aca="false">IF(CV$1=Inputs!$B$34,Inputs!$B$22,IF(CV$1=Inputs!$B$24,Inputs!$B$23,Inputs!$B$34))</f>
        <v>0</v>
      </c>
      <c r="CW47" s="10" t="n">
        <f aca="false">IF(CW$1=Inputs!$B$34,Inputs!$B$22,IF(CW$1=Inputs!$B$24,Inputs!$B$23,Inputs!$B$34))</f>
        <v>0</v>
      </c>
      <c r="CX47" s="10" t="n">
        <f aca="false">IF(CX$1=Inputs!$B$34,Inputs!$B$22,IF(CX$1=Inputs!$B$24,Inputs!$B$23,Inputs!$B$34))</f>
        <v>0</v>
      </c>
      <c r="CY47" s="10" t="n">
        <f aca="false">IF(CY$1=Inputs!$B$34,Inputs!$B$22,IF(CY$1=Inputs!$B$24,Inputs!$B$23,Inputs!$B$34))</f>
        <v>0</v>
      </c>
      <c r="CZ47" s="10" t="n">
        <f aca="false">IF(CZ$1=Inputs!$B$34,Inputs!$B$22,IF(CZ$1=Inputs!$B$24,Inputs!$B$23,Inputs!$B$34))</f>
        <v>0</v>
      </c>
      <c r="DA47" s="10" t="n">
        <f aca="false">IF(DA$1=Inputs!$B$34,Inputs!$B$22,IF(DA$1=Inputs!$B$24,Inputs!$B$23,Inputs!$B$34))</f>
        <v>0</v>
      </c>
      <c r="DB47" s="10" t="n">
        <f aca="false">IF(DB$1=Inputs!$B$34,Inputs!$B$22,IF(DB$1=Inputs!$B$24,Inputs!$B$23,Inputs!$B$34))</f>
        <v>0</v>
      </c>
      <c r="DC47" s="10" t="n">
        <f aca="false">IF(DC$1=Inputs!$B$34,Inputs!$B$22,IF(DC$1=Inputs!$B$24,Inputs!$B$23,Inputs!$B$34))</f>
        <v>0</v>
      </c>
      <c r="DD47" s="10" t="n">
        <f aca="false">IF(DD$1=Inputs!$B$34,Inputs!$B$22,IF(DD$1=Inputs!$B$24,Inputs!$B$23,Inputs!$B$34))</f>
        <v>0</v>
      </c>
      <c r="DE47" s="10" t="n">
        <f aca="false">IF(DE$1=Inputs!$B$34,Inputs!$B$22,IF(DE$1=Inputs!$B$24,Inputs!$B$23,Inputs!$B$34))</f>
        <v>0</v>
      </c>
      <c r="DF47" s="10" t="n">
        <f aca="false">IF(DF$1=Inputs!$B$34,Inputs!$B$22,IF(DF$1=Inputs!$B$24,Inputs!$B$23,Inputs!$B$34))</f>
        <v>0</v>
      </c>
      <c r="DG47" s="10" t="n">
        <f aca="false">IF(DG$1=Inputs!$B$34,Inputs!$B$22,IF(DG$1=Inputs!$B$24,Inputs!$B$23,Inputs!$B$34))</f>
        <v>0</v>
      </c>
      <c r="DH47" s="10" t="n">
        <f aca="false">IF(DH$1=Inputs!$B$34,Inputs!$B$22,IF(DH$1=Inputs!$B$24,Inputs!$B$23,Inputs!$B$34))</f>
        <v>0</v>
      </c>
      <c r="DI47" s="10" t="n">
        <f aca="false">IF(DI$1=Inputs!$B$34,Inputs!$B$22,IF(DI$1=Inputs!$B$24,Inputs!$B$23,Inputs!$B$34))</f>
        <v>0</v>
      </c>
      <c r="DJ47" s="10" t="n">
        <f aca="false">IF(DJ$1=Inputs!$B$34,Inputs!$B$22,IF(DJ$1=Inputs!$B$24,Inputs!$B$23,Inputs!$B$34))</f>
        <v>0</v>
      </c>
      <c r="DK47" s="10" t="n">
        <f aca="false">IF(DK$1=Inputs!$B$34,Inputs!$B$22,IF(DK$1=Inputs!$B$24,Inputs!$B$23,Inputs!$B$34))</f>
        <v>0</v>
      </c>
      <c r="DL47" s="10" t="n">
        <f aca="false">IF(DL$1=Inputs!$B$34,Inputs!$B$22,IF(DL$1=Inputs!$B$24,Inputs!$B$23,Inputs!$B$34))</f>
        <v>0</v>
      </c>
      <c r="DM47" s="10" t="n">
        <f aca="false">IF(DM$1=Inputs!$B$34,Inputs!$B$22,IF(DM$1=Inputs!$B$24,Inputs!$B$23,Inputs!$B$34))</f>
        <v>0</v>
      </c>
      <c r="DN47" s="10" t="n">
        <f aca="false">IF(DN$1=Inputs!$B$34,Inputs!$B$22,IF(DN$1=Inputs!$B$24,Inputs!$B$23,Inputs!$B$34))</f>
        <v>0</v>
      </c>
      <c r="DO47" s="10" t="n">
        <f aca="false">IF(DO$1=Inputs!$B$34,Inputs!$B$22,IF(DO$1=Inputs!$B$24,Inputs!$B$23,Inputs!$B$34))</f>
        <v>0</v>
      </c>
      <c r="DP47" s="10" t="n">
        <f aca="false">IF(DP$1=Inputs!$B$34,Inputs!$B$22,IF(DP$1=Inputs!$B$24,Inputs!$B$23,Inputs!$B$34))</f>
        <v>0</v>
      </c>
      <c r="DQ47" s="10" t="n">
        <f aca="false">IF(DQ$1=Inputs!$B$34,Inputs!$B$22,IF(DQ$1=Inputs!$B$24,Inputs!$B$23,Inputs!$B$34))</f>
        <v>0</v>
      </c>
      <c r="DR47" s="10" t="n">
        <f aca="false">IF(DR$1=Inputs!$B$34,Inputs!$B$22,IF(DR$1=Inputs!$B$24,Inputs!$B$23,Inputs!$B$34))</f>
        <v>0</v>
      </c>
    </row>
    <row r="48" customFormat="false" ht="15" hidden="false" customHeight="false" outlineLevel="0" collapsed="false">
      <c r="A48" s="9" t="s">
        <v>216</v>
      </c>
      <c r="B48" s="11" t="n">
        <f aca="false">B24+B27</f>
        <v>0</v>
      </c>
      <c r="C48" s="11" t="n">
        <f aca="false">C24+C27</f>
        <v>0</v>
      </c>
      <c r="D48" s="11" t="n">
        <f aca="false">D24+D27</f>
        <v>0</v>
      </c>
      <c r="E48" s="11" t="n">
        <f aca="false">E24+E27</f>
        <v>0</v>
      </c>
      <c r="F48" s="11" t="n">
        <f aca="false">F24+F27</f>
        <v>0</v>
      </c>
      <c r="G48" s="11" t="n">
        <f aca="false">G24+G27</f>
        <v>0</v>
      </c>
      <c r="H48" s="11" t="n">
        <f aca="false">H24+H27</f>
        <v>6</v>
      </c>
      <c r="I48" s="11" t="n">
        <f aca="false">I24+I27</f>
        <v>6</v>
      </c>
      <c r="J48" s="11" t="n">
        <f aca="false">J24+J27</f>
        <v>6</v>
      </c>
      <c r="K48" s="11" t="n">
        <f aca="false">K24+K27</f>
        <v>10</v>
      </c>
      <c r="L48" s="11" t="n">
        <f aca="false">L24+L27</f>
        <v>10</v>
      </c>
      <c r="M48" s="11" t="n">
        <f aca="false">M24+M27</f>
        <v>10</v>
      </c>
      <c r="N48" s="11" t="n">
        <f aca="false">N24+N27</f>
        <v>14</v>
      </c>
      <c r="O48" s="11" t="n">
        <f aca="false">O24+O27</f>
        <v>14</v>
      </c>
      <c r="P48" s="11" t="n">
        <f aca="false">P24+P27</f>
        <v>14</v>
      </c>
      <c r="Q48" s="11" t="n">
        <f aca="false">Q24+Q27</f>
        <v>14</v>
      </c>
      <c r="R48" s="11" t="n">
        <f aca="false">R24+R27</f>
        <v>14</v>
      </c>
      <c r="S48" s="11" t="n">
        <f aca="false">S24+S27</f>
        <v>14</v>
      </c>
      <c r="T48" s="11" t="n">
        <f aca="false">T24+T27</f>
        <v>14</v>
      </c>
      <c r="U48" s="11" t="n">
        <f aca="false">U24+U27</f>
        <v>14</v>
      </c>
      <c r="V48" s="11" t="n">
        <f aca="false">V24+V27</f>
        <v>14</v>
      </c>
      <c r="W48" s="11" t="n">
        <f aca="false">W24+W27</f>
        <v>14</v>
      </c>
      <c r="X48" s="11" t="n">
        <f aca="false">X24+X27</f>
        <v>14</v>
      </c>
      <c r="Y48" s="11" t="n">
        <f aca="false">Y24+Y27</f>
        <v>14</v>
      </c>
      <c r="Z48" s="11" t="n">
        <f aca="false">Z24+Z27</f>
        <v>14</v>
      </c>
      <c r="AA48" s="11" t="n">
        <f aca="false">AA24+AA27</f>
        <v>14</v>
      </c>
      <c r="AB48" s="11" t="n">
        <f aca="false">AB24+AB27</f>
        <v>14</v>
      </c>
      <c r="AC48" s="11" t="n">
        <f aca="false">AC24+AC27</f>
        <v>14</v>
      </c>
      <c r="AD48" s="11" t="n">
        <f aca="false">AD24+AD27</f>
        <v>14</v>
      </c>
      <c r="AE48" s="11" t="n">
        <f aca="false">AE24+AE27</f>
        <v>14</v>
      </c>
      <c r="AF48" s="11" t="n">
        <f aca="false">AF24+AF27</f>
        <v>14</v>
      </c>
      <c r="AG48" s="11" t="n">
        <f aca="false">AG24+AG27</f>
        <v>14</v>
      </c>
      <c r="AH48" s="11" t="n">
        <f aca="false">AH24+AH27</f>
        <v>14</v>
      </c>
      <c r="AI48" s="11" t="n">
        <f aca="false">AI24+AI27</f>
        <v>14</v>
      </c>
      <c r="AJ48" s="11" t="n">
        <f aca="false">AJ24+AJ27</f>
        <v>14</v>
      </c>
      <c r="AK48" s="11" t="n">
        <f aca="false">AK24+AK27</f>
        <v>14</v>
      </c>
      <c r="AL48" s="11" t="n">
        <f aca="false">AL24+AL27</f>
        <v>14</v>
      </c>
      <c r="AM48" s="11" t="n">
        <f aca="false">AM24+AM27</f>
        <v>14</v>
      </c>
      <c r="AN48" s="11" t="n">
        <f aca="false">AN24+AN27</f>
        <v>14</v>
      </c>
      <c r="AO48" s="11" t="n">
        <f aca="false">AO24+AO27</f>
        <v>14</v>
      </c>
      <c r="AP48" s="11" t="n">
        <f aca="false">AP24+AP27</f>
        <v>14</v>
      </c>
      <c r="AQ48" s="11" t="n">
        <f aca="false">AQ24+AQ27</f>
        <v>14</v>
      </c>
      <c r="AR48" s="11" t="n">
        <f aca="false">AR24+AR27</f>
        <v>14</v>
      </c>
      <c r="AS48" s="11" t="n">
        <f aca="false">AS24+AS27</f>
        <v>14</v>
      </c>
      <c r="AT48" s="11" t="n">
        <f aca="false">AT24+AT27</f>
        <v>14</v>
      </c>
      <c r="AU48" s="11" t="n">
        <f aca="false">AU24+AU27</f>
        <v>14</v>
      </c>
      <c r="AV48" s="11" t="n">
        <f aca="false">AV24+AV27</f>
        <v>14</v>
      </c>
      <c r="AW48" s="11" t="n">
        <f aca="false">AW24+AW27</f>
        <v>14</v>
      </c>
      <c r="AX48" s="11" t="n">
        <f aca="false">AX24+AX27</f>
        <v>14</v>
      </c>
      <c r="AY48" s="11" t="n">
        <f aca="false">AY24+AY27</f>
        <v>14</v>
      </c>
      <c r="AZ48" s="11" t="n">
        <f aca="false">AZ24+AZ27</f>
        <v>14</v>
      </c>
      <c r="BA48" s="11" t="n">
        <f aca="false">BA24+BA27</f>
        <v>14</v>
      </c>
      <c r="BB48" s="11" t="n">
        <f aca="false">BB24+BB27</f>
        <v>14</v>
      </c>
      <c r="BC48" s="11" t="n">
        <f aca="false">BC24+BC27</f>
        <v>14</v>
      </c>
      <c r="BD48" s="11" t="n">
        <f aca="false">BD24+BD27</f>
        <v>14</v>
      </c>
      <c r="BE48" s="11" t="n">
        <f aca="false">BE24+BE27</f>
        <v>14</v>
      </c>
      <c r="BF48" s="11" t="n">
        <f aca="false">BF24+BF27</f>
        <v>14</v>
      </c>
      <c r="BG48" s="11" t="n">
        <f aca="false">BG24+BG27</f>
        <v>14</v>
      </c>
      <c r="BH48" s="11" t="n">
        <f aca="false">BH24+BH27</f>
        <v>14</v>
      </c>
      <c r="BI48" s="11" t="n">
        <f aca="false">BI24+BI27</f>
        <v>14</v>
      </c>
      <c r="BJ48" s="11" t="n">
        <f aca="false">BJ24+BJ27</f>
        <v>14</v>
      </c>
      <c r="BK48" s="11" t="n">
        <f aca="false">BK24+BK27</f>
        <v>14</v>
      </c>
      <c r="BL48" s="11" t="n">
        <f aca="false">BL24+BL27</f>
        <v>14</v>
      </c>
      <c r="BM48" s="11" t="n">
        <f aca="false">BM24+BM27</f>
        <v>14</v>
      </c>
      <c r="BN48" s="11" t="n">
        <f aca="false">BN24+BN27</f>
        <v>14</v>
      </c>
      <c r="BO48" s="11" t="n">
        <f aca="false">BO24+BO27</f>
        <v>14</v>
      </c>
      <c r="BP48" s="11" t="n">
        <f aca="false">BP24+BP27</f>
        <v>14</v>
      </c>
      <c r="BQ48" s="11" t="n">
        <f aca="false">BQ24+BQ27</f>
        <v>14</v>
      </c>
      <c r="BR48" s="11" t="n">
        <f aca="false">BR24+BR27</f>
        <v>14</v>
      </c>
      <c r="BS48" s="11" t="n">
        <f aca="false">BS24+BS27</f>
        <v>14</v>
      </c>
      <c r="BT48" s="11" t="n">
        <f aca="false">BT24+BT27</f>
        <v>14</v>
      </c>
      <c r="BU48" s="11" t="n">
        <f aca="false">BU24+BU27</f>
        <v>14</v>
      </c>
      <c r="BV48" s="11" t="n">
        <f aca="false">BV24+BV27</f>
        <v>14</v>
      </c>
      <c r="BW48" s="11" t="n">
        <f aca="false">BW24+BW27</f>
        <v>14</v>
      </c>
      <c r="BX48" s="11" t="n">
        <f aca="false">BX24+BX27</f>
        <v>14</v>
      </c>
      <c r="BY48" s="11" t="n">
        <f aca="false">BY24+BY27</f>
        <v>14</v>
      </c>
      <c r="BZ48" s="11" t="n">
        <f aca="false">BZ24+BZ27</f>
        <v>14</v>
      </c>
      <c r="CA48" s="11" t="n">
        <f aca="false">CA24+CA27</f>
        <v>14</v>
      </c>
      <c r="CB48" s="11" t="n">
        <f aca="false">CB24+CB27</f>
        <v>14</v>
      </c>
      <c r="CC48" s="11" t="n">
        <f aca="false">CC24+CC27</f>
        <v>14</v>
      </c>
      <c r="CD48" s="11" t="n">
        <f aca="false">CD24+CD27</f>
        <v>14</v>
      </c>
      <c r="CE48" s="11" t="n">
        <f aca="false">CE24+CE27</f>
        <v>14</v>
      </c>
      <c r="CF48" s="11" t="n">
        <f aca="false">CF24+CF27</f>
        <v>14</v>
      </c>
      <c r="CG48" s="11" t="n">
        <f aca="false">CG24+CG27</f>
        <v>14</v>
      </c>
      <c r="CH48" s="11" t="n">
        <f aca="false">CH24+CH27</f>
        <v>14</v>
      </c>
      <c r="CI48" s="11" t="n">
        <f aca="false">CI24+CI27</f>
        <v>14</v>
      </c>
      <c r="CJ48" s="11" t="n">
        <f aca="false">CJ24+CJ27</f>
        <v>14</v>
      </c>
      <c r="CK48" s="11" t="n">
        <f aca="false">CK24+CK27</f>
        <v>14</v>
      </c>
      <c r="CL48" s="11" t="n">
        <f aca="false">CL24+CL27</f>
        <v>14</v>
      </c>
      <c r="CM48" s="11" t="n">
        <f aca="false">CM24+CM27</f>
        <v>14</v>
      </c>
      <c r="CN48" s="11" t="n">
        <f aca="false">CN24+CN27</f>
        <v>14</v>
      </c>
      <c r="CO48" s="11" t="n">
        <f aca="false">CO24+CO27</f>
        <v>14</v>
      </c>
      <c r="CP48" s="11" t="n">
        <f aca="false">CP24+CP27</f>
        <v>14</v>
      </c>
      <c r="CQ48" s="11" t="n">
        <f aca="false">CQ24+CQ27</f>
        <v>14</v>
      </c>
      <c r="CR48" s="11" t="n">
        <f aca="false">CR24+CR27</f>
        <v>14</v>
      </c>
      <c r="CS48" s="11" t="n">
        <f aca="false">CS24+CS27</f>
        <v>14</v>
      </c>
      <c r="CT48" s="11" t="n">
        <f aca="false">CT24+CT27</f>
        <v>14</v>
      </c>
      <c r="CU48" s="11" t="n">
        <f aca="false">CU24+CU27</f>
        <v>14</v>
      </c>
      <c r="CV48" s="11" t="n">
        <f aca="false">CV24+CV27</f>
        <v>14</v>
      </c>
      <c r="CW48" s="11" t="n">
        <f aca="false">CW24+CW27</f>
        <v>14</v>
      </c>
      <c r="CX48" s="11" t="n">
        <f aca="false">CX24+CX27</f>
        <v>14</v>
      </c>
      <c r="CY48" s="11" t="n">
        <f aca="false">CY24+CY27</f>
        <v>14</v>
      </c>
      <c r="CZ48" s="11" t="n">
        <f aca="false">CZ24+CZ27</f>
        <v>14</v>
      </c>
      <c r="DA48" s="11" t="n">
        <f aca="false">DA24+DA27</f>
        <v>14</v>
      </c>
      <c r="DB48" s="11" t="n">
        <f aca="false">DB24+DB27</f>
        <v>14</v>
      </c>
      <c r="DC48" s="11" t="n">
        <f aca="false">DC24+DC27</f>
        <v>14</v>
      </c>
      <c r="DD48" s="11" t="n">
        <f aca="false">DD24+DD27</f>
        <v>14</v>
      </c>
      <c r="DE48" s="11" t="n">
        <f aca="false">DE24+DE27</f>
        <v>14</v>
      </c>
      <c r="DF48" s="11" t="n">
        <f aca="false">DF24+DF27</f>
        <v>14</v>
      </c>
      <c r="DG48" s="11" t="n">
        <f aca="false">DG24+DG27</f>
        <v>14</v>
      </c>
      <c r="DH48" s="11" t="n">
        <f aca="false">DH24+DH27</f>
        <v>14</v>
      </c>
      <c r="DI48" s="11" t="n">
        <f aca="false">DI24+DI27</f>
        <v>14</v>
      </c>
      <c r="DJ48" s="11" t="n">
        <f aca="false">DJ24+DJ27</f>
        <v>14</v>
      </c>
      <c r="DK48" s="11" t="n">
        <f aca="false">DK24+DK27</f>
        <v>14</v>
      </c>
      <c r="DL48" s="11" t="n">
        <f aca="false">DL24+DL27</f>
        <v>14</v>
      </c>
      <c r="DM48" s="11" t="n">
        <f aca="false">DM24+DM27</f>
        <v>14</v>
      </c>
      <c r="DN48" s="11" t="n">
        <f aca="false">DN24+DN27</f>
        <v>14</v>
      </c>
      <c r="DO48" s="11" t="n">
        <f aca="false">DO24+DO27</f>
        <v>14</v>
      </c>
      <c r="DP48" s="11" t="n">
        <f aca="false">DP24+DP27</f>
        <v>14</v>
      </c>
      <c r="DQ48" s="11" t="n">
        <f aca="false">DQ24+DQ27</f>
        <v>14</v>
      </c>
      <c r="DR48" s="11" t="n">
        <f aca="false">DR24+DR27</f>
        <v>14</v>
      </c>
    </row>
    <row r="49" customFormat="false" ht="15" hidden="false" customHeight="false" outlineLevel="0" collapsed="false">
      <c r="A49" s="9" t="s">
        <v>217</v>
      </c>
      <c r="B49" s="11" t="n">
        <f aca="false">B47-B48</f>
        <v>25</v>
      </c>
      <c r="C49" s="11" t="n">
        <f aca="false">C47-C48</f>
        <v>0</v>
      </c>
      <c r="D49" s="11" t="n">
        <f aca="false">D47-D48</f>
        <v>0</v>
      </c>
      <c r="E49" s="11" t="n">
        <f aca="false">E47-E48</f>
        <v>0</v>
      </c>
      <c r="F49" s="11" t="n">
        <f aca="false">F47-F48</f>
        <v>0</v>
      </c>
      <c r="G49" s="11" t="n">
        <f aca="false">G47-G48</f>
        <v>0</v>
      </c>
      <c r="H49" s="11" t="n">
        <f aca="false">H47-H48</f>
        <v>-6</v>
      </c>
      <c r="I49" s="11" t="n">
        <f aca="false">I47-I48</f>
        <v>-6</v>
      </c>
      <c r="J49" s="11" t="n">
        <f aca="false">J47-J48</f>
        <v>-6</v>
      </c>
      <c r="K49" s="11" t="n">
        <f aca="false">K47-K48</f>
        <v>15</v>
      </c>
      <c r="L49" s="11" t="n">
        <f aca="false">L47-L48</f>
        <v>-10</v>
      </c>
      <c r="M49" s="11" t="n">
        <f aca="false">M47-M48</f>
        <v>-10</v>
      </c>
      <c r="N49" s="11" t="n">
        <f aca="false">N47-N48</f>
        <v>-14</v>
      </c>
      <c r="O49" s="11" t="n">
        <f aca="false">O47-O48</f>
        <v>-14</v>
      </c>
      <c r="P49" s="11" t="n">
        <f aca="false">P47-P48</f>
        <v>-14</v>
      </c>
      <c r="Q49" s="11" t="n">
        <f aca="false">Q47-Q48</f>
        <v>-14</v>
      </c>
      <c r="R49" s="11" t="n">
        <f aca="false">R47-R48</f>
        <v>-14</v>
      </c>
      <c r="S49" s="11" t="n">
        <f aca="false">S47-S48</f>
        <v>-14</v>
      </c>
      <c r="T49" s="11" t="n">
        <f aca="false">T47-T48</f>
        <v>-14</v>
      </c>
      <c r="U49" s="11" t="n">
        <f aca="false">U47-U48</f>
        <v>-14</v>
      </c>
      <c r="V49" s="11" t="n">
        <f aca="false">V47-V48</f>
        <v>-14</v>
      </c>
      <c r="W49" s="11" t="n">
        <f aca="false">W47-W48</f>
        <v>-14</v>
      </c>
      <c r="X49" s="11" t="n">
        <f aca="false">X47-X48</f>
        <v>-14</v>
      </c>
      <c r="Y49" s="11" t="n">
        <f aca="false">Y47-Y48</f>
        <v>-14</v>
      </c>
      <c r="Z49" s="11" t="n">
        <f aca="false">Z47-Z48</f>
        <v>-14</v>
      </c>
      <c r="AA49" s="11" t="n">
        <f aca="false">AA47-AA48</f>
        <v>-14</v>
      </c>
      <c r="AB49" s="11" t="n">
        <f aca="false">AB47-AB48</f>
        <v>-14</v>
      </c>
      <c r="AC49" s="11" t="n">
        <f aca="false">AC47-AC48</f>
        <v>-14</v>
      </c>
      <c r="AD49" s="11" t="n">
        <f aca="false">AD47-AD48</f>
        <v>-14</v>
      </c>
      <c r="AE49" s="11" t="n">
        <f aca="false">AE47-AE48</f>
        <v>-14</v>
      </c>
      <c r="AF49" s="11" t="n">
        <f aca="false">AF47-AF48</f>
        <v>-14</v>
      </c>
      <c r="AG49" s="11" t="n">
        <f aca="false">AG47-AG48</f>
        <v>-14</v>
      </c>
      <c r="AH49" s="11" t="n">
        <f aca="false">AH47-AH48</f>
        <v>-14</v>
      </c>
      <c r="AI49" s="11" t="n">
        <f aca="false">AI47-AI48</f>
        <v>-14</v>
      </c>
      <c r="AJ49" s="11" t="n">
        <f aca="false">AJ47-AJ48</f>
        <v>-14</v>
      </c>
      <c r="AK49" s="11" t="n">
        <f aca="false">AK47-AK48</f>
        <v>-14</v>
      </c>
      <c r="AL49" s="11" t="n">
        <f aca="false">AL47-AL48</f>
        <v>-14</v>
      </c>
      <c r="AM49" s="11" t="n">
        <f aca="false">AM47-AM48</f>
        <v>-14</v>
      </c>
      <c r="AN49" s="11" t="n">
        <f aca="false">AN47-AN48</f>
        <v>-14</v>
      </c>
      <c r="AO49" s="11" t="n">
        <f aca="false">AO47-AO48</f>
        <v>-14</v>
      </c>
      <c r="AP49" s="11" t="n">
        <f aca="false">AP47-AP48</f>
        <v>-14</v>
      </c>
      <c r="AQ49" s="11" t="n">
        <f aca="false">AQ47-AQ48</f>
        <v>-14</v>
      </c>
      <c r="AR49" s="11" t="n">
        <f aca="false">AR47-AR48</f>
        <v>-14</v>
      </c>
      <c r="AS49" s="11" t="n">
        <f aca="false">AS47-AS48</f>
        <v>-14</v>
      </c>
      <c r="AT49" s="11" t="n">
        <f aca="false">AT47-AT48</f>
        <v>-14</v>
      </c>
      <c r="AU49" s="11" t="n">
        <f aca="false">AU47-AU48</f>
        <v>-14</v>
      </c>
      <c r="AV49" s="11" t="n">
        <f aca="false">AV47-AV48</f>
        <v>-14</v>
      </c>
      <c r="AW49" s="11" t="n">
        <f aca="false">AW47-AW48</f>
        <v>-14</v>
      </c>
      <c r="AX49" s="11" t="n">
        <f aca="false">AX47-AX48</f>
        <v>-14</v>
      </c>
      <c r="AY49" s="11" t="n">
        <f aca="false">AY47-AY48</f>
        <v>-14</v>
      </c>
      <c r="AZ49" s="11" t="n">
        <f aca="false">AZ47-AZ48</f>
        <v>-14</v>
      </c>
      <c r="BA49" s="11" t="n">
        <f aca="false">BA47-BA48</f>
        <v>-14</v>
      </c>
      <c r="BB49" s="11" t="n">
        <f aca="false">BB47-BB48</f>
        <v>-14</v>
      </c>
      <c r="BC49" s="11" t="n">
        <f aca="false">BC47-BC48</f>
        <v>-14</v>
      </c>
      <c r="BD49" s="11" t="n">
        <f aca="false">BD47-BD48</f>
        <v>-14</v>
      </c>
      <c r="BE49" s="11" t="n">
        <f aca="false">BE47-BE48</f>
        <v>-14</v>
      </c>
      <c r="BF49" s="11" t="n">
        <f aca="false">BF47-BF48</f>
        <v>-14</v>
      </c>
      <c r="BG49" s="11" t="n">
        <f aca="false">BG47-BG48</f>
        <v>-14</v>
      </c>
      <c r="BH49" s="11" t="n">
        <f aca="false">BH47-BH48</f>
        <v>-14</v>
      </c>
      <c r="BI49" s="11" t="n">
        <f aca="false">BI47-BI48</f>
        <v>-14</v>
      </c>
      <c r="BJ49" s="11" t="n">
        <f aca="false">BJ47-BJ48</f>
        <v>-14</v>
      </c>
      <c r="BK49" s="11" t="n">
        <f aca="false">BK47-BK48</f>
        <v>-14</v>
      </c>
      <c r="BL49" s="11" t="n">
        <f aca="false">BL47-BL48</f>
        <v>-14</v>
      </c>
      <c r="BM49" s="11" t="n">
        <f aca="false">BM47-BM48</f>
        <v>-14</v>
      </c>
      <c r="BN49" s="11" t="n">
        <f aca="false">BN47-BN48</f>
        <v>-14</v>
      </c>
      <c r="BO49" s="11" t="n">
        <f aca="false">BO47-BO48</f>
        <v>-14</v>
      </c>
      <c r="BP49" s="11" t="n">
        <f aca="false">BP47-BP48</f>
        <v>-14</v>
      </c>
      <c r="BQ49" s="11" t="n">
        <f aca="false">BQ47-BQ48</f>
        <v>-14</v>
      </c>
      <c r="BR49" s="11" t="n">
        <f aca="false">BR47-BR48</f>
        <v>-14</v>
      </c>
      <c r="BS49" s="11" t="n">
        <f aca="false">BS47-BS48</f>
        <v>-14</v>
      </c>
      <c r="BT49" s="11" t="n">
        <f aca="false">BT47-BT48</f>
        <v>-14</v>
      </c>
      <c r="BU49" s="11" t="n">
        <f aca="false">BU47-BU48</f>
        <v>-14</v>
      </c>
      <c r="BV49" s="11" t="n">
        <f aca="false">BV47-BV48</f>
        <v>-14</v>
      </c>
      <c r="BW49" s="11" t="n">
        <f aca="false">BW47-BW48</f>
        <v>-14</v>
      </c>
      <c r="BX49" s="11" t="n">
        <f aca="false">BX47-BX48</f>
        <v>-14</v>
      </c>
      <c r="BY49" s="11" t="n">
        <f aca="false">BY47-BY48</f>
        <v>-14</v>
      </c>
      <c r="BZ49" s="11" t="n">
        <f aca="false">BZ47-BZ48</f>
        <v>-14</v>
      </c>
      <c r="CA49" s="11" t="n">
        <f aca="false">CA47-CA48</f>
        <v>-14</v>
      </c>
      <c r="CB49" s="11" t="n">
        <f aca="false">CB47-CB48</f>
        <v>-14</v>
      </c>
      <c r="CC49" s="11" t="n">
        <f aca="false">CC47-CC48</f>
        <v>-14</v>
      </c>
      <c r="CD49" s="11" t="n">
        <f aca="false">CD47-CD48</f>
        <v>-14</v>
      </c>
      <c r="CE49" s="11" t="n">
        <f aca="false">CE47-CE48</f>
        <v>-14</v>
      </c>
      <c r="CF49" s="11" t="n">
        <f aca="false">CF47-CF48</f>
        <v>-14</v>
      </c>
      <c r="CG49" s="11" t="n">
        <f aca="false">CG47-CG48</f>
        <v>-14</v>
      </c>
      <c r="CH49" s="11" t="n">
        <f aca="false">CH47-CH48</f>
        <v>-14</v>
      </c>
      <c r="CI49" s="11" t="n">
        <f aca="false">CI47-CI48</f>
        <v>-14</v>
      </c>
      <c r="CJ49" s="11" t="n">
        <f aca="false">CJ47-CJ48</f>
        <v>-14</v>
      </c>
      <c r="CK49" s="11" t="n">
        <f aca="false">CK47-CK48</f>
        <v>-14</v>
      </c>
      <c r="CL49" s="11" t="n">
        <f aca="false">CL47-CL48</f>
        <v>-14</v>
      </c>
      <c r="CM49" s="11" t="n">
        <f aca="false">CM47-CM48</f>
        <v>-14</v>
      </c>
      <c r="CN49" s="11" t="n">
        <f aca="false">CN47-CN48</f>
        <v>-14</v>
      </c>
      <c r="CO49" s="11" t="n">
        <f aca="false">CO47-CO48</f>
        <v>-14</v>
      </c>
      <c r="CP49" s="11" t="n">
        <f aca="false">CP47-CP48</f>
        <v>-14</v>
      </c>
      <c r="CQ49" s="11" t="n">
        <f aca="false">CQ47-CQ48</f>
        <v>-14</v>
      </c>
      <c r="CR49" s="11" t="n">
        <f aca="false">CR47-CR48</f>
        <v>-14</v>
      </c>
      <c r="CS49" s="11" t="n">
        <f aca="false">CS47-CS48</f>
        <v>-14</v>
      </c>
      <c r="CT49" s="11" t="n">
        <f aca="false">CT47-CT48</f>
        <v>-14</v>
      </c>
      <c r="CU49" s="11" t="n">
        <f aca="false">CU47-CU48</f>
        <v>-14</v>
      </c>
      <c r="CV49" s="11" t="n">
        <f aca="false">CV47-CV48</f>
        <v>-14</v>
      </c>
      <c r="CW49" s="11" t="n">
        <f aca="false">CW47-CW48</f>
        <v>-14</v>
      </c>
      <c r="CX49" s="11" t="n">
        <f aca="false">CX47-CX48</f>
        <v>-14</v>
      </c>
      <c r="CY49" s="11" t="n">
        <f aca="false">CY47-CY48</f>
        <v>-14</v>
      </c>
      <c r="CZ49" s="11" t="n">
        <f aca="false">CZ47-CZ48</f>
        <v>-14</v>
      </c>
      <c r="DA49" s="11" t="n">
        <f aca="false">DA47-DA48</f>
        <v>-14</v>
      </c>
      <c r="DB49" s="11" t="n">
        <f aca="false">DB47-DB48</f>
        <v>-14</v>
      </c>
      <c r="DC49" s="11" t="n">
        <f aca="false">DC47-DC48</f>
        <v>-14</v>
      </c>
      <c r="DD49" s="11" t="n">
        <f aca="false">DD47-DD48</f>
        <v>-14</v>
      </c>
      <c r="DE49" s="11" t="n">
        <f aca="false">DE47-DE48</f>
        <v>-14</v>
      </c>
      <c r="DF49" s="11" t="n">
        <f aca="false">DF47-DF48</f>
        <v>-14</v>
      </c>
      <c r="DG49" s="11" t="n">
        <f aca="false">DG47-DG48</f>
        <v>-14</v>
      </c>
      <c r="DH49" s="11" t="n">
        <f aca="false">DH47-DH48</f>
        <v>-14</v>
      </c>
      <c r="DI49" s="11" t="n">
        <f aca="false">DI47-DI48</f>
        <v>-14</v>
      </c>
      <c r="DJ49" s="11" t="n">
        <f aca="false">DJ47-DJ48</f>
        <v>-14</v>
      </c>
      <c r="DK49" s="11" t="n">
        <f aca="false">DK47-DK48</f>
        <v>-14</v>
      </c>
      <c r="DL49" s="11" t="n">
        <f aca="false">DL47-DL48</f>
        <v>-14</v>
      </c>
      <c r="DM49" s="11" t="n">
        <f aca="false">DM47-DM48</f>
        <v>-14</v>
      </c>
      <c r="DN49" s="11" t="n">
        <f aca="false">DN47-DN48</f>
        <v>-14</v>
      </c>
      <c r="DO49" s="11" t="n">
        <f aca="false">DO47-DO48</f>
        <v>-14</v>
      </c>
      <c r="DP49" s="11" t="n">
        <f aca="false">DP47-DP48</f>
        <v>-14</v>
      </c>
      <c r="DQ49" s="11" t="n">
        <f aca="false">DQ47-DQ48</f>
        <v>-14</v>
      </c>
      <c r="DR49" s="11" t="n">
        <f aca="false">DR47-DR48</f>
        <v>-14</v>
      </c>
    </row>
    <row r="50" customFormat="false" ht="15" hidden="false" customHeight="false" outlineLevel="0" collapsed="false">
      <c r="A50" s="9" t="s">
        <v>218</v>
      </c>
      <c r="B50" s="11" t="n">
        <f aca="false">SUM(B45:B46)+B49</f>
        <v>25</v>
      </c>
      <c r="C50" s="11" t="n">
        <f aca="false">SUM(C45:C46)+C49</f>
        <v>-4.71666666666667</v>
      </c>
      <c r="D50" s="11" t="n">
        <f aca="false">SUM(D45:D46)+D49</f>
        <v>-4.71666666666667</v>
      </c>
      <c r="E50" s="11" t="n">
        <f aca="false">SUM(E45:E46)+E49</f>
        <v>-4.71666666666667</v>
      </c>
      <c r="F50" s="11" t="n">
        <f aca="false">SUM(F45:F46)+F49</f>
        <v>-4.71666666666667</v>
      </c>
      <c r="G50" s="11" t="n">
        <f aca="false">SUM(G45:G46)+G49</f>
        <v>-4.71666666666667</v>
      </c>
      <c r="H50" s="11" t="n">
        <f aca="false">SUM(H45:H46)+H49</f>
        <v>-4.80916666666667</v>
      </c>
      <c r="I50" s="11" t="n">
        <f aca="false">SUM(I45:I46)+I49</f>
        <v>-4.79125</v>
      </c>
      <c r="J50" s="11" t="n">
        <f aca="false">SUM(J45:J46)+J49</f>
        <v>-4.77333333333333</v>
      </c>
      <c r="K50" s="11" t="n">
        <f aca="false">SUM(K45:K46)+K49</f>
        <v>19.8845833333333</v>
      </c>
      <c r="L50" s="11" t="n">
        <f aca="false">SUM(L45:L46)+L49</f>
        <v>-5.0975</v>
      </c>
      <c r="M50" s="11" t="n">
        <f aca="false">SUM(M45:M46)+M49</f>
        <v>-5.07958333333333</v>
      </c>
      <c r="N50" s="11" t="n">
        <f aca="false">SUM(N45:N46)+N49</f>
        <v>-5.42166666666667</v>
      </c>
      <c r="O50" s="11" t="n">
        <f aca="false">SUM(O45:O46)+O49</f>
        <v>-1.77825</v>
      </c>
      <c r="P50" s="11" t="n">
        <f aca="false">SUM(P45:P46)+P49</f>
        <v>-1.7765</v>
      </c>
      <c r="Q50" s="11" t="n">
        <f aca="false">SUM(Q45:Q46)+Q49</f>
        <v>-1.77475</v>
      </c>
      <c r="R50" s="11" t="n">
        <f aca="false">SUM(R45:R46)+R49</f>
        <v>-1.773</v>
      </c>
      <c r="S50" s="11" t="n">
        <f aca="false">SUM(S45:S46)+S49</f>
        <v>-1.77125</v>
      </c>
      <c r="T50" s="11" t="n">
        <f aca="false">SUM(T45:T46)+T49</f>
        <v>-1.7695</v>
      </c>
      <c r="U50" s="11" t="n">
        <f aca="false">SUM(U45:U46)+U49</f>
        <v>-1.76775</v>
      </c>
      <c r="V50" s="11" t="n">
        <f aca="false">SUM(V45:V46)+V49</f>
        <v>-1.766</v>
      </c>
      <c r="W50" s="11" t="n">
        <f aca="false">SUM(W45:W46)+W49</f>
        <v>-1.76425</v>
      </c>
      <c r="X50" s="11" t="n">
        <f aca="false">SUM(X45:X46)+X49</f>
        <v>-1.7625</v>
      </c>
      <c r="Y50" s="11" t="n">
        <f aca="false">SUM(Y45:Y46)+Y49</f>
        <v>-1.76075</v>
      </c>
      <c r="Z50" s="11" t="n">
        <f aca="false">SUM(Z45:Z46)+Z49</f>
        <v>-1.759</v>
      </c>
      <c r="AA50" s="11" t="n">
        <f aca="false">SUM(AA45:AA46)+AA49</f>
        <v>-1.75725</v>
      </c>
      <c r="AB50" s="11" t="n">
        <f aca="false">SUM(AB45:AB46)+AB49</f>
        <v>-1.7555</v>
      </c>
      <c r="AC50" s="11" t="n">
        <f aca="false">SUM(AC45:AC46)+AC49</f>
        <v>-1.75375</v>
      </c>
      <c r="AD50" s="11" t="n">
        <f aca="false">SUM(AD45:AD46)+AD49</f>
        <v>-1.752</v>
      </c>
      <c r="AE50" s="11" t="n">
        <f aca="false">SUM(AE45:AE46)+AE49</f>
        <v>-1.75025</v>
      </c>
      <c r="AF50" s="11" t="n">
        <f aca="false">SUM(AF45:AF46)+AF49</f>
        <v>-1.7485</v>
      </c>
      <c r="AG50" s="11" t="n">
        <f aca="false">SUM(AG45:AG46)+AG49</f>
        <v>-1.74675</v>
      </c>
      <c r="AH50" s="11" t="n">
        <f aca="false">SUM(AH45:AH46)+AH49</f>
        <v>-1.745</v>
      </c>
      <c r="AI50" s="11" t="n">
        <f aca="false">SUM(AI45:AI46)+AI49</f>
        <v>-1.74325</v>
      </c>
      <c r="AJ50" s="11" t="n">
        <f aca="false">SUM(AJ45:AJ46)+AJ49</f>
        <v>-1.7415</v>
      </c>
      <c r="AK50" s="11" t="n">
        <f aca="false">SUM(AK45:AK46)+AK49</f>
        <v>-1.73975</v>
      </c>
      <c r="AL50" s="11" t="n">
        <f aca="false">SUM(AL45:AL46)+AL49</f>
        <v>-1.738</v>
      </c>
      <c r="AM50" s="11" t="n">
        <f aca="false">SUM(AM45:AM46)+AM49</f>
        <v>-1.73625</v>
      </c>
      <c r="AN50" s="11" t="n">
        <f aca="false">SUM(AN45:AN46)+AN49</f>
        <v>-1.7345</v>
      </c>
      <c r="AO50" s="11" t="n">
        <f aca="false">SUM(AO45:AO46)+AO49</f>
        <v>-1.73275</v>
      </c>
      <c r="AP50" s="11" t="n">
        <f aca="false">SUM(AP45:AP46)+AP49</f>
        <v>-1.731</v>
      </c>
      <c r="AQ50" s="11" t="n">
        <f aca="false">SUM(AQ45:AQ46)+AQ49</f>
        <v>-1.72925</v>
      </c>
      <c r="AR50" s="11" t="n">
        <f aca="false">SUM(AR45:AR46)+AR49</f>
        <v>-1.7275</v>
      </c>
      <c r="AS50" s="11" t="n">
        <f aca="false">SUM(AS45:AS46)+AS49</f>
        <v>-1.72575</v>
      </c>
      <c r="AT50" s="11" t="n">
        <f aca="false">SUM(AT45:AT46)+AT49</f>
        <v>-1.724</v>
      </c>
      <c r="AU50" s="11" t="n">
        <f aca="false">SUM(AU45:AU46)+AU49</f>
        <v>-1.72225</v>
      </c>
      <c r="AV50" s="11" t="n">
        <f aca="false">SUM(AV45:AV46)+AV49</f>
        <v>-1.7205</v>
      </c>
      <c r="AW50" s="11" t="n">
        <f aca="false">SUM(AW45:AW46)+AW49</f>
        <v>-1.71875</v>
      </c>
      <c r="AX50" s="11" t="n">
        <f aca="false">SUM(AX45:AX46)+AX49</f>
        <v>-1.717</v>
      </c>
      <c r="AY50" s="11" t="n">
        <f aca="false">SUM(AY45:AY46)+AY49</f>
        <v>-1.71525</v>
      </c>
      <c r="AZ50" s="11" t="n">
        <f aca="false">SUM(AZ45:AZ46)+AZ49</f>
        <v>-1.7135</v>
      </c>
      <c r="BA50" s="11" t="n">
        <f aca="false">SUM(BA45:BA46)+BA49</f>
        <v>-1.71175</v>
      </c>
      <c r="BB50" s="11" t="n">
        <f aca="false">SUM(BB45:BB46)+BB49</f>
        <v>-1.71</v>
      </c>
      <c r="BC50" s="11" t="n">
        <f aca="false">SUM(BC45:BC46)+BC49</f>
        <v>-1.70825</v>
      </c>
      <c r="BD50" s="11" t="n">
        <f aca="false">SUM(BD45:BD46)+BD49</f>
        <v>-1.7065</v>
      </c>
      <c r="BE50" s="11" t="n">
        <f aca="false">SUM(BE45:BE46)+BE49</f>
        <v>-1.70475</v>
      </c>
      <c r="BF50" s="11" t="n">
        <f aca="false">SUM(BF45:BF46)+BF49</f>
        <v>-1.703</v>
      </c>
      <c r="BG50" s="11" t="n">
        <f aca="false">SUM(BG45:BG46)+BG49</f>
        <v>-1.70125</v>
      </c>
      <c r="BH50" s="11" t="n">
        <f aca="false">SUM(BH45:BH46)+BH49</f>
        <v>-1.6995</v>
      </c>
      <c r="BI50" s="11" t="n">
        <f aca="false">SUM(BI45:BI46)+BI49</f>
        <v>-1.69775</v>
      </c>
      <c r="BJ50" s="11" t="n">
        <f aca="false">SUM(BJ45:BJ46)+BJ49</f>
        <v>-1.696</v>
      </c>
      <c r="BK50" s="11" t="n">
        <f aca="false">SUM(BK45:BK46)+BK49</f>
        <v>-1.71216666666667</v>
      </c>
      <c r="BL50" s="11" t="n">
        <f aca="false">SUM(BL45:BL46)+BL49</f>
        <v>-1.72833333333333</v>
      </c>
      <c r="BM50" s="11" t="n">
        <f aca="false">SUM(BM45:BM46)+BM49</f>
        <v>-1.7445</v>
      </c>
      <c r="BN50" s="11" t="n">
        <f aca="false">SUM(BN45:BN46)+BN49</f>
        <v>-1.76066666666667</v>
      </c>
      <c r="BO50" s="11" t="n">
        <f aca="false">SUM(BO45:BO46)+BO49</f>
        <v>-1.77683333333334</v>
      </c>
      <c r="BP50" s="11" t="n">
        <f aca="false">SUM(BP45:BP46)+BP49</f>
        <v>-1.793</v>
      </c>
      <c r="BQ50" s="11" t="n">
        <f aca="false">SUM(BQ45:BQ46)+BQ49</f>
        <v>-1.80916666666667</v>
      </c>
      <c r="BR50" s="11" t="n">
        <f aca="false">SUM(BR45:BR46)+BR49</f>
        <v>-1.82533333333333</v>
      </c>
      <c r="BS50" s="11" t="n">
        <f aca="false">SUM(BS45:BS46)+BS49</f>
        <v>-1.8415</v>
      </c>
      <c r="BT50" s="11" t="n">
        <f aca="false">SUM(BT45:BT46)+BT49</f>
        <v>-1.85766666666667</v>
      </c>
      <c r="BU50" s="11" t="n">
        <f aca="false">SUM(BU45:BU46)+BU49</f>
        <v>-1.87383333333334</v>
      </c>
      <c r="BV50" s="11" t="n">
        <f aca="false">SUM(BV45:BV46)+BV49</f>
        <v>-1.89</v>
      </c>
      <c r="BW50" s="11" t="n">
        <f aca="false">SUM(BW45:BW46)+BW49</f>
        <v>-1.89</v>
      </c>
      <c r="BX50" s="11" t="n">
        <f aca="false">SUM(BX45:BX46)+BX49</f>
        <v>-1.89</v>
      </c>
      <c r="BY50" s="11" t="n">
        <f aca="false">SUM(BY45:BY46)+BY49</f>
        <v>-1.89</v>
      </c>
      <c r="BZ50" s="11" t="n">
        <f aca="false">SUM(BZ45:BZ46)+BZ49</f>
        <v>-1.89</v>
      </c>
      <c r="CA50" s="11" t="n">
        <f aca="false">SUM(CA45:CA46)+CA49</f>
        <v>-1.89</v>
      </c>
      <c r="CB50" s="11" t="n">
        <f aca="false">SUM(CB45:CB46)+CB49</f>
        <v>-1.89</v>
      </c>
      <c r="CC50" s="11" t="n">
        <f aca="false">SUM(CC45:CC46)+CC49</f>
        <v>-1.89</v>
      </c>
      <c r="CD50" s="11" t="n">
        <f aca="false">SUM(CD45:CD46)+CD49</f>
        <v>-1.89</v>
      </c>
      <c r="CE50" s="11" t="n">
        <f aca="false">SUM(CE45:CE46)+CE49</f>
        <v>-1.89</v>
      </c>
      <c r="CF50" s="11" t="n">
        <f aca="false">SUM(CF45:CF46)+CF49</f>
        <v>-1.89</v>
      </c>
      <c r="CG50" s="11" t="n">
        <f aca="false">SUM(CG45:CG46)+CG49</f>
        <v>-1.89</v>
      </c>
      <c r="CH50" s="11" t="n">
        <f aca="false">SUM(CH45:CH46)+CH49</f>
        <v>-1.89</v>
      </c>
      <c r="CI50" s="11" t="n">
        <f aca="false">SUM(CI45:CI46)+CI49</f>
        <v>-1.89</v>
      </c>
      <c r="CJ50" s="11" t="n">
        <f aca="false">SUM(CJ45:CJ46)+CJ49</f>
        <v>-1.89</v>
      </c>
      <c r="CK50" s="11" t="n">
        <f aca="false">SUM(CK45:CK46)+CK49</f>
        <v>-1.89</v>
      </c>
      <c r="CL50" s="11" t="n">
        <f aca="false">SUM(CL45:CL46)+CL49</f>
        <v>-1.89</v>
      </c>
      <c r="CM50" s="11" t="n">
        <f aca="false">SUM(CM45:CM46)+CM49</f>
        <v>-1.89</v>
      </c>
      <c r="CN50" s="11" t="n">
        <f aca="false">SUM(CN45:CN46)+CN49</f>
        <v>-1.89</v>
      </c>
      <c r="CO50" s="11" t="n">
        <f aca="false">SUM(CO45:CO46)+CO49</f>
        <v>-1.89</v>
      </c>
      <c r="CP50" s="11" t="n">
        <f aca="false">SUM(CP45:CP46)+CP49</f>
        <v>-1.89</v>
      </c>
      <c r="CQ50" s="11" t="n">
        <f aca="false">SUM(CQ45:CQ46)+CQ49</f>
        <v>-1.89</v>
      </c>
      <c r="CR50" s="11" t="n">
        <f aca="false">SUM(CR45:CR46)+CR49</f>
        <v>-1.89</v>
      </c>
      <c r="CS50" s="11" t="n">
        <f aca="false">SUM(CS45:CS46)+CS49</f>
        <v>-1.89</v>
      </c>
      <c r="CT50" s="11" t="n">
        <f aca="false">SUM(CT45:CT46)+CT49</f>
        <v>-1.89</v>
      </c>
      <c r="CU50" s="11" t="n">
        <f aca="false">SUM(CU45:CU46)+CU49</f>
        <v>-1.89</v>
      </c>
      <c r="CV50" s="11" t="n">
        <f aca="false">SUM(CV45:CV46)+CV49</f>
        <v>-1.89</v>
      </c>
      <c r="CW50" s="11" t="n">
        <f aca="false">SUM(CW45:CW46)+CW49</f>
        <v>-1.89</v>
      </c>
      <c r="CX50" s="11" t="n">
        <f aca="false">SUM(CX45:CX46)+CX49</f>
        <v>-1.89</v>
      </c>
      <c r="CY50" s="11" t="n">
        <f aca="false">SUM(CY45:CY46)+CY49</f>
        <v>-1.89</v>
      </c>
      <c r="CZ50" s="11" t="n">
        <f aca="false">SUM(CZ45:CZ46)+CZ49</f>
        <v>-1.89</v>
      </c>
      <c r="DA50" s="11" t="n">
        <f aca="false">SUM(DA45:DA46)+DA49</f>
        <v>-1.89</v>
      </c>
      <c r="DB50" s="11" t="n">
        <f aca="false">SUM(DB45:DB46)+DB49</f>
        <v>-1.89</v>
      </c>
      <c r="DC50" s="11" t="n">
        <f aca="false">SUM(DC45:DC46)+DC49</f>
        <v>-1.89</v>
      </c>
      <c r="DD50" s="11" t="n">
        <f aca="false">SUM(DD45:DD46)+DD49</f>
        <v>-1.89</v>
      </c>
      <c r="DE50" s="11" t="n">
        <f aca="false">SUM(DE45:DE46)+DE49</f>
        <v>-1.89</v>
      </c>
      <c r="DF50" s="11" t="n">
        <f aca="false">SUM(DF45:DF46)+DF49</f>
        <v>-1.89</v>
      </c>
      <c r="DG50" s="11" t="n">
        <f aca="false">SUM(DG45:DG46)+DG49</f>
        <v>-1.89</v>
      </c>
      <c r="DH50" s="11" t="n">
        <f aca="false">SUM(DH45:DH46)+DH49</f>
        <v>-1.89</v>
      </c>
      <c r="DI50" s="11" t="n">
        <f aca="false">SUM(DI45:DI46)+DI49</f>
        <v>-1.89</v>
      </c>
      <c r="DJ50" s="11" t="n">
        <f aca="false">SUM(DJ45:DJ46)+DJ49</f>
        <v>-1.89</v>
      </c>
      <c r="DK50" s="11" t="n">
        <f aca="false">SUM(DK45:DK46)+DK49</f>
        <v>-1.89</v>
      </c>
      <c r="DL50" s="11" t="n">
        <f aca="false">SUM(DL45:DL46)+DL49</f>
        <v>-1.89</v>
      </c>
      <c r="DM50" s="11" t="n">
        <f aca="false">SUM(DM45:DM46)+DM49</f>
        <v>-1.89</v>
      </c>
      <c r="DN50" s="11" t="n">
        <f aca="false">SUM(DN45:DN46)+DN49</f>
        <v>-1.89</v>
      </c>
      <c r="DO50" s="11" t="n">
        <f aca="false">SUM(DO45:DO46)+DO49</f>
        <v>-1.89</v>
      </c>
      <c r="DP50" s="11" t="n">
        <f aca="false">SUM(DP45:DP46)+DP49</f>
        <v>-1.89</v>
      </c>
      <c r="DQ50" s="11" t="n">
        <f aca="false">SUM(DQ45:DQ46)+DQ49</f>
        <v>-1.89</v>
      </c>
      <c r="DR50" s="11" t="n">
        <f aca="false">SUM(DR45:DR46)+DR49</f>
        <v>-1.89</v>
      </c>
    </row>
    <row r="51" customFormat="false" ht="15" hidden="false" customHeight="false" outlineLevel="0" collapsed="false">
      <c r="A51" s="9" t="s">
        <v>219</v>
      </c>
      <c r="B51" s="10" t="n">
        <f aca="false">Inputs!$B$34</f>
        <v>0</v>
      </c>
      <c r="C51" s="11" t="n">
        <f aca="false">B52</f>
        <v>25</v>
      </c>
      <c r="D51" s="11" t="n">
        <f aca="false">C52</f>
        <v>20.2833333333333</v>
      </c>
      <c r="E51" s="11" t="n">
        <f aca="false">D52</f>
        <v>15.5666666666667</v>
      </c>
      <c r="F51" s="11" t="n">
        <f aca="false">E52</f>
        <v>10.85</v>
      </c>
      <c r="G51" s="11" t="n">
        <f aca="false">F52</f>
        <v>6.13333333333333</v>
      </c>
      <c r="H51" s="11" t="n">
        <f aca="false">G52</f>
        <v>1.41666666666666</v>
      </c>
      <c r="I51" s="11" t="n">
        <f aca="false">H52</f>
        <v>-3.3925</v>
      </c>
      <c r="J51" s="11" t="n">
        <f aca="false">I52</f>
        <v>-8.18375</v>
      </c>
      <c r="K51" s="11" t="n">
        <f aca="false">J52</f>
        <v>-12.9570833333333</v>
      </c>
      <c r="L51" s="11" t="n">
        <f aca="false">K52</f>
        <v>6.9275</v>
      </c>
      <c r="M51" s="11" t="n">
        <f aca="false">L52</f>
        <v>1.83</v>
      </c>
      <c r="N51" s="11" t="n">
        <f aca="false">M52</f>
        <v>-3.24958333333334</v>
      </c>
      <c r="O51" s="11" t="n">
        <f aca="false">N52</f>
        <v>-8.67125</v>
      </c>
      <c r="P51" s="11" t="n">
        <f aca="false">O52</f>
        <v>-10.4495</v>
      </c>
      <c r="Q51" s="11" t="n">
        <f aca="false">P52</f>
        <v>-12.226</v>
      </c>
      <c r="R51" s="11" t="n">
        <f aca="false">Q52</f>
        <v>-14.00075</v>
      </c>
      <c r="S51" s="11" t="n">
        <f aca="false">R52</f>
        <v>-15.77375</v>
      </c>
      <c r="T51" s="11" t="n">
        <f aca="false">S52</f>
        <v>-17.545</v>
      </c>
      <c r="U51" s="11" t="n">
        <f aca="false">T52</f>
        <v>-19.3145</v>
      </c>
      <c r="V51" s="11" t="n">
        <f aca="false">U52</f>
        <v>-21.08225</v>
      </c>
      <c r="W51" s="11" t="n">
        <f aca="false">V52</f>
        <v>-22.84825</v>
      </c>
      <c r="X51" s="11" t="n">
        <f aca="false">W52</f>
        <v>-24.6125</v>
      </c>
      <c r="Y51" s="11" t="n">
        <f aca="false">X52</f>
        <v>-26.375</v>
      </c>
      <c r="Z51" s="11" t="n">
        <f aca="false">Y52</f>
        <v>-28.13575</v>
      </c>
      <c r="AA51" s="11" t="n">
        <f aca="false">Z52</f>
        <v>-29.89475</v>
      </c>
      <c r="AB51" s="11" t="n">
        <f aca="false">AA52</f>
        <v>-31.652</v>
      </c>
      <c r="AC51" s="11" t="n">
        <f aca="false">AB52</f>
        <v>-33.4075</v>
      </c>
      <c r="AD51" s="11" t="n">
        <f aca="false">AC52</f>
        <v>-35.16125</v>
      </c>
      <c r="AE51" s="11" t="n">
        <f aca="false">AD52</f>
        <v>-36.91325</v>
      </c>
      <c r="AF51" s="11" t="n">
        <f aca="false">AE52</f>
        <v>-38.6635</v>
      </c>
      <c r="AG51" s="11" t="n">
        <f aca="false">AF52</f>
        <v>-40.412</v>
      </c>
      <c r="AH51" s="11" t="n">
        <f aca="false">AG52</f>
        <v>-42.15875</v>
      </c>
      <c r="AI51" s="11" t="n">
        <f aca="false">AH52</f>
        <v>-43.90375</v>
      </c>
      <c r="AJ51" s="11" t="n">
        <f aca="false">AI52</f>
        <v>-45.647</v>
      </c>
      <c r="AK51" s="11" t="n">
        <f aca="false">AJ52</f>
        <v>-47.3885</v>
      </c>
      <c r="AL51" s="11" t="n">
        <f aca="false">AK52</f>
        <v>-49.12825</v>
      </c>
      <c r="AM51" s="11" t="n">
        <f aca="false">AL52</f>
        <v>-50.86625</v>
      </c>
      <c r="AN51" s="11" t="n">
        <f aca="false">AM52</f>
        <v>-52.6025</v>
      </c>
      <c r="AO51" s="11" t="n">
        <f aca="false">AN52</f>
        <v>-54.337</v>
      </c>
      <c r="AP51" s="11" t="n">
        <f aca="false">AO52</f>
        <v>-56.06975</v>
      </c>
      <c r="AQ51" s="11" t="n">
        <f aca="false">AP52</f>
        <v>-57.80075</v>
      </c>
      <c r="AR51" s="11" t="n">
        <f aca="false">AQ52</f>
        <v>-59.53</v>
      </c>
      <c r="AS51" s="11" t="n">
        <f aca="false">AR52</f>
        <v>-61.2575</v>
      </c>
      <c r="AT51" s="11" t="n">
        <f aca="false">AS52</f>
        <v>-62.98325</v>
      </c>
      <c r="AU51" s="11" t="n">
        <f aca="false">AT52</f>
        <v>-64.70725</v>
      </c>
      <c r="AV51" s="11" t="n">
        <f aca="false">AU52</f>
        <v>-66.4295</v>
      </c>
      <c r="AW51" s="11" t="n">
        <f aca="false">AV52</f>
        <v>-68.15</v>
      </c>
      <c r="AX51" s="11" t="n">
        <f aca="false">AW52</f>
        <v>-69.86875</v>
      </c>
      <c r="AY51" s="11" t="n">
        <f aca="false">AX52</f>
        <v>-71.58575</v>
      </c>
      <c r="AZ51" s="11" t="n">
        <f aca="false">AY52</f>
        <v>-73.301</v>
      </c>
      <c r="BA51" s="11" t="n">
        <f aca="false">AZ52</f>
        <v>-75.0145</v>
      </c>
      <c r="BB51" s="11" t="n">
        <f aca="false">BA52</f>
        <v>-76.72625</v>
      </c>
      <c r="BC51" s="11" t="n">
        <f aca="false">BB52</f>
        <v>-78.43625</v>
      </c>
      <c r="BD51" s="11" t="n">
        <f aca="false">BC52</f>
        <v>-80.1445</v>
      </c>
      <c r="BE51" s="11" t="n">
        <f aca="false">BD52</f>
        <v>-81.851</v>
      </c>
      <c r="BF51" s="11" t="n">
        <f aca="false">BE52</f>
        <v>-83.55575</v>
      </c>
      <c r="BG51" s="11" t="n">
        <f aca="false">BF52</f>
        <v>-85.25875</v>
      </c>
      <c r="BH51" s="11" t="n">
        <f aca="false">BG52</f>
        <v>-86.96</v>
      </c>
      <c r="BI51" s="11" t="n">
        <f aca="false">BH52</f>
        <v>-88.6595</v>
      </c>
      <c r="BJ51" s="11" t="n">
        <f aca="false">BI52</f>
        <v>-90.35725</v>
      </c>
      <c r="BK51" s="11" t="n">
        <f aca="false">BJ52</f>
        <v>-92.05325</v>
      </c>
      <c r="BL51" s="11" t="n">
        <f aca="false">BK52</f>
        <v>-93.7654166666667</v>
      </c>
      <c r="BM51" s="11" t="n">
        <f aca="false">BL52</f>
        <v>-95.49375</v>
      </c>
      <c r="BN51" s="11" t="n">
        <f aca="false">BM52</f>
        <v>-97.23825</v>
      </c>
      <c r="BO51" s="11" t="n">
        <f aca="false">BN52</f>
        <v>-98.9989166666667</v>
      </c>
      <c r="BP51" s="11" t="n">
        <f aca="false">BO52</f>
        <v>-100.77575</v>
      </c>
      <c r="BQ51" s="11" t="n">
        <f aca="false">BP52</f>
        <v>-102.56875</v>
      </c>
      <c r="BR51" s="11" t="n">
        <f aca="false">BQ52</f>
        <v>-104.377916666667</v>
      </c>
      <c r="BS51" s="11" t="n">
        <f aca="false">BR52</f>
        <v>-106.20325</v>
      </c>
      <c r="BT51" s="11" t="n">
        <f aca="false">BS52</f>
        <v>-108.04475</v>
      </c>
      <c r="BU51" s="11" t="n">
        <f aca="false">BT52</f>
        <v>-109.902416666667</v>
      </c>
      <c r="BV51" s="11" t="n">
        <f aca="false">BU52</f>
        <v>-111.77625</v>
      </c>
      <c r="BW51" s="11" t="n">
        <f aca="false">BV52</f>
        <v>-113.66625</v>
      </c>
      <c r="BX51" s="11" t="n">
        <f aca="false">BW52</f>
        <v>-115.55625</v>
      </c>
      <c r="BY51" s="11" t="n">
        <f aca="false">BX52</f>
        <v>-117.44625</v>
      </c>
      <c r="BZ51" s="11" t="n">
        <f aca="false">BY52</f>
        <v>-119.33625</v>
      </c>
      <c r="CA51" s="11" t="n">
        <f aca="false">BZ52</f>
        <v>-121.22625</v>
      </c>
      <c r="CB51" s="11" t="n">
        <f aca="false">CA52</f>
        <v>-123.11625</v>
      </c>
      <c r="CC51" s="11" t="n">
        <f aca="false">CB52</f>
        <v>-125.00625</v>
      </c>
      <c r="CD51" s="11" t="n">
        <f aca="false">CC52</f>
        <v>-126.89625</v>
      </c>
      <c r="CE51" s="11" t="n">
        <f aca="false">CD52</f>
        <v>-128.78625</v>
      </c>
      <c r="CF51" s="11" t="n">
        <f aca="false">CE52</f>
        <v>-130.67625</v>
      </c>
      <c r="CG51" s="11" t="n">
        <f aca="false">CF52</f>
        <v>-132.56625</v>
      </c>
      <c r="CH51" s="11" t="n">
        <f aca="false">CG52</f>
        <v>-134.45625</v>
      </c>
      <c r="CI51" s="11" t="n">
        <f aca="false">CH52</f>
        <v>-136.34625</v>
      </c>
      <c r="CJ51" s="11" t="n">
        <f aca="false">CI52</f>
        <v>-138.23625</v>
      </c>
      <c r="CK51" s="11" t="n">
        <f aca="false">CJ52</f>
        <v>-140.12625</v>
      </c>
      <c r="CL51" s="11" t="n">
        <f aca="false">CK52</f>
        <v>-142.01625</v>
      </c>
      <c r="CM51" s="11" t="n">
        <f aca="false">CL52</f>
        <v>-143.90625</v>
      </c>
      <c r="CN51" s="11" t="n">
        <f aca="false">CM52</f>
        <v>-145.79625</v>
      </c>
      <c r="CO51" s="11" t="n">
        <f aca="false">CN52</f>
        <v>-147.68625</v>
      </c>
      <c r="CP51" s="11" t="n">
        <f aca="false">CO52</f>
        <v>-149.57625</v>
      </c>
      <c r="CQ51" s="11" t="n">
        <f aca="false">CP52</f>
        <v>-151.46625</v>
      </c>
      <c r="CR51" s="11" t="n">
        <f aca="false">CQ52</f>
        <v>-153.35625</v>
      </c>
      <c r="CS51" s="11" t="n">
        <f aca="false">CR52</f>
        <v>-155.24625</v>
      </c>
      <c r="CT51" s="11" t="n">
        <f aca="false">CS52</f>
        <v>-157.13625</v>
      </c>
      <c r="CU51" s="11" t="n">
        <f aca="false">CT52</f>
        <v>-159.02625</v>
      </c>
      <c r="CV51" s="11" t="n">
        <f aca="false">CU52</f>
        <v>-160.91625</v>
      </c>
      <c r="CW51" s="11" t="n">
        <f aca="false">CV52</f>
        <v>-162.80625</v>
      </c>
      <c r="CX51" s="11" t="n">
        <f aca="false">CW52</f>
        <v>-164.69625</v>
      </c>
      <c r="CY51" s="11" t="n">
        <f aca="false">CX52</f>
        <v>-166.58625</v>
      </c>
      <c r="CZ51" s="11" t="n">
        <f aca="false">CY52</f>
        <v>-168.47625</v>
      </c>
      <c r="DA51" s="11" t="n">
        <f aca="false">CZ52</f>
        <v>-170.36625</v>
      </c>
      <c r="DB51" s="11" t="n">
        <f aca="false">DA52</f>
        <v>-172.25625</v>
      </c>
      <c r="DC51" s="11" t="n">
        <f aca="false">DB52</f>
        <v>-174.14625</v>
      </c>
      <c r="DD51" s="11" t="n">
        <f aca="false">DC52</f>
        <v>-176.03625</v>
      </c>
      <c r="DE51" s="11" t="n">
        <f aca="false">DD52</f>
        <v>-177.92625</v>
      </c>
      <c r="DF51" s="11" t="n">
        <f aca="false">DE52</f>
        <v>-179.81625</v>
      </c>
      <c r="DG51" s="11" t="n">
        <f aca="false">DF52</f>
        <v>-181.70625</v>
      </c>
      <c r="DH51" s="11" t="n">
        <f aca="false">DG52</f>
        <v>-183.59625</v>
      </c>
      <c r="DI51" s="11" t="n">
        <f aca="false">DH52</f>
        <v>-185.48625</v>
      </c>
      <c r="DJ51" s="11" t="n">
        <f aca="false">DI52</f>
        <v>-187.37625</v>
      </c>
      <c r="DK51" s="11" t="n">
        <f aca="false">DJ52</f>
        <v>-189.26625</v>
      </c>
      <c r="DL51" s="11" t="n">
        <f aca="false">DK52</f>
        <v>-191.15625</v>
      </c>
      <c r="DM51" s="11" t="n">
        <f aca="false">DL52</f>
        <v>-193.04625</v>
      </c>
      <c r="DN51" s="11" t="n">
        <f aca="false">DM52</f>
        <v>-194.93625</v>
      </c>
      <c r="DO51" s="11" t="n">
        <f aca="false">DN52</f>
        <v>-196.82625</v>
      </c>
      <c r="DP51" s="11" t="n">
        <f aca="false">DO52</f>
        <v>-198.71625</v>
      </c>
      <c r="DQ51" s="11" t="n">
        <f aca="false">DP52</f>
        <v>-200.60625</v>
      </c>
      <c r="DR51" s="11" t="n">
        <f aca="false">DQ52</f>
        <v>-202.49625</v>
      </c>
    </row>
    <row r="52" customFormat="false" ht="15" hidden="false" customHeight="false" outlineLevel="0" collapsed="false">
      <c r="A52" s="12" t="s">
        <v>220</v>
      </c>
      <c r="B52" s="13" t="n">
        <f aca="false">B51+B50</f>
        <v>25</v>
      </c>
      <c r="C52" s="13" t="n">
        <f aca="false">C51+C50</f>
        <v>20.2833333333333</v>
      </c>
      <c r="D52" s="13" t="n">
        <f aca="false">D51+D50</f>
        <v>15.5666666666667</v>
      </c>
      <c r="E52" s="13" t="n">
        <f aca="false">E51+E50</f>
        <v>10.85</v>
      </c>
      <c r="F52" s="13" t="n">
        <f aca="false">F51+F50</f>
        <v>6.13333333333333</v>
      </c>
      <c r="G52" s="13" t="n">
        <f aca="false">G51+G50</f>
        <v>1.41666666666666</v>
      </c>
      <c r="H52" s="13" t="n">
        <f aca="false">H51+H50</f>
        <v>-3.3925</v>
      </c>
      <c r="I52" s="13" t="n">
        <f aca="false">I51+I50</f>
        <v>-8.18375</v>
      </c>
      <c r="J52" s="13" t="n">
        <f aca="false">J51+J50</f>
        <v>-12.9570833333333</v>
      </c>
      <c r="K52" s="13" t="n">
        <f aca="false">K51+K50</f>
        <v>6.9275</v>
      </c>
      <c r="L52" s="13" t="n">
        <f aca="false">L51+L50</f>
        <v>1.83</v>
      </c>
      <c r="M52" s="13" t="n">
        <f aca="false">M51+M50</f>
        <v>-3.24958333333334</v>
      </c>
      <c r="N52" s="13" t="n">
        <f aca="false">N51+N50</f>
        <v>-8.67125</v>
      </c>
      <c r="O52" s="13" t="n">
        <f aca="false">O51+O50</f>
        <v>-10.4495</v>
      </c>
      <c r="P52" s="13" t="n">
        <f aca="false">P51+P50</f>
        <v>-12.226</v>
      </c>
      <c r="Q52" s="13" t="n">
        <f aca="false">Q51+Q50</f>
        <v>-14.00075</v>
      </c>
      <c r="R52" s="13" t="n">
        <f aca="false">R51+R50</f>
        <v>-15.77375</v>
      </c>
      <c r="S52" s="13" t="n">
        <f aca="false">S51+S50</f>
        <v>-17.545</v>
      </c>
      <c r="T52" s="13" t="n">
        <f aca="false">T51+T50</f>
        <v>-19.3145</v>
      </c>
      <c r="U52" s="13" t="n">
        <f aca="false">U51+U50</f>
        <v>-21.08225</v>
      </c>
      <c r="V52" s="13" t="n">
        <f aca="false">V51+V50</f>
        <v>-22.84825</v>
      </c>
      <c r="W52" s="13" t="n">
        <f aca="false">W51+W50</f>
        <v>-24.6125</v>
      </c>
      <c r="X52" s="13" t="n">
        <f aca="false">X51+X50</f>
        <v>-26.375</v>
      </c>
      <c r="Y52" s="13" t="n">
        <f aca="false">Y51+Y50</f>
        <v>-28.13575</v>
      </c>
      <c r="Z52" s="13" t="n">
        <f aca="false">Z51+Z50</f>
        <v>-29.89475</v>
      </c>
      <c r="AA52" s="13" t="n">
        <f aca="false">AA51+AA50</f>
        <v>-31.652</v>
      </c>
      <c r="AB52" s="13" t="n">
        <f aca="false">AB51+AB50</f>
        <v>-33.4075</v>
      </c>
      <c r="AC52" s="13" t="n">
        <f aca="false">AC51+AC50</f>
        <v>-35.16125</v>
      </c>
      <c r="AD52" s="13" t="n">
        <f aca="false">AD51+AD50</f>
        <v>-36.91325</v>
      </c>
      <c r="AE52" s="13" t="n">
        <f aca="false">AE51+AE50</f>
        <v>-38.6635</v>
      </c>
      <c r="AF52" s="13" t="n">
        <f aca="false">AF51+AF50</f>
        <v>-40.412</v>
      </c>
      <c r="AG52" s="13" t="n">
        <f aca="false">AG51+AG50</f>
        <v>-42.15875</v>
      </c>
      <c r="AH52" s="13" t="n">
        <f aca="false">AH51+AH50</f>
        <v>-43.90375</v>
      </c>
      <c r="AI52" s="13" t="n">
        <f aca="false">AI51+AI50</f>
        <v>-45.647</v>
      </c>
      <c r="AJ52" s="13" t="n">
        <f aca="false">AJ51+AJ50</f>
        <v>-47.3885</v>
      </c>
      <c r="AK52" s="13" t="n">
        <f aca="false">AK51+AK50</f>
        <v>-49.12825</v>
      </c>
      <c r="AL52" s="13" t="n">
        <f aca="false">AL51+AL50</f>
        <v>-50.86625</v>
      </c>
      <c r="AM52" s="13" t="n">
        <f aca="false">AM51+AM50</f>
        <v>-52.6025</v>
      </c>
      <c r="AN52" s="13" t="n">
        <f aca="false">AN51+AN50</f>
        <v>-54.337</v>
      </c>
      <c r="AO52" s="13" t="n">
        <f aca="false">AO51+AO50</f>
        <v>-56.06975</v>
      </c>
      <c r="AP52" s="13" t="n">
        <f aca="false">AP51+AP50</f>
        <v>-57.80075</v>
      </c>
      <c r="AQ52" s="13" t="n">
        <f aca="false">AQ51+AQ50</f>
        <v>-59.53</v>
      </c>
      <c r="AR52" s="13" t="n">
        <f aca="false">AR51+AR50</f>
        <v>-61.2575</v>
      </c>
      <c r="AS52" s="13" t="n">
        <f aca="false">AS51+AS50</f>
        <v>-62.98325</v>
      </c>
      <c r="AT52" s="13" t="n">
        <f aca="false">AT51+AT50</f>
        <v>-64.70725</v>
      </c>
      <c r="AU52" s="13" t="n">
        <f aca="false">AU51+AU50</f>
        <v>-66.4295</v>
      </c>
      <c r="AV52" s="13" t="n">
        <f aca="false">AV51+AV50</f>
        <v>-68.15</v>
      </c>
      <c r="AW52" s="13" t="n">
        <f aca="false">AW51+AW50</f>
        <v>-69.86875</v>
      </c>
      <c r="AX52" s="13" t="n">
        <f aca="false">AX51+AX50</f>
        <v>-71.58575</v>
      </c>
      <c r="AY52" s="13" t="n">
        <f aca="false">AY51+AY50</f>
        <v>-73.301</v>
      </c>
      <c r="AZ52" s="13" t="n">
        <f aca="false">AZ51+AZ50</f>
        <v>-75.0145</v>
      </c>
      <c r="BA52" s="13" t="n">
        <f aca="false">BA51+BA50</f>
        <v>-76.72625</v>
      </c>
      <c r="BB52" s="13" t="n">
        <f aca="false">BB51+BB50</f>
        <v>-78.43625</v>
      </c>
      <c r="BC52" s="13" t="n">
        <f aca="false">BC51+BC50</f>
        <v>-80.1445</v>
      </c>
      <c r="BD52" s="13" t="n">
        <f aca="false">BD51+BD50</f>
        <v>-81.851</v>
      </c>
      <c r="BE52" s="13" t="n">
        <f aca="false">BE51+BE50</f>
        <v>-83.55575</v>
      </c>
      <c r="BF52" s="13" t="n">
        <f aca="false">BF51+BF50</f>
        <v>-85.25875</v>
      </c>
      <c r="BG52" s="13" t="n">
        <f aca="false">BG51+BG50</f>
        <v>-86.96</v>
      </c>
      <c r="BH52" s="13" t="n">
        <f aca="false">BH51+BH50</f>
        <v>-88.6595</v>
      </c>
      <c r="BI52" s="13" t="n">
        <f aca="false">BI51+BI50</f>
        <v>-90.35725</v>
      </c>
      <c r="BJ52" s="13" t="n">
        <f aca="false">BJ51+BJ50</f>
        <v>-92.05325</v>
      </c>
      <c r="BK52" s="13" t="n">
        <f aca="false">BK51+BK50</f>
        <v>-93.7654166666667</v>
      </c>
      <c r="BL52" s="13" t="n">
        <f aca="false">BL51+BL50</f>
        <v>-95.49375</v>
      </c>
      <c r="BM52" s="13" t="n">
        <f aca="false">BM51+BM50</f>
        <v>-97.23825</v>
      </c>
      <c r="BN52" s="13" t="n">
        <f aca="false">BN51+BN50</f>
        <v>-98.9989166666667</v>
      </c>
      <c r="BO52" s="13" t="n">
        <f aca="false">BO51+BO50</f>
        <v>-100.77575</v>
      </c>
      <c r="BP52" s="13" t="n">
        <f aca="false">BP51+BP50</f>
        <v>-102.56875</v>
      </c>
      <c r="BQ52" s="13" t="n">
        <f aca="false">BQ51+BQ50</f>
        <v>-104.377916666667</v>
      </c>
      <c r="BR52" s="13" t="n">
        <f aca="false">BR51+BR50</f>
        <v>-106.20325</v>
      </c>
      <c r="BS52" s="13" t="n">
        <f aca="false">BS51+BS50</f>
        <v>-108.04475</v>
      </c>
      <c r="BT52" s="13" t="n">
        <f aca="false">BT51+BT50</f>
        <v>-109.902416666667</v>
      </c>
      <c r="BU52" s="13" t="n">
        <f aca="false">BU51+BU50</f>
        <v>-111.77625</v>
      </c>
      <c r="BV52" s="13" t="n">
        <f aca="false">BV51+BV50</f>
        <v>-113.66625</v>
      </c>
      <c r="BW52" s="13" t="n">
        <f aca="false">BW51+BW50</f>
        <v>-115.55625</v>
      </c>
      <c r="BX52" s="13" t="n">
        <f aca="false">BX51+BX50</f>
        <v>-117.44625</v>
      </c>
      <c r="BY52" s="13" t="n">
        <f aca="false">BY51+BY50</f>
        <v>-119.33625</v>
      </c>
      <c r="BZ52" s="13" t="n">
        <f aca="false">BZ51+BZ50</f>
        <v>-121.22625</v>
      </c>
      <c r="CA52" s="13" t="n">
        <f aca="false">CA51+CA50</f>
        <v>-123.11625</v>
      </c>
      <c r="CB52" s="13" t="n">
        <f aca="false">CB51+CB50</f>
        <v>-125.00625</v>
      </c>
      <c r="CC52" s="13" t="n">
        <f aca="false">CC51+CC50</f>
        <v>-126.89625</v>
      </c>
      <c r="CD52" s="13" t="n">
        <f aca="false">CD51+CD50</f>
        <v>-128.78625</v>
      </c>
      <c r="CE52" s="13" t="n">
        <f aca="false">CE51+CE50</f>
        <v>-130.67625</v>
      </c>
      <c r="CF52" s="13" t="n">
        <f aca="false">CF51+CF50</f>
        <v>-132.56625</v>
      </c>
      <c r="CG52" s="13" t="n">
        <f aca="false">CG51+CG50</f>
        <v>-134.45625</v>
      </c>
      <c r="CH52" s="13" t="n">
        <f aca="false">CH51+CH50</f>
        <v>-136.34625</v>
      </c>
      <c r="CI52" s="13" t="n">
        <f aca="false">CI51+CI50</f>
        <v>-138.23625</v>
      </c>
      <c r="CJ52" s="13" t="n">
        <f aca="false">CJ51+CJ50</f>
        <v>-140.12625</v>
      </c>
      <c r="CK52" s="13" t="n">
        <f aca="false">CK51+CK50</f>
        <v>-142.01625</v>
      </c>
      <c r="CL52" s="13" t="n">
        <f aca="false">CL51+CL50</f>
        <v>-143.90625</v>
      </c>
      <c r="CM52" s="13" t="n">
        <f aca="false">CM51+CM50</f>
        <v>-145.79625</v>
      </c>
      <c r="CN52" s="13" t="n">
        <f aca="false">CN51+CN50</f>
        <v>-147.68625</v>
      </c>
      <c r="CO52" s="13" t="n">
        <f aca="false">CO51+CO50</f>
        <v>-149.57625</v>
      </c>
      <c r="CP52" s="13" t="n">
        <f aca="false">CP51+CP50</f>
        <v>-151.46625</v>
      </c>
      <c r="CQ52" s="13" t="n">
        <f aca="false">CQ51+CQ50</f>
        <v>-153.35625</v>
      </c>
      <c r="CR52" s="13" t="n">
        <f aca="false">CR51+CR50</f>
        <v>-155.24625</v>
      </c>
      <c r="CS52" s="13" t="n">
        <f aca="false">CS51+CS50</f>
        <v>-157.13625</v>
      </c>
      <c r="CT52" s="13" t="n">
        <f aca="false">CT51+CT50</f>
        <v>-159.02625</v>
      </c>
      <c r="CU52" s="13" t="n">
        <f aca="false">CU51+CU50</f>
        <v>-160.91625</v>
      </c>
      <c r="CV52" s="13" t="n">
        <f aca="false">CV51+CV50</f>
        <v>-162.80625</v>
      </c>
      <c r="CW52" s="13" t="n">
        <f aca="false">CW51+CW50</f>
        <v>-164.69625</v>
      </c>
      <c r="CX52" s="13" t="n">
        <f aca="false">CX51+CX50</f>
        <v>-166.58625</v>
      </c>
      <c r="CY52" s="13" t="n">
        <f aca="false">CY51+CY50</f>
        <v>-168.47625</v>
      </c>
      <c r="CZ52" s="13" t="n">
        <f aca="false">CZ51+CZ50</f>
        <v>-170.36625</v>
      </c>
      <c r="DA52" s="13" t="n">
        <f aca="false">DA51+DA50</f>
        <v>-172.25625</v>
      </c>
      <c r="DB52" s="13" t="n">
        <f aca="false">DB51+DB50</f>
        <v>-174.14625</v>
      </c>
      <c r="DC52" s="13" t="n">
        <f aca="false">DC51+DC50</f>
        <v>-176.03625</v>
      </c>
      <c r="DD52" s="13" t="n">
        <f aca="false">DD51+DD50</f>
        <v>-177.92625</v>
      </c>
      <c r="DE52" s="13" t="n">
        <f aca="false">DE51+DE50</f>
        <v>-179.81625</v>
      </c>
      <c r="DF52" s="13" t="n">
        <f aca="false">DF51+DF50</f>
        <v>-181.70625</v>
      </c>
      <c r="DG52" s="13" t="n">
        <f aca="false">DG51+DG50</f>
        <v>-183.59625</v>
      </c>
      <c r="DH52" s="13" t="n">
        <f aca="false">DH51+DH50</f>
        <v>-185.48625</v>
      </c>
      <c r="DI52" s="13" t="n">
        <f aca="false">DI51+DI50</f>
        <v>-187.37625</v>
      </c>
      <c r="DJ52" s="13" t="n">
        <f aca="false">DJ51+DJ50</f>
        <v>-189.26625</v>
      </c>
      <c r="DK52" s="13" t="n">
        <f aca="false">DK51+DK50</f>
        <v>-191.15625</v>
      </c>
      <c r="DL52" s="13" t="n">
        <f aca="false">DL51+DL50</f>
        <v>-193.04625</v>
      </c>
      <c r="DM52" s="13" t="n">
        <f aca="false">DM51+DM50</f>
        <v>-194.93625</v>
      </c>
      <c r="DN52" s="13" t="n">
        <f aca="false">DN51+DN50</f>
        <v>-196.82625</v>
      </c>
      <c r="DO52" s="13" t="n">
        <f aca="false">DO51+DO50</f>
        <v>-198.71625</v>
      </c>
      <c r="DP52" s="13" t="n">
        <f aca="false">DP51+DP50</f>
        <v>-200.60625</v>
      </c>
      <c r="DQ52" s="13" t="n">
        <f aca="false">DQ51+DQ50</f>
        <v>-202.49625</v>
      </c>
      <c r="DR52" s="13" t="n">
        <f aca="false">DR51+DR50</f>
        <v>-204.38625</v>
      </c>
    </row>
    <row r="53" customFormat="false" ht="15" hidden="false" customHeight="false" outlineLevel="0" collapsed="false">
      <c r="A53" s="12" t="s">
        <v>221</v>
      </c>
      <c r="B53" s="14" t="n">
        <f aca="false">MAX(Inputs!$B$34,-B52)</f>
        <v>0</v>
      </c>
      <c r="C53" s="14" t="n">
        <f aca="false">MAX(Inputs!$B$34,-C52)</f>
        <v>0</v>
      </c>
      <c r="D53" s="14" t="n">
        <f aca="false">MAX(Inputs!$B$34,-D52)</f>
        <v>0</v>
      </c>
      <c r="E53" s="14" t="n">
        <f aca="false">MAX(Inputs!$B$34,-E52)</f>
        <v>0</v>
      </c>
      <c r="F53" s="14" t="n">
        <f aca="false">MAX(Inputs!$B$34,-F52)</f>
        <v>0</v>
      </c>
      <c r="G53" s="14" t="n">
        <f aca="false">MAX(Inputs!$B$34,-G52)</f>
        <v>0</v>
      </c>
      <c r="H53" s="14" t="n">
        <f aca="false">MAX(Inputs!$B$34,-H52)</f>
        <v>3.3925</v>
      </c>
      <c r="I53" s="14" t="n">
        <f aca="false">MAX(Inputs!$B$34,-I52)</f>
        <v>8.18375</v>
      </c>
      <c r="J53" s="14" t="n">
        <f aca="false">MAX(Inputs!$B$34,-J52)</f>
        <v>12.9570833333333</v>
      </c>
      <c r="K53" s="14" t="n">
        <f aca="false">MAX(Inputs!$B$34,-K52)</f>
        <v>0</v>
      </c>
      <c r="L53" s="14" t="n">
        <f aca="false">MAX(Inputs!$B$34,-L52)</f>
        <v>0</v>
      </c>
      <c r="M53" s="14" t="n">
        <f aca="false">MAX(Inputs!$B$34,-M52)</f>
        <v>3.24958333333334</v>
      </c>
      <c r="N53" s="14" t="n">
        <f aca="false">MAX(Inputs!$B$34,-N52)</f>
        <v>8.67125</v>
      </c>
      <c r="O53" s="14" t="n">
        <f aca="false">MAX(Inputs!$B$34,-O52)</f>
        <v>10.4495</v>
      </c>
      <c r="P53" s="14" t="n">
        <f aca="false">MAX(Inputs!$B$34,-P52)</f>
        <v>12.226</v>
      </c>
      <c r="Q53" s="14" t="n">
        <f aca="false">MAX(Inputs!$B$34,-Q52)</f>
        <v>14.00075</v>
      </c>
      <c r="R53" s="14" t="n">
        <f aca="false">MAX(Inputs!$B$34,-R52)</f>
        <v>15.77375</v>
      </c>
      <c r="S53" s="14" t="n">
        <f aca="false">MAX(Inputs!$B$34,-S52)</f>
        <v>17.545</v>
      </c>
      <c r="T53" s="14" t="n">
        <f aca="false">MAX(Inputs!$B$34,-T52)</f>
        <v>19.3145</v>
      </c>
      <c r="U53" s="14" t="n">
        <f aca="false">MAX(Inputs!$B$34,-U52)</f>
        <v>21.08225</v>
      </c>
      <c r="V53" s="14" t="n">
        <f aca="false">MAX(Inputs!$B$34,-V52)</f>
        <v>22.84825</v>
      </c>
      <c r="W53" s="14" t="n">
        <f aca="false">MAX(Inputs!$B$34,-W52)</f>
        <v>24.6125</v>
      </c>
      <c r="X53" s="14" t="n">
        <f aca="false">MAX(Inputs!$B$34,-X52)</f>
        <v>26.375</v>
      </c>
      <c r="Y53" s="14" t="n">
        <f aca="false">MAX(Inputs!$B$34,-Y52)</f>
        <v>28.13575</v>
      </c>
      <c r="Z53" s="14" t="n">
        <f aca="false">MAX(Inputs!$B$34,-Z52)</f>
        <v>29.89475</v>
      </c>
      <c r="AA53" s="14" t="n">
        <f aca="false">MAX(Inputs!$B$34,-AA52)</f>
        <v>31.652</v>
      </c>
      <c r="AB53" s="14" t="n">
        <f aca="false">MAX(Inputs!$B$34,-AB52)</f>
        <v>33.4075</v>
      </c>
      <c r="AC53" s="14" t="n">
        <f aca="false">MAX(Inputs!$B$34,-AC52)</f>
        <v>35.16125</v>
      </c>
      <c r="AD53" s="14" t="n">
        <f aca="false">MAX(Inputs!$B$34,-AD52)</f>
        <v>36.91325</v>
      </c>
      <c r="AE53" s="14" t="n">
        <f aca="false">MAX(Inputs!$B$34,-AE52)</f>
        <v>38.6635</v>
      </c>
      <c r="AF53" s="14" t="n">
        <f aca="false">MAX(Inputs!$B$34,-AF52)</f>
        <v>40.412</v>
      </c>
      <c r="AG53" s="14" t="n">
        <f aca="false">MAX(Inputs!$B$34,-AG52)</f>
        <v>42.15875</v>
      </c>
      <c r="AH53" s="14" t="n">
        <f aca="false">MAX(Inputs!$B$34,-AH52)</f>
        <v>43.90375</v>
      </c>
      <c r="AI53" s="14" t="n">
        <f aca="false">MAX(Inputs!$B$34,-AI52)</f>
        <v>45.647</v>
      </c>
      <c r="AJ53" s="14" t="n">
        <f aca="false">MAX(Inputs!$B$34,-AJ52)</f>
        <v>47.3885</v>
      </c>
      <c r="AK53" s="14" t="n">
        <f aca="false">MAX(Inputs!$B$34,-AK52)</f>
        <v>49.12825</v>
      </c>
      <c r="AL53" s="14" t="n">
        <f aca="false">MAX(Inputs!$B$34,-AL52)</f>
        <v>50.86625</v>
      </c>
      <c r="AM53" s="14" t="n">
        <f aca="false">MAX(Inputs!$B$34,-AM52)</f>
        <v>52.6025</v>
      </c>
      <c r="AN53" s="14" t="n">
        <f aca="false">MAX(Inputs!$B$34,-AN52)</f>
        <v>54.337</v>
      </c>
      <c r="AO53" s="14" t="n">
        <f aca="false">MAX(Inputs!$B$34,-AO52)</f>
        <v>56.06975</v>
      </c>
      <c r="AP53" s="14" t="n">
        <f aca="false">MAX(Inputs!$B$34,-AP52)</f>
        <v>57.80075</v>
      </c>
      <c r="AQ53" s="14" t="n">
        <f aca="false">MAX(Inputs!$B$34,-AQ52)</f>
        <v>59.53</v>
      </c>
      <c r="AR53" s="14" t="n">
        <f aca="false">MAX(Inputs!$B$34,-AR52)</f>
        <v>61.2575</v>
      </c>
      <c r="AS53" s="14" t="n">
        <f aca="false">MAX(Inputs!$B$34,-AS52)</f>
        <v>62.98325</v>
      </c>
      <c r="AT53" s="14" t="n">
        <f aca="false">MAX(Inputs!$B$34,-AT52)</f>
        <v>64.70725</v>
      </c>
      <c r="AU53" s="14" t="n">
        <f aca="false">MAX(Inputs!$B$34,-AU52)</f>
        <v>66.4295</v>
      </c>
      <c r="AV53" s="14" t="n">
        <f aca="false">MAX(Inputs!$B$34,-AV52)</f>
        <v>68.15</v>
      </c>
      <c r="AW53" s="14" t="n">
        <f aca="false">MAX(Inputs!$B$34,-AW52)</f>
        <v>69.86875</v>
      </c>
      <c r="AX53" s="14" t="n">
        <f aca="false">MAX(Inputs!$B$34,-AX52)</f>
        <v>71.58575</v>
      </c>
      <c r="AY53" s="14" t="n">
        <f aca="false">MAX(Inputs!$B$34,-AY52)</f>
        <v>73.301</v>
      </c>
      <c r="AZ53" s="14" t="n">
        <f aca="false">MAX(Inputs!$B$34,-AZ52)</f>
        <v>75.0145</v>
      </c>
      <c r="BA53" s="14" t="n">
        <f aca="false">MAX(Inputs!$B$34,-BA52)</f>
        <v>76.72625</v>
      </c>
      <c r="BB53" s="14" t="n">
        <f aca="false">MAX(Inputs!$B$34,-BB52)</f>
        <v>78.43625</v>
      </c>
      <c r="BC53" s="14" t="n">
        <f aca="false">MAX(Inputs!$B$34,-BC52)</f>
        <v>80.1445</v>
      </c>
      <c r="BD53" s="14" t="n">
        <f aca="false">MAX(Inputs!$B$34,-BD52)</f>
        <v>81.851</v>
      </c>
      <c r="BE53" s="14" t="n">
        <f aca="false">MAX(Inputs!$B$34,-BE52)</f>
        <v>83.55575</v>
      </c>
      <c r="BF53" s="14" t="n">
        <f aca="false">MAX(Inputs!$B$34,-BF52)</f>
        <v>85.25875</v>
      </c>
      <c r="BG53" s="14" t="n">
        <f aca="false">MAX(Inputs!$B$34,-BG52)</f>
        <v>86.96</v>
      </c>
      <c r="BH53" s="14" t="n">
        <f aca="false">MAX(Inputs!$B$34,-BH52)</f>
        <v>88.6595</v>
      </c>
      <c r="BI53" s="14" t="n">
        <f aca="false">MAX(Inputs!$B$34,-BI52)</f>
        <v>90.35725</v>
      </c>
      <c r="BJ53" s="14" t="n">
        <f aca="false">MAX(Inputs!$B$34,-BJ52)</f>
        <v>92.05325</v>
      </c>
      <c r="BK53" s="14" t="n">
        <f aca="false">MAX(Inputs!$B$34,-BK52)</f>
        <v>93.7654166666667</v>
      </c>
      <c r="BL53" s="14" t="n">
        <f aca="false">MAX(Inputs!$B$34,-BL52)</f>
        <v>95.49375</v>
      </c>
      <c r="BM53" s="14" t="n">
        <f aca="false">MAX(Inputs!$B$34,-BM52)</f>
        <v>97.23825</v>
      </c>
      <c r="BN53" s="14" t="n">
        <f aca="false">MAX(Inputs!$B$34,-BN52)</f>
        <v>98.9989166666667</v>
      </c>
      <c r="BO53" s="14" t="n">
        <f aca="false">MAX(Inputs!$B$34,-BO52)</f>
        <v>100.77575</v>
      </c>
      <c r="BP53" s="14" t="n">
        <f aca="false">MAX(Inputs!$B$34,-BP52)</f>
        <v>102.56875</v>
      </c>
      <c r="BQ53" s="14" t="n">
        <f aca="false">MAX(Inputs!$B$34,-BQ52)</f>
        <v>104.377916666667</v>
      </c>
      <c r="BR53" s="14" t="n">
        <f aca="false">MAX(Inputs!$B$34,-BR52)</f>
        <v>106.20325</v>
      </c>
      <c r="BS53" s="14" t="n">
        <f aca="false">MAX(Inputs!$B$34,-BS52)</f>
        <v>108.04475</v>
      </c>
      <c r="BT53" s="14" t="n">
        <f aca="false">MAX(Inputs!$B$34,-BT52)</f>
        <v>109.902416666667</v>
      </c>
      <c r="BU53" s="14" t="n">
        <f aca="false">MAX(Inputs!$B$34,-BU52)</f>
        <v>111.77625</v>
      </c>
      <c r="BV53" s="14" t="n">
        <f aca="false">MAX(Inputs!$B$34,-BV52)</f>
        <v>113.66625</v>
      </c>
      <c r="BW53" s="14" t="n">
        <f aca="false">MAX(Inputs!$B$34,-BW52)</f>
        <v>115.55625</v>
      </c>
      <c r="BX53" s="14" t="n">
        <f aca="false">MAX(Inputs!$B$34,-BX52)</f>
        <v>117.44625</v>
      </c>
      <c r="BY53" s="14" t="n">
        <f aca="false">MAX(Inputs!$B$34,-BY52)</f>
        <v>119.33625</v>
      </c>
      <c r="BZ53" s="14" t="n">
        <f aca="false">MAX(Inputs!$B$34,-BZ52)</f>
        <v>121.22625</v>
      </c>
      <c r="CA53" s="14" t="n">
        <f aca="false">MAX(Inputs!$B$34,-CA52)</f>
        <v>123.11625</v>
      </c>
      <c r="CB53" s="14" t="n">
        <f aca="false">MAX(Inputs!$B$34,-CB52)</f>
        <v>125.00625</v>
      </c>
      <c r="CC53" s="14" t="n">
        <f aca="false">MAX(Inputs!$B$34,-CC52)</f>
        <v>126.89625</v>
      </c>
      <c r="CD53" s="14" t="n">
        <f aca="false">MAX(Inputs!$B$34,-CD52)</f>
        <v>128.78625</v>
      </c>
      <c r="CE53" s="14" t="n">
        <f aca="false">MAX(Inputs!$B$34,-CE52)</f>
        <v>130.67625</v>
      </c>
      <c r="CF53" s="14" t="n">
        <f aca="false">MAX(Inputs!$B$34,-CF52)</f>
        <v>132.56625</v>
      </c>
      <c r="CG53" s="14" t="n">
        <f aca="false">MAX(Inputs!$B$34,-CG52)</f>
        <v>134.45625</v>
      </c>
      <c r="CH53" s="14" t="n">
        <f aca="false">MAX(Inputs!$B$34,-CH52)</f>
        <v>136.34625</v>
      </c>
      <c r="CI53" s="14" t="n">
        <f aca="false">MAX(Inputs!$B$34,-CI52)</f>
        <v>138.23625</v>
      </c>
      <c r="CJ53" s="14" t="n">
        <f aca="false">MAX(Inputs!$B$34,-CJ52)</f>
        <v>140.12625</v>
      </c>
      <c r="CK53" s="14" t="n">
        <f aca="false">MAX(Inputs!$B$34,-CK52)</f>
        <v>142.01625</v>
      </c>
      <c r="CL53" s="14" t="n">
        <f aca="false">MAX(Inputs!$B$34,-CL52)</f>
        <v>143.90625</v>
      </c>
      <c r="CM53" s="14" t="n">
        <f aca="false">MAX(Inputs!$B$34,-CM52)</f>
        <v>145.79625</v>
      </c>
      <c r="CN53" s="14" t="n">
        <f aca="false">MAX(Inputs!$B$34,-CN52)</f>
        <v>147.68625</v>
      </c>
      <c r="CO53" s="14" t="n">
        <f aca="false">MAX(Inputs!$B$34,-CO52)</f>
        <v>149.57625</v>
      </c>
      <c r="CP53" s="14" t="n">
        <f aca="false">MAX(Inputs!$B$34,-CP52)</f>
        <v>151.46625</v>
      </c>
      <c r="CQ53" s="14" t="n">
        <f aca="false">MAX(Inputs!$B$34,-CQ52)</f>
        <v>153.35625</v>
      </c>
      <c r="CR53" s="14" t="n">
        <f aca="false">MAX(Inputs!$B$34,-CR52)</f>
        <v>155.24625</v>
      </c>
      <c r="CS53" s="14" t="n">
        <f aca="false">MAX(Inputs!$B$34,-CS52)</f>
        <v>157.13625</v>
      </c>
      <c r="CT53" s="14" t="n">
        <f aca="false">MAX(Inputs!$B$34,-CT52)</f>
        <v>159.02625</v>
      </c>
      <c r="CU53" s="14" t="n">
        <f aca="false">MAX(Inputs!$B$34,-CU52)</f>
        <v>160.91625</v>
      </c>
      <c r="CV53" s="14" t="n">
        <f aca="false">MAX(Inputs!$B$34,-CV52)</f>
        <v>162.80625</v>
      </c>
      <c r="CW53" s="14" t="n">
        <f aca="false">MAX(Inputs!$B$34,-CW52)</f>
        <v>164.69625</v>
      </c>
      <c r="CX53" s="14" t="n">
        <f aca="false">MAX(Inputs!$B$34,-CX52)</f>
        <v>166.58625</v>
      </c>
      <c r="CY53" s="14" t="n">
        <f aca="false">MAX(Inputs!$B$34,-CY52)</f>
        <v>168.47625</v>
      </c>
      <c r="CZ53" s="14" t="n">
        <f aca="false">MAX(Inputs!$B$34,-CZ52)</f>
        <v>170.36625</v>
      </c>
      <c r="DA53" s="14" t="n">
        <f aca="false">MAX(Inputs!$B$34,-DA52)</f>
        <v>172.25625</v>
      </c>
      <c r="DB53" s="14" t="n">
        <f aca="false">MAX(Inputs!$B$34,-DB52)</f>
        <v>174.14625</v>
      </c>
      <c r="DC53" s="14" t="n">
        <f aca="false">MAX(Inputs!$B$34,-DC52)</f>
        <v>176.03625</v>
      </c>
      <c r="DD53" s="14" t="n">
        <f aca="false">MAX(Inputs!$B$34,-DD52)</f>
        <v>177.92625</v>
      </c>
      <c r="DE53" s="14" t="n">
        <f aca="false">MAX(Inputs!$B$34,-DE52)</f>
        <v>179.81625</v>
      </c>
      <c r="DF53" s="14" t="n">
        <f aca="false">MAX(Inputs!$B$34,-DF52)</f>
        <v>181.70625</v>
      </c>
      <c r="DG53" s="14" t="n">
        <f aca="false">MAX(Inputs!$B$34,-DG52)</f>
        <v>183.59625</v>
      </c>
      <c r="DH53" s="14" t="n">
        <f aca="false">MAX(Inputs!$B$34,-DH52)</f>
        <v>185.48625</v>
      </c>
      <c r="DI53" s="14" t="n">
        <f aca="false">MAX(Inputs!$B$34,-DI52)</f>
        <v>187.37625</v>
      </c>
      <c r="DJ53" s="14" t="n">
        <f aca="false">MAX(Inputs!$B$34,-DJ52)</f>
        <v>189.26625</v>
      </c>
      <c r="DK53" s="14" t="n">
        <f aca="false">MAX(Inputs!$B$34,-DK52)</f>
        <v>191.15625</v>
      </c>
      <c r="DL53" s="14" t="n">
        <f aca="false">MAX(Inputs!$B$34,-DL52)</f>
        <v>193.04625</v>
      </c>
      <c r="DM53" s="14" t="n">
        <f aca="false">MAX(Inputs!$B$34,-DM52)</f>
        <v>194.93625</v>
      </c>
      <c r="DN53" s="14" t="n">
        <f aca="false">MAX(Inputs!$B$34,-DN52)</f>
        <v>196.82625</v>
      </c>
      <c r="DO53" s="14" t="n">
        <f aca="false">MAX(Inputs!$B$34,-DO52)</f>
        <v>198.71625</v>
      </c>
      <c r="DP53" s="14" t="n">
        <f aca="false">MAX(Inputs!$B$34,-DP52)</f>
        <v>200.60625</v>
      </c>
      <c r="DQ53" s="14" t="n">
        <f aca="false">MAX(Inputs!$B$34,-DQ52)</f>
        <v>202.49625</v>
      </c>
      <c r="DR53" s="14" t="n">
        <f aca="false">MAX(Inputs!$B$34,-DR52)</f>
        <v>204.38625</v>
      </c>
    </row>
    <row r="54" customFormat="false" ht="15" hidden="false" customHeight="false" outlineLevel="0" collapsed="false">
      <c r="A54" s="9" t="s">
        <v>222</v>
      </c>
      <c r="B54" s="11" t="n">
        <f aca="false">B38-B39</f>
        <v>0</v>
      </c>
      <c r="C54" s="11" t="n">
        <f aca="false">B54+C38-C39</f>
        <v>3.52361111111111</v>
      </c>
      <c r="D54" s="11" t="n">
        <f aca="false">C54+D38-D39</f>
        <v>6.9875</v>
      </c>
      <c r="E54" s="11" t="n">
        <f aca="false">D54+E38-E39</f>
        <v>10.3916666666667</v>
      </c>
      <c r="F54" s="11" t="n">
        <f aca="false">E54+F38-F39</f>
        <v>13.7361111111111</v>
      </c>
      <c r="G54" s="11" t="n">
        <f aca="false">F54+G38-G39</f>
        <v>17.0208333333333</v>
      </c>
      <c r="H54" s="11" t="n">
        <f aca="false">G54+H38-H39</f>
        <v>20.2458333333333</v>
      </c>
      <c r="I54" s="11" t="n">
        <f aca="false">H54+I38-I39</f>
        <v>23.4111111111111</v>
      </c>
      <c r="J54" s="11" t="n">
        <f aca="false">I54+J38-J39</f>
        <v>26.5166666666667</v>
      </c>
      <c r="K54" s="11" t="n">
        <f aca="false">J54+K38-K39</f>
        <v>29.5625</v>
      </c>
      <c r="L54" s="11" t="n">
        <f aca="false">K54+L38-L39</f>
        <v>32.5486111111111</v>
      </c>
      <c r="M54" s="11" t="n">
        <f aca="false">L54+M38-M39</f>
        <v>35.475</v>
      </c>
      <c r="N54" s="11" t="n">
        <f aca="false">M54+N38-N39</f>
        <v>38.3416666666667</v>
      </c>
      <c r="O54" s="11" t="n">
        <f aca="false">N54+O38-O39</f>
        <v>37.9691666666667</v>
      </c>
      <c r="P54" s="11" t="n">
        <f aca="false">O54+P38-P39</f>
        <v>37.5908333333333</v>
      </c>
      <c r="Q54" s="11" t="n">
        <f aca="false">P54+Q38-Q39</f>
        <v>37.2066666666667</v>
      </c>
      <c r="R54" s="11" t="n">
        <f aca="false">Q54+R38-R39</f>
        <v>36.8166666666667</v>
      </c>
      <c r="S54" s="11" t="n">
        <f aca="false">R54+S38-S39</f>
        <v>36.4208333333334</v>
      </c>
      <c r="T54" s="11" t="n">
        <f aca="false">S54+T38-T39</f>
        <v>36.0191666666667</v>
      </c>
      <c r="U54" s="11" t="n">
        <f aca="false">T54+U38-U39</f>
        <v>35.6116666666667</v>
      </c>
      <c r="V54" s="11" t="n">
        <f aca="false">U54+V38-V39</f>
        <v>35.1983333333334</v>
      </c>
      <c r="W54" s="11" t="n">
        <f aca="false">V54+W38-W39</f>
        <v>34.7791666666667</v>
      </c>
      <c r="X54" s="11" t="n">
        <f aca="false">W54+X38-X39</f>
        <v>34.3541666666667</v>
      </c>
      <c r="Y54" s="11" t="n">
        <f aca="false">X54+Y38-Y39</f>
        <v>33.9233333333334</v>
      </c>
      <c r="Z54" s="11" t="n">
        <f aca="false">Y54+Z38-Z39</f>
        <v>33.4866666666667</v>
      </c>
      <c r="AA54" s="11" t="n">
        <f aca="false">Z54+AA38-AA39</f>
        <v>33.0441666666667</v>
      </c>
      <c r="AB54" s="11" t="n">
        <f aca="false">AA54+AB38-AB39</f>
        <v>32.5958333333334</v>
      </c>
      <c r="AC54" s="11" t="n">
        <f aca="false">AB54+AC38-AC39</f>
        <v>32.1416666666667</v>
      </c>
      <c r="AD54" s="11" t="n">
        <f aca="false">AC54+AD38-AD39</f>
        <v>31.6816666666667</v>
      </c>
      <c r="AE54" s="11" t="n">
        <f aca="false">AD54+AE38-AE39</f>
        <v>31.2158333333334</v>
      </c>
      <c r="AF54" s="11" t="n">
        <f aca="false">AE54+AF38-AF39</f>
        <v>30.7441666666667</v>
      </c>
      <c r="AG54" s="11" t="n">
        <f aca="false">AF54+AG38-AG39</f>
        <v>30.2666666666667</v>
      </c>
      <c r="AH54" s="11" t="n">
        <f aca="false">AG54+AH38-AH39</f>
        <v>29.7833333333334</v>
      </c>
      <c r="AI54" s="11" t="n">
        <f aca="false">AH54+AI38-AI39</f>
        <v>29.2941666666667</v>
      </c>
      <c r="AJ54" s="11" t="n">
        <f aca="false">AI54+AJ38-AJ39</f>
        <v>28.7991666666667</v>
      </c>
      <c r="AK54" s="11" t="n">
        <f aca="false">AJ54+AK38-AK39</f>
        <v>28.2983333333334</v>
      </c>
      <c r="AL54" s="11" t="n">
        <f aca="false">AK54+AL38-AL39</f>
        <v>27.7916666666667</v>
      </c>
      <c r="AM54" s="11" t="n">
        <f aca="false">AL54+AM38-AM39</f>
        <v>27.2791666666667</v>
      </c>
      <c r="AN54" s="11" t="n">
        <f aca="false">AM54+AN38-AN39</f>
        <v>26.7608333333334</v>
      </c>
      <c r="AO54" s="11" t="n">
        <f aca="false">AN54+AO38-AO39</f>
        <v>26.2366666666667</v>
      </c>
      <c r="AP54" s="11" t="n">
        <f aca="false">AO54+AP38-AP39</f>
        <v>25.7066666666667</v>
      </c>
      <c r="AQ54" s="11" t="n">
        <f aca="false">AP54+AQ38-AQ39</f>
        <v>25.1708333333334</v>
      </c>
      <c r="AR54" s="11" t="n">
        <f aca="false">AQ54+AR38-AR39</f>
        <v>24.6291666666667</v>
      </c>
      <c r="AS54" s="11" t="n">
        <f aca="false">AR54+AS38-AS39</f>
        <v>24.0816666666667</v>
      </c>
      <c r="AT54" s="11" t="n">
        <f aca="false">AS54+AT38-AT39</f>
        <v>23.5283333333334</v>
      </c>
      <c r="AU54" s="11" t="n">
        <f aca="false">AT54+AU38-AU39</f>
        <v>22.9691666666667</v>
      </c>
      <c r="AV54" s="11" t="n">
        <f aca="false">AU54+AV38-AV39</f>
        <v>22.4041666666667</v>
      </c>
      <c r="AW54" s="11" t="n">
        <f aca="false">AV54+AW38-AW39</f>
        <v>21.8333333333334</v>
      </c>
      <c r="AX54" s="11" t="n">
        <f aca="false">AW54+AX38-AX39</f>
        <v>21.2566666666667</v>
      </c>
      <c r="AY54" s="11" t="n">
        <f aca="false">AX54+AY38-AY39</f>
        <v>20.6741666666667</v>
      </c>
      <c r="AZ54" s="11" t="n">
        <f aca="false">AY54+AZ38-AZ39</f>
        <v>20.0858333333334</v>
      </c>
      <c r="BA54" s="11" t="n">
        <f aca="false">AZ54+BA38-BA39</f>
        <v>19.4916666666667</v>
      </c>
      <c r="BB54" s="11" t="n">
        <f aca="false">BA54+BB38-BB39</f>
        <v>18.8916666666667</v>
      </c>
      <c r="BC54" s="11" t="n">
        <f aca="false">BB54+BC38-BC39</f>
        <v>18.2858333333334</v>
      </c>
      <c r="BD54" s="11" t="n">
        <f aca="false">BC54+BD38-BD39</f>
        <v>17.6741666666667</v>
      </c>
      <c r="BE54" s="11" t="n">
        <f aca="false">BD54+BE38-BE39</f>
        <v>17.0566666666667</v>
      </c>
      <c r="BF54" s="11" t="n">
        <f aca="false">BE54+BF38-BF39</f>
        <v>16.4333333333334</v>
      </c>
      <c r="BG54" s="11" t="n">
        <f aca="false">BF54+BG38-BG39</f>
        <v>15.8041666666667</v>
      </c>
      <c r="BH54" s="11" t="n">
        <f aca="false">BG54+BH38-BH39</f>
        <v>15.1691666666667</v>
      </c>
      <c r="BI54" s="11" t="n">
        <f aca="false">BH54+BI38-BI39</f>
        <v>14.5283333333334</v>
      </c>
      <c r="BJ54" s="11" t="n">
        <f aca="false">BI54+BJ38-BJ39</f>
        <v>13.8816666666667</v>
      </c>
      <c r="BK54" s="11" t="n">
        <f aca="false">BJ54+BK38-BK39</f>
        <v>13.288888888889</v>
      </c>
      <c r="BL54" s="11" t="n">
        <f aca="false">BK54+BL38-BL39</f>
        <v>12.7500000000001</v>
      </c>
      <c r="BM54" s="11" t="n">
        <f aca="false">BL54+BM38-BM39</f>
        <v>12.2650000000001</v>
      </c>
      <c r="BN54" s="11" t="n">
        <f aca="false">BM54+BN38-BN39</f>
        <v>11.833888888889</v>
      </c>
      <c r="BO54" s="11" t="n">
        <f aca="false">BN54+BO38-BO39</f>
        <v>11.4566666666667</v>
      </c>
      <c r="BP54" s="11" t="n">
        <f aca="false">BO54+BP38-BP39</f>
        <v>11.1333333333334</v>
      </c>
      <c r="BQ54" s="11" t="n">
        <f aca="false">BP54+BQ38-BQ39</f>
        <v>10.863888888889</v>
      </c>
      <c r="BR54" s="11" t="n">
        <f aca="false">BQ54+BR38-BR39</f>
        <v>10.6483333333334</v>
      </c>
      <c r="BS54" s="11" t="n">
        <f aca="false">BR54+BS38-BS39</f>
        <v>10.4866666666667</v>
      </c>
      <c r="BT54" s="11" t="n">
        <f aca="false">BS54+BT38-BT39</f>
        <v>10.378888888889</v>
      </c>
      <c r="BU54" s="11" t="n">
        <f aca="false">BT54+BU38-BU39</f>
        <v>10.3250000000001</v>
      </c>
      <c r="BV54" s="11" t="n">
        <f aca="false">BU54+BV38-BV39</f>
        <v>10.3250000000001</v>
      </c>
      <c r="BW54" s="11" t="n">
        <f aca="false">BV54+BW38-BW39</f>
        <v>10.3250000000001</v>
      </c>
      <c r="BX54" s="11" t="n">
        <f aca="false">BW54+BX38-BX39</f>
        <v>10.3250000000001</v>
      </c>
      <c r="BY54" s="11" t="n">
        <f aca="false">BX54+BY38-BY39</f>
        <v>10.3250000000001</v>
      </c>
      <c r="BZ54" s="11" t="n">
        <f aca="false">BY54+BZ38-BZ39</f>
        <v>10.3250000000001</v>
      </c>
      <c r="CA54" s="11" t="n">
        <f aca="false">BZ54+CA38-CA39</f>
        <v>10.3250000000001</v>
      </c>
      <c r="CB54" s="11" t="n">
        <f aca="false">CA54+CB38-CB39</f>
        <v>10.3250000000001</v>
      </c>
      <c r="CC54" s="11" t="n">
        <f aca="false">CB54+CC38-CC39</f>
        <v>10.3250000000001</v>
      </c>
      <c r="CD54" s="11" t="n">
        <f aca="false">CC54+CD38-CD39</f>
        <v>10.3250000000001</v>
      </c>
      <c r="CE54" s="11" t="n">
        <f aca="false">CD54+CE38-CE39</f>
        <v>10.3250000000001</v>
      </c>
      <c r="CF54" s="11" t="n">
        <f aca="false">CE54+CF38-CF39</f>
        <v>10.3250000000001</v>
      </c>
      <c r="CG54" s="11" t="n">
        <f aca="false">CF54+CG38-CG39</f>
        <v>10.3250000000001</v>
      </c>
      <c r="CH54" s="11" t="n">
        <f aca="false">CG54+CH38-CH39</f>
        <v>10.3250000000001</v>
      </c>
      <c r="CI54" s="11" t="n">
        <f aca="false">CH54+CI38-CI39</f>
        <v>10.3250000000001</v>
      </c>
      <c r="CJ54" s="11" t="n">
        <f aca="false">CI54+CJ38-CJ39</f>
        <v>10.3250000000001</v>
      </c>
      <c r="CK54" s="11" t="n">
        <f aca="false">CJ54+CK38-CK39</f>
        <v>10.3250000000001</v>
      </c>
      <c r="CL54" s="11" t="n">
        <f aca="false">CK54+CL38-CL39</f>
        <v>10.3250000000001</v>
      </c>
      <c r="CM54" s="11" t="n">
        <f aca="false">CL54+CM38-CM39</f>
        <v>10.3250000000001</v>
      </c>
      <c r="CN54" s="11" t="n">
        <f aca="false">CM54+CN38-CN39</f>
        <v>10.3250000000001</v>
      </c>
      <c r="CO54" s="11" t="n">
        <f aca="false">CN54+CO38-CO39</f>
        <v>10.3250000000001</v>
      </c>
      <c r="CP54" s="11" t="n">
        <f aca="false">CO54+CP38-CP39</f>
        <v>10.3250000000001</v>
      </c>
      <c r="CQ54" s="11" t="n">
        <f aca="false">CP54+CQ38-CQ39</f>
        <v>10.3250000000001</v>
      </c>
      <c r="CR54" s="11" t="n">
        <f aca="false">CQ54+CR38-CR39</f>
        <v>10.3250000000001</v>
      </c>
      <c r="CS54" s="11" t="n">
        <f aca="false">CR54+CS38-CS39</f>
        <v>10.3250000000001</v>
      </c>
      <c r="CT54" s="11" t="n">
        <f aca="false">CS54+CT38-CT39</f>
        <v>10.3250000000001</v>
      </c>
      <c r="CU54" s="11" t="n">
        <f aca="false">CT54+CU38-CU39</f>
        <v>10.3250000000001</v>
      </c>
      <c r="CV54" s="11" t="n">
        <f aca="false">CU54+CV38-CV39</f>
        <v>10.3250000000001</v>
      </c>
      <c r="CW54" s="11" t="n">
        <f aca="false">CV54+CW38-CW39</f>
        <v>10.3250000000001</v>
      </c>
      <c r="CX54" s="11" t="n">
        <f aca="false">CW54+CX38-CX39</f>
        <v>10.3250000000001</v>
      </c>
      <c r="CY54" s="11" t="n">
        <f aca="false">CX54+CY38-CY39</f>
        <v>10.3250000000001</v>
      </c>
      <c r="CZ54" s="11" t="n">
        <f aca="false">CY54+CZ38-CZ39</f>
        <v>10.3250000000001</v>
      </c>
      <c r="DA54" s="11" t="n">
        <f aca="false">CZ54+DA38-DA39</f>
        <v>10.3250000000001</v>
      </c>
      <c r="DB54" s="11" t="n">
        <f aca="false">DA54+DB38-DB39</f>
        <v>10.3250000000001</v>
      </c>
      <c r="DC54" s="11" t="n">
        <f aca="false">DB54+DC38-DC39</f>
        <v>10.3250000000001</v>
      </c>
      <c r="DD54" s="11" t="n">
        <f aca="false">DC54+DD38-DD39</f>
        <v>10.3250000000001</v>
      </c>
      <c r="DE54" s="11" t="n">
        <f aca="false">DD54+DE38-DE39</f>
        <v>10.3250000000001</v>
      </c>
      <c r="DF54" s="11" t="n">
        <f aca="false">DE54+DF38-DF39</f>
        <v>10.3250000000001</v>
      </c>
      <c r="DG54" s="11" t="n">
        <f aca="false">DF54+DG38-DG39</f>
        <v>10.3250000000001</v>
      </c>
      <c r="DH54" s="11" t="n">
        <f aca="false">DG54+DH38-DH39</f>
        <v>10.3250000000001</v>
      </c>
      <c r="DI54" s="11" t="n">
        <f aca="false">DH54+DI38-DI39</f>
        <v>10.3250000000001</v>
      </c>
      <c r="DJ54" s="11" t="n">
        <f aca="false">DI54+DJ38-DJ39</f>
        <v>10.3250000000001</v>
      </c>
      <c r="DK54" s="11" t="n">
        <f aca="false">DJ54+DK38-DK39</f>
        <v>10.3250000000001</v>
      </c>
      <c r="DL54" s="11" t="n">
        <f aca="false">DK54+DL38-DL39</f>
        <v>10.3250000000001</v>
      </c>
      <c r="DM54" s="11" t="n">
        <f aca="false">DL54+DM38-DM39</f>
        <v>10.3250000000001</v>
      </c>
      <c r="DN54" s="11" t="n">
        <f aca="false">DM54+DN38-DN39</f>
        <v>10.3250000000001</v>
      </c>
      <c r="DO54" s="11" t="n">
        <f aca="false">DN54+DO38-DO39</f>
        <v>10.3250000000001</v>
      </c>
      <c r="DP54" s="11" t="n">
        <f aca="false">DO54+DP38-DP39</f>
        <v>10.3250000000001</v>
      </c>
      <c r="DQ54" s="11" t="n">
        <f aca="false">DP54+DQ38-DQ39</f>
        <v>10.3250000000001</v>
      </c>
      <c r="DR54" s="11" t="n">
        <f aca="false">DQ54+DR38-DR39</f>
        <v>10.3250000000001</v>
      </c>
    </row>
    <row r="55" customFormat="false" ht="15" hidden="false" customHeight="false" outlineLevel="0" collapsed="false">
      <c r="A55" s="9" t="s">
        <v>223</v>
      </c>
      <c r="B55" s="11" t="n">
        <f aca="false">SUM($B47:B47)</f>
        <v>25</v>
      </c>
      <c r="C55" s="11" t="n">
        <f aca="false">SUM($B47:C47)</f>
        <v>25</v>
      </c>
      <c r="D55" s="11" t="n">
        <f aca="false">SUM($B47:D47)</f>
        <v>25</v>
      </c>
      <c r="E55" s="11" t="n">
        <f aca="false">SUM($B47:E47)</f>
        <v>25</v>
      </c>
      <c r="F55" s="11" t="n">
        <f aca="false">SUM($B47:F47)</f>
        <v>25</v>
      </c>
      <c r="G55" s="11" t="n">
        <f aca="false">SUM($B47:G47)</f>
        <v>25</v>
      </c>
      <c r="H55" s="11" t="n">
        <f aca="false">SUM($B47:H47)</f>
        <v>25</v>
      </c>
      <c r="I55" s="11" t="n">
        <f aca="false">SUM($B47:I47)</f>
        <v>25</v>
      </c>
      <c r="J55" s="11" t="n">
        <f aca="false">SUM($B47:J47)</f>
        <v>25</v>
      </c>
      <c r="K55" s="11" t="n">
        <f aca="false">SUM($B47:K47)</f>
        <v>50</v>
      </c>
      <c r="L55" s="11" t="n">
        <f aca="false">SUM($B47:L47)</f>
        <v>50</v>
      </c>
      <c r="M55" s="11" t="n">
        <f aca="false">SUM($B47:M47)</f>
        <v>50</v>
      </c>
      <c r="N55" s="11" t="n">
        <f aca="false">SUM($B47:N47)</f>
        <v>50</v>
      </c>
      <c r="O55" s="11" t="n">
        <f aca="false">SUM($B47:O47)</f>
        <v>50</v>
      </c>
      <c r="P55" s="11" t="n">
        <f aca="false">SUM($B47:P47)</f>
        <v>50</v>
      </c>
      <c r="Q55" s="11" t="n">
        <f aca="false">SUM($B47:Q47)</f>
        <v>50</v>
      </c>
      <c r="R55" s="11" t="n">
        <f aca="false">SUM($B47:R47)</f>
        <v>50</v>
      </c>
      <c r="S55" s="11" t="n">
        <f aca="false">SUM($B47:S47)</f>
        <v>50</v>
      </c>
      <c r="T55" s="11" t="n">
        <f aca="false">SUM($B47:T47)</f>
        <v>50</v>
      </c>
      <c r="U55" s="11" t="n">
        <f aca="false">SUM($B47:U47)</f>
        <v>50</v>
      </c>
      <c r="V55" s="11" t="n">
        <f aca="false">SUM($B47:V47)</f>
        <v>50</v>
      </c>
      <c r="W55" s="11" t="n">
        <f aca="false">SUM($B47:W47)</f>
        <v>50</v>
      </c>
      <c r="X55" s="11" t="n">
        <f aca="false">SUM($B47:X47)</f>
        <v>50</v>
      </c>
      <c r="Y55" s="11" t="n">
        <f aca="false">SUM($B47:Y47)</f>
        <v>50</v>
      </c>
      <c r="Z55" s="11" t="n">
        <f aca="false">SUM($B47:Z47)</f>
        <v>50</v>
      </c>
      <c r="AA55" s="11" t="n">
        <f aca="false">SUM($B47:AA47)</f>
        <v>50</v>
      </c>
      <c r="AB55" s="11" t="n">
        <f aca="false">SUM($B47:AB47)</f>
        <v>50</v>
      </c>
      <c r="AC55" s="11" t="n">
        <f aca="false">SUM($B47:AC47)</f>
        <v>50</v>
      </c>
      <c r="AD55" s="11" t="n">
        <f aca="false">SUM($B47:AD47)</f>
        <v>50</v>
      </c>
      <c r="AE55" s="11" t="n">
        <f aca="false">SUM($B47:AE47)</f>
        <v>50</v>
      </c>
      <c r="AF55" s="11" t="n">
        <f aca="false">SUM($B47:AF47)</f>
        <v>50</v>
      </c>
      <c r="AG55" s="11" t="n">
        <f aca="false">SUM($B47:AG47)</f>
        <v>50</v>
      </c>
      <c r="AH55" s="11" t="n">
        <f aca="false">SUM($B47:AH47)</f>
        <v>50</v>
      </c>
      <c r="AI55" s="11" t="n">
        <f aca="false">SUM($B47:AI47)</f>
        <v>50</v>
      </c>
      <c r="AJ55" s="11" t="n">
        <f aca="false">SUM($B47:AJ47)</f>
        <v>50</v>
      </c>
      <c r="AK55" s="11" t="n">
        <f aca="false">SUM($B47:AK47)</f>
        <v>50</v>
      </c>
      <c r="AL55" s="11" t="n">
        <f aca="false">SUM($B47:AL47)</f>
        <v>50</v>
      </c>
      <c r="AM55" s="11" t="n">
        <f aca="false">SUM($B47:AM47)</f>
        <v>50</v>
      </c>
      <c r="AN55" s="11" t="n">
        <f aca="false">SUM($B47:AN47)</f>
        <v>50</v>
      </c>
      <c r="AO55" s="11" t="n">
        <f aca="false">SUM($B47:AO47)</f>
        <v>50</v>
      </c>
      <c r="AP55" s="11" t="n">
        <f aca="false">SUM($B47:AP47)</f>
        <v>50</v>
      </c>
      <c r="AQ55" s="11" t="n">
        <f aca="false">SUM($B47:AQ47)</f>
        <v>50</v>
      </c>
      <c r="AR55" s="11" t="n">
        <f aca="false">SUM($B47:AR47)</f>
        <v>50</v>
      </c>
      <c r="AS55" s="11" t="n">
        <f aca="false">SUM($B47:AS47)</f>
        <v>50</v>
      </c>
      <c r="AT55" s="11" t="n">
        <f aca="false">SUM($B47:AT47)</f>
        <v>50</v>
      </c>
      <c r="AU55" s="11" t="n">
        <f aca="false">SUM($B47:AU47)</f>
        <v>50</v>
      </c>
      <c r="AV55" s="11" t="n">
        <f aca="false">SUM($B47:AV47)</f>
        <v>50</v>
      </c>
      <c r="AW55" s="11" t="n">
        <f aca="false">SUM($B47:AW47)</f>
        <v>50</v>
      </c>
      <c r="AX55" s="11" t="n">
        <f aca="false">SUM($B47:AX47)</f>
        <v>50</v>
      </c>
      <c r="AY55" s="11" t="n">
        <f aca="false">SUM($B47:AY47)</f>
        <v>50</v>
      </c>
      <c r="AZ55" s="11" t="n">
        <f aca="false">SUM($B47:AZ47)</f>
        <v>50</v>
      </c>
      <c r="BA55" s="11" t="n">
        <f aca="false">SUM($B47:BA47)</f>
        <v>50</v>
      </c>
      <c r="BB55" s="11" t="n">
        <f aca="false">SUM($B47:BB47)</f>
        <v>50</v>
      </c>
      <c r="BC55" s="11" t="n">
        <f aca="false">SUM($B47:BC47)</f>
        <v>50</v>
      </c>
      <c r="BD55" s="11" t="n">
        <f aca="false">SUM($B47:BD47)</f>
        <v>50</v>
      </c>
      <c r="BE55" s="11" t="n">
        <f aca="false">SUM($B47:BE47)</f>
        <v>50</v>
      </c>
      <c r="BF55" s="11" t="n">
        <f aca="false">SUM($B47:BF47)</f>
        <v>50</v>
      </c>
      <c r="BG55" s="11" t="n">
        <f aca="false">SUM($B47:BG47)</f>
        <v>50</v>
      </c>
      <c r="BH55" s="11" t="n">
        <f aca="false">SUM($B47:BH47)</f>
        <v>50</v>
      </c>
      <c r="BI55" s="11" t="n">
        <f aca="false">SUM($B47:BI47)</f>
        <v>50</v>
      </c>
      <c r="BJ55" s="11" t="n">
        <f aca="false">SUM($B47:BJ47)</f>
        <v>50</v>
      </c>
      <c r="BK55" s="11" t="n">
        <f aca="false">SUM($B47:BK47)</f>
        <v>50</v>
      </c>
      <c r="BL55" s="11" t="n">
        <f aca="false">SUM($B47:BL47)</f>
        <v>50</v>
      </c>
      <c r="BM55" s="11" t="n">
        <f aca="false">SUM($B47:BM47)</f>
        <v>50</v>
      </c>
      <c r="BN55" s="11" t="n">
        <f aca="false">SUM($B47:BN47)</f>
        <v>50</v>
      </c>
      <c r="BO55" s="11" t="n">
        <f aca="false">SUM($B47:BO47)</f>
        <v>50</v>
      </c>
      <c r="BP55" s="11" t="n">
        <f aca="false">SUM($B47:BP47)</f>
        <v>50</v>
      </c>
      <c r="BQ55" s="11" t="n">
        <f aca="false">SUM($B47:BQ47)</f>
        <v>50</v>
      </c>
      <c r="BR55" s="11" t="n">
        <f aca="false">SUM($B47:BR47)</f>
        <v>50</v>
      </c>
      <c r="BS55" s="11" t="n">
        <f aca="false">SUM($B47:BS47)</f>
        <v>50</v>
      </c>
      <c r="BT55" s="11" t="n">
        <f aca="false">SUM($B47:BT47)</f>
        <v>50</v>
      </c>
      <c r="BU55" s="11" t="n">
        <f aca="false">SUM($B47:BU47)</f>
        <v>50</v>
      </c>
      <c r="BV55" s="11" t="n">
        <f aca="false">SUM($B47:BV47)</f>
        <v>50</v>
      </c>
      <c r="BW55" s="11" t="n">
        <f aca="false">SUM($B47:BW47)</f>
        <v>50</v>
      </c>
      <c r="BX55" s="11" t="n">
        <f aca="false">SUM($B47:BX47)</f>
        <v>50</v>
      </c>
      <c r="BY55" s="11" t="n">
        <f aca="false">SUM($B47:BY47)</f>
        <v>50</v>
      </c>
      <c r="BZ55" s="11" t="n">
        <f aca="false">SUM($B47:BZ47)</f>
        <v>50</v>
      </c>
      <c r="CA55" s="11" t="n">
        <f aca="false">SUM($B47:CA47)</f>
        <v>50</v>
      </c>
      <c r="CB55" s="11" t="n">
        <f aca="false">SUM($B47:CB47)</f>
        <v>50</v>
      </c>
      <c r="CC55" s="11" t="n">
        <f aca="false">SUM($B47:CC47)</f>
        <v>50</v>
      </c>
      <c r="CD55" s="11" t="n">
        <f aca="false">SUM($B47:CD47)</f>
        <v>50</v>
      </c>
      <c r="CE55" s="11" t="n">
        <f aca="false">SUM($B47:CE47)</f>
        <v>50</v>
      </c>
      <c r="CF55" s="11" t="n">
        <f aca="false">SUM($B47:CF47)</f>
        <v>50</v>
      </c>
      <c r="CG55" s="11" t="n">
        <f aca="false">SUM($B47:CG47)</f>
        <v>50</v>
      </c>
      <c r="CH55" s="11" t="n">
        <f aca="false">SUM($B47:CH47)</f>
        <v>50</v>
      </c>
      <c r="CI55" s="11" t="n">
        <f aca="false">SUM($B47:CI47)</f>
        <v>50</v>
      </c>
      <c r="CJ55" s="11" t="n">
        <f aca="false">SUM($B47:CJ47)</f>
        <v>50</v>
      </c>
      <c r="CK55" s="11" t="n">
        <f aca="false">SUM($B47:CK47)</f>
        <v>50</v>
      </c>
      <c r="CL55" s="11" t="n">
        <f aca="false">SUM($B47:CL47)</f>
        <v>50</v>
      </c>
      <c r="CM55" s="11" t="n">
        <f aca="false">SUM($B47:CM47)</f>
        <v>50</v>
      </c>
      <c r="CN55" s="11" t="n">
        <f aca="false">SUM($B47:CN47)</f>
        <v>50</v>
      </c>
      <c r="CO55" s="11" t="n">
        <f aca="false">SUM($B47:CO47)</f>
        <v>50</v>
      </c>
      <c r="CP55" s="11" t="n">
        <f aca="false">SUM($B47:CP47)</f>
        <v>50</v>
      </c>
      <c r="CQ55" s="11" t="n">
        <f aca="false">SUM($B47:CQ47)</f>
        <v>50</v>
      </c>
      <c r="CR55" s="11" t="n">
        <f aca="false">SUM($B47:CR47)</f>
        <v>50</v>
      </c>
      <c r="CS55" s="11" t="n">
        <f aca="false">SUM($B47:CS47)</f>
        <v>50</v>
      </c>
      <c r="CT55" s="11" t="n">
        <f aca="false">SUM($B47:CT47)</f>
        <v>50</v>
      </c>
      <c r="CU55" s="11" t="n">
        <f aca="false">SUM($B47:CU47)</f>
        <v>50</v>
      </c>
      <c r="CV55" s="11" t="n">
        <f aca="false">SUM($B47:CV47)</f>
        <v>50</v>
      </c>
      <c r="CW55" s="11" t="n">
        <f aca="false">SUM($B47:CW47)</f>
        <v>50</v>
      </c>
      <c r="CX55" s="11" t="n">
        <f aca="false">SUM($B47:CX47)</f>
        <v>50</v>
      </c>
      <c r="CY55" s="11" t="n">
        <f aca="false">SUM($B47:CY47)</f>
        <v>50</v>
      </c>
      <c r="CZ55" s="11" t="n">
        <f aca="false">SUM($B47:CZ47)</f>
        <v>50</v>
      </c>
      <c r="DA55" s="11" t="n">
        <f aca="false">SUM($B47:DA47)</f>
        <v>50</v>
      </c>
      <c r="DB55" s="11" t="n">
        <f aca="false">SUM($B47:DB47)</f>
        <v>50</v>
      </c>
      <c r="DC55" s="11" t="n">
        <f aca="false">SUM($B47:DC47)</f>
        <v>50</v>
      </c>
      <c r="DD55" s="11" t="n">
        <f aca="false">SUM($B47:DD47)</f>
        <v>50</v>
      </c>
      <c r="DE55" s="11" t="n">
        <f aca="false">SUM($B47:DE47)</f>
        <v>50</v>
      </c>
      <c r="DF55" s="11" t="n">
        <f aca="false">SUM($B47:DF47)</f>
        <v>50</v>
      </c>
      <c r="DG55" s="11" t="n">
        <f aca="false">SUM($B47:DG47)</f>
        <v>50</v>
      </c>
      <c r="DH55" s="11" t="n">
        <f aca="false">SUM($B47:DH47)</f>
        <v>50</v>
      </c>
      <c r="DI55" s="11" t="n">
        <f aca="false">SUM($B47:DI47)</f>
        <v>50</v>
      </c>
      <c r="DJ55" s="11" t="n">
        <f aca="false">SUM($B47:DJ47)</f>
        <v>50</v>
      </c>
      <c r="DK55" s="11" t="n">
        <f aca="false">SUM($B47:DK47)</f>
        <v>50</v>
      </c>
      <c r="DL55" s="11" t="n">
        <f aca="false">SUM($B47:DL47)</f>
        <v>50</v>
      </c>
      <c r="DM55" s="11" t="n">
        <f aca="false">SUM($B47:DM47)</f>
        <v>50</v>
      </c>
      <c r="DN55" s="11" t="n">
        <f aca="false">SUM($B47:DN47)</f>
        <v>50</v>
      </c>
      <c r="DO55" s="11" t="n">
        <f aca="false">SUM($B47:DO47)</f>
        <v>50</v>
      </c>
      <c r="DP55" s="11" t="n">
        <f aca="false">SUM($B47:DP47)</f>
        <v>50</v>
      </c>
      <c r="DQ55" s="11" t="n">
        <f aca="false">SUM($B47:DQ47)</f>
        <v>50</v>
      </c>
      <c r="DR55" s="11" t="n">
        <f aca="false">SUM($B47:DR47)</f>
        <v>50</v>
      </c>
    </row>
    <row r="56" customFormat="false" ht="15" hidden="false" customHeight="false" outlineLevel="0" collapsed="false">
      <c r="A56" s="9" t="s">
        <v>224</v>
      </c>
      <c r="B56" s="11" t="n">
        <f aca="false">B42-B48</f>
        <v>0</v>
      </c>
      <c r="C56" s="11" t="n">
        <f aca="false">B56+C42-C48</f>
        <v>-1.19305555555556</v>
      </c>
      <c r="D56" s="11" t="n">
        <f aca="false">C56+D42-D48</f>
        <v>-2.44583333333333</v>
      </c>
      <c r="E56" s="11" t="n">
        <f aca="false">D56+E42-E48</f>
        <v>-3.75833333333333</v>
      </c>
      <c r="F56" s="11" t="n">
        <f aca="false">E56+F42-F48</f>
        <v>-5.13055555555556</v>
      </c>
      <c r="G56" s="11" t="n">
        <f aca="false">F56+G42-G48</f>
        <v>-6.5625</v>
      </c>
      <c r="H56" s="11" t="n">
        <f aca="false">G56+H42-H48</f>
        <v>-8.14666666666667</v>
      </c>
      <c r="I56" s="11" t="n">
        <f aca="false">H56+I42-I48</f>
        <v>-9.77263888888889</v>
      </c>
      <c r="J56" s="11" t="n">
        <f aca="false">I56+J42-J48</f>
        <v>-11.4404166666667</v>
      </c>
      <c r="K56" s="11" t="n">
        <f aca="false">J56+K42-K48</f>
        <v>-13.51</v>
      </c>
      <c r="L56" s="11" t="n">
        <f aca="false">K56+L42-L48</f>
        <v>-15.6213888888889</v>
      </c>
      <c r="M56" s="11" t="n">
        <f aca="false">L56+M42-M48</f>
        <v>-17.7745833333333</v>
      </c>
      <c r="N56" s="11" t="n">
        <f aca="false">M56+N42-N48</f>
        <v>-20.3295833333333</v>
      </c>
      <c r="O56" s="11" t="n">
        <f aca="false">N56+O42-O48</f>
        <v>-22.4803333333333</v>
      </c>
      <c r="P56" s="11" t="n">
        <f aca="false">O56+P42-P48</f>
        <v>-24.6351666666667</v>
      </c>
      <c r="Q56" s="11" t="n">
        <f aca="false">P56+Q42-Q48</f>
        <v>-26.7940833333333</v>
      </c>
      <c r="R56" s="11" t="n">
        <f aca="false">Q56+R42-R48</f>
        <v>-28.9570833333333</v>
      </c>
      <c r="S56" s="11" t="n">
        <f aca="false">R56+S42-S48</f>
        <v>-31.1241666666667</v>
      </c>
      <c r="T56" s="11" t="n">
        <f aca="false">S56+T42-T48</f>
        <v>-33.2953333333333</v>
      </c>
      <c r="U56" s="11" t="n">
        <f aca="false">T56+U42-U48</f>
        <v>-35.4705833333333</v>
      </c>
      <c r="V56" s="11" t="n">
        <f aca="false">U56+V42-V48</f>
        <v>-37.6499166666667</v>
      </c>
      <c r="W56" s="11" t="n">
        <f aca="false">V56+W42-W48</f>
        <v>-39.8333333333333</v>
      </c>
      <c r="X56" s="11" t="n">
        <f aca="false">W56+X42-X48</f>
        <v>-42.0208333333333</v>
      </c>
      <c r="Y56" s="11" t="n">
        <f aca="false">X56+Y42-Y48</f>
        <v>-44.2124166666667</v>
      </c>
      <c r="Z56" s="11" t="n">
        <f aca="false">Y56+Z42-Z48</f>
        <v>-46.4080833333333</v>
      </c>
      <c r="AA56" s="11" t="n">
        <f aca="false">Z56+AA42-AA48</f>
        <v>-48.6078333333333</v>
      </c>
      <c r="AB56" s="11" t="n">
        <f aca="false">AA56+AB42-AB48</f>
        <v>-50.8116666666667</v>
      </c>
      <c r="AC56" s="11" t="n">
        <f aca="false">AB56+AC42-AC48</f>
        <v>-53.0195833333333</v>
      </c>
      <c r="AD56" s="11" t="n">
        <f aca="false">AC56+AD42-AD48</f>
        <v>-55.2315833333333</v>
      </c>
      <c r="AE56" s="11" t="n">
        <f aca="false">AD56+AE42-AE48</f>
        <v>-57.4476666666667</v>
      </c>
      <c r="AF56" s="11" t="n">
        <f aca="false">AE56+AF42-AF48</f>
        <v>-59.6678333333333</v>
      </c>
      <c r="AG56" s="11" t="n">
        <f aca="false">AF56+AG42-AG48</f>
        <v>-61.8920833333333</v>
      </c>
      <c r="AH56" s="11" t="n">
        <f aca="false">AG56+AH42-AH48</f>
        <v>-64.1204166666667</v>
      </c>
      <c r="AI56" s="11" t="n">
        <f aca="false">AH56+AI42-AI48</f>
        <v>-66.3528333333333</v>
      </c>
      <c r="AJ56" s="11" t="n">
        <f aca="false">AI56+AJ42-AJ48</f>
        <v>-68.5893333333333</v>
      </c>
      <c r="AK56" s="11" t="n">
        <f aca="false">AJ56+AK42-AK48</f>
        <v>-70.8299166666667</v>
      </c>
      <c r="AL56" s="11" t="n">
        <f aca="false">AK56+AL42-AL48</f>
        <v>-73.0745833333334</v>
      </c>
      <c r="AM56" s="11" t="n">
        <f aca="false">AL56+AM42-AM48</f>
        <v>-75.3233333333334</v>
      </c>
      <c r="AN56" s="11" t="n">
        <f aca="false">AM56+AN42-AN48</f>
        <v>-77.5761666666667</v>
      </c>
      <c r="AO56" s="11" t="n">
        <f aca="false">AN56+AO42-AO48</f>
        <v>-79.8330833333334</v>
      </c>
      <c r="AP56" s="11" t="n">
        <f aca="false">AO56+AP42-AP48</f>
        <v>-82.0940833333334</v>
      </c>
      <c r="AQ56" s="11" t="n">
        <f aca="false">AP56+AQ42-AQ48</f>
        <v>-84.3591666666667</v>
      </c>
      <c r="AR56" s="11" t="n">
        <f aca="false">AQ56+AR42-AR48</f>
        <v>-86.6283333333334</v>
      </c>
      <c r="AS56" s="11" t="n">
        <f aca="false">AR56+AS42-AS48</f>
        <v>-88.9015833333334</v>
      </c>
      <c r="AT56" s="11" t="n">
        <f aca="false">AS56+AT42-AT48</f>
        <v>-91.1789166666667</v>
      </c>
      <c r="AU56" s="11" t="n">
        <f aca="false">AT56+AU42-AU48</f>
        <v>-93.4603333333334</v>
      </c>
      <c r="AV56" s="11" t="n">
        <f aca="false">AU56+AV42-AV48</f>
        <v>-95.7458333333334</v>
      </c>
      <c r="AW56" s="11" t="n">
        <f aca="false">AV56+AW42-AW48</f>
        <v>-98.0354166666667</v>
      </c>
      <c r="AX56" s="11" t="n">
        <f aca="false">AW56+AX42-AX48</f>
        <v>-100.329083333333</v>
      </c>
      <c r="AY56" s="11" t="n">
        <f aca="false">AX56+AY42-AY48</f>
        <v>-102.626833333333</v>
      </c>
      <c r="AZ56" s="11" t="n">
        <f aca="false">AY56+AZ42-AZ48</f>
        <v>-104.928666666667</v>
      </c>
      <c r="BA56" s="11" t="n">
        <f aca="false">AZ56+BA42-BA48</f>
        <v>-107.234583333333</v>
      </c>
      <c r="BB56" s="11" t="n">
        <f aca="false">BA56+BB42-BB48</f>
        <v>-109.544583333333</v>
      </c>
      <c r="BC56" s="11" t="n">
        <f aca="false">BB56+BC42-BC48</f>
        <v>-111.858666666667</v>
      </c>
      <c r="BD56" s="11" t="n">
        <f aca="false">BC56+BD42-BD48</f>
        <v>-114.176833333333</v>
      </c>
      <c r="BE56" s="11" t="n">
        <f aca="false">BD56+BE42-BE48</f>
        <v>-116.499083333333</v>
      </c>
      <c r="BF56" s="11" t="n">
        <f aca="false">BE56+BF42-BF48</f>
        <v>-118.825416666667</v>
      </c>
      <c r="BG56" s="11" t="n">
        <f aca="false">BF56+BG42-BG48</f>
        <v>-121.155833333333</v>
      </c>
      <c r="BH56" s="11" t="n">
        <f aca="false">BG56+BH42-BH48</f>
        <v>-123.490333333333</v>
      </c>
      <c r="BI56" s="11" t="n">
        <f aca="false">BH56+BI42-BI48</f>
        <v>-125.828916666667</v>
      </c>
      <c r="BJ56" s="11" t="n">
        <f aca="false">BI56+BJ42-BJ48</f>
        <v>-128.171583333333</v>
      </c>
      <c r="BK56" s="11" t="n">
        <f aca="false">BJ56+BK42-BK48</f>
        <v>-130.476527777778</v>
      </c>
      <c r="BL56" s="11" t="n">
        <f aca="false">BK56+BL42-BL48</f>
        <v>-132.74375</v>
      </c>
      <c r="BM56" s="11" t="n">
        <f aca="false">BL56+BM42-BM48</f>
        <v>-134.97325</v>
      </c>
      <c r="BN56" s="11" t="n">
        <f aca="false">BM56+BN42-BN48</f>
        <v>-137.165027777778</v>
      </c>
      <c r="BO56" s="11" t="n">
        <f aca="false">BN56+BO42-BO48</f>
        <v>-139.319083333333</v>
      </c>
      <c r="BP56" s="11" t="n">
        <f aca="false">BO56+BP42-BP48</f>
        <v>-141.435416666667</v>
      </c>
      <c r="BQ56" s="11" t="n">
        <f aca="false">BP56+BQ42-BQ48</f>
        <v>-143.514027777778</v>
      </c>
      <c r="BR56" s="11" t="n">
        <f aca="false">BQ56+BR42-BR48</f>
        <v>-145.554916666667</v>
      </c>
      <c r="BS56" s="11" t="n">
        <f aca="false">BR56+BS42-BS48</f>
        <v>-147.558083333333</v>
      </c>
      <c r="BT56" s="11" t="n">
        <f aca="false">BS56+BT42-BT48</f>
        <v>-149.523527777778</v>
      </c>
      <c r="BU56" s="11" t="n">
        <f aca="false">BT56+BU42-BU48</f>
        <v>-151.45125</v>
      </c>
      <c r="BV56" s="11" t="n">
        <f aca="false">BU56+BV42-BV48</f>
        <v>-153.34125</v>
      </c>
      <c r="BW56" s="11" t="n">
        <f aca="false">BV56+BW42-BW48</f>
        <v>-155.23125</v>
      </c>
      <c r="BX56" s="11" t="n">
        <f aca="false">BW56+BX42-BX48</f>
        <v>-157.12125</v>
      </c>
      <c r="BY56" s="11" t="n">
        <f aca="false">BX56+BY42-BY48</f>
        <v>-159.01125</v>
      </c>
      <c r="BZ56" s="11" t="n">
        <f aca="false">BY56+BZ42-BZ48</f>
        <v>-160.90125</v>
      </c>
      <c r="CA56" s="11" t="n">
        <f aca="false">BZ56+CA42-CA48</f>
        <v>-162.79125</v>
      </c>
      <c r="CB56" s="11" t="n">
        <f aca="false">CA56+CB42-CB48</f>
        <v>-164.68125</v>
      </c>
      <c r="CC56" s="11" t="n">
        <f aca="false">CB56+CC42-CC48</f>
        <v>-166.57125</v>
      </c>
      <c r="CD56" s="11" t="n">
        <f aca="false">CC56+CD42-CD48</f>
        <v>-168.46125</v>
      </c>
      <c r="CE56" s="11" t="n">
        <f aca="false">CD56+CE42-CE48</f>
        <v>-170.35125</v>
      </c>
      <c r="CF56" s="11" t="n">
        <f aca="false">CE56+CF42-CF48</f>
        <v>-172.24125</v>
      </c>
      <c r="CG56" s="11" t="n">
        <f aca="false">CF56+CG42-CG48</f>
        <v>-174.13125</v>
      </c>
      <c r="CH56" s="11" t="n">
        <f aca="false">CG56+CH42-CH48</f>
        <v>-176.02125</v>
      </c>
      <c r="CI56" s="11" t="n">
        <f aca="false">CH56+CI42-CI48</f>
        <v>-177.91125</v>
      </c>
      <c r="CJ56" s="11" t="n">
        <f aca="false">CI56+CJ42-CJ48</f>
        <v>-179.80125</v>
      </c>
      <c r="CK56" s="11" t="n">
        <f aca="false">CJ56+CK42-CK48</f>
        <v>-181.69125</v>
      </c>
      <c r="CL56" s="11" t="n">
        <f aca="false">CK56+CL42-CL48</f>
        <v>-183.58125</v>
      </c>
      <c r="CM56" s="11" t="n">
        <f aca="false">CL56+CM42-CM48</f>
        <v>-185.47125</v>
      </c>
      <c r="CN56" s="11" t="n">
        <f aca="false">CM56+CN42-CN48</f>
        <v>-187.36125</v>
      </c>
      <c r="CO56" s="11" t="n">
        <f aca="false">CN56+CO42-CO48</f>
        <v>-189.25125</v>
      </c>
      <c r="CP56" s="11" t="n">
        <f aca="false">CO56+CP42-CP48</f>
        <v>-191.14125</v>
      </c>
      <c r="CQ56" s="11" t="n">
        <f aca="false">CP56+CQ42-CQ48</f>
        <v>-193.03125</v>
      </c>
      <c r="CR56" s="11" t="n">
        <f aca="false">CQ56+CR42-CR48</f>
        <v>-194.92125</v>
      </c>
      <c r="CS56" s="11" t="n">
        <f aca="false">CR56+CS42-CS48</f>
        <v>-196.81125</v>
      </c>
      <c r="CT56" s="11" t="n">
        <f aca="false">CS56+CT42-CT48</f>
        <v>-198.70125</v>
      </c>
      <c r="CU56" s="11" t="n">
        <f aca="false">CT56+CU42-CU48</f>
        <v>-200.59125</v>
      </c>
      <c r="CV56" s="11" t="n">
        <f aca="false">CU56+CV42-CV48</f>
        <v>-202.48125</v>
      </c>
      <c r="CW56" s="11" t="n">
        <f aca="false">CV56+CW42-CW48</f>
        <v>-204.37125</v>
      </c>
      <c r="CX56" s="11" t="n">
        <f aca="false">CW56+CX42-CX48</f>
        <v>-206.26125</v>
      </c>
      <c r="CY56" s="11" t="n">
        <f aca="false">CX56+CY42-CY48</f>
        <v>-208.15125</v>
      </c>
      <c r="CZ56" s="11" t="n">
        <f aca="false">CY56+CZ42-CZ48</f>
        <v>-210.04125</v>
      </c>
      <c r="DA56" s="11" t="n">
        <f aca="false">CZ56+DA42-DA48</f>
        <v>-211.93125</v>
      </c>
      <c r="DB56" s="11" t="n">
        <f aca="false">DA56+DB42-DB48</f>
        <v>-213.82125</v>
      </c>
      <c r="DC56" s="11" t="n">
        <f aca="false">DB56+DC42-DC48</f>
        <v>-215.71125</v>
      </c>
      <c r="DD56" s="11" t="n">
        <f aca="false">DC56+DD42-DD48</f>
        <v>-217.60125</v>
      </c>
      <c r="DE56" s="11" t="n">
        <f aca="false">DD56+DE42-DE48</f>
        <v>-219.49125</v>
      </c>
      <c r="DF56" s="11" t="n">
        <f aca="false">DE56+DF42-DF48</f>
        <v>-221.38125</v>
      </c>
      <c r="DG56" s="11" t="n">
        <f aca="false">DF56+DG42-DG48</f>
        <v>-223.27125</v>
      </c>
      <c r="DH56" s="11" t="n">
        <f aca="false">DG56+DH42-DH48</f>
        <v>-225.16125</v>
      </c>
      <c r="DI56" s="11" t="n">
        <f aca="false">DH56+DI42-DI48</f>
        <v>-227.05125</v>
      </c>
      <c r="DJ56" s="11" t="n">
        <f aca="false">DI56+DJ42-DJ48</f>
        <v>-228.94125</v>
      </c>
      <c r="DK56" s="11" t="n">
        <f aca="false">DJ56+DK42-DK48</f>
        <v>-230.83125</v>
      </c>
      <c r="DL56" s="11" t="n">
        <f aca="false">DK56+DL42-DL48</f>
        <v>-232.72125</v>
      </c>
      <c r="DM56" s="11" t="n">
        <f aca="false">DL56+DM42-DM48</f>
        <v>-234.61125</v>
      </c>
      <c r="DN56" s="11" t="n">
        <f aca="false">DM56+DN42-DN48</f>
        <v>-236.50125</v>
      </c>
      <c r="DO56" s="11" t="n">
        <f aca="false">DN56+DO42-DO48</f>
        <v>-238.39125</v>
      </c>
      <c r="DP56" s="11" t="n">
        <f aca="false">DO56+DP42-DP48</f>
        <v>-240.28125</v>
      </c>
      <c r="DQ56" s="11" t="n">
        <f aca="false">DP56+DQ42-DQ48</f>
        <v>-242.171249999999</v>
      </c>
      <c r="DR56" s="11" t="n">
        <f aca="false">DQ56+DR42-DR48</f>
        <v>-244.061249999999</v>
      </c>
    </row>
    <row r="57" customFormat="false" ht="15" hidden="false" customHeight="false" outlineLevel="0" collapsed="false">
      <c r="A57" s="9" t="s">
        <v>225</v>
      </c>
      <c r="B57" s="11" t="n">
        <f aca="false">B52+B20+B54</f>
        <v>25</v>
      </c>
      <c r="C57" s="11" t="n">
        <f aca="false">C52+C20+C54</f>
        <v>23.8069444444444</v>
      </c>
      <c r="D57" s="11" t="n">
        <f aca="false">D52+D20+D54</f>
        <v>22.5541666666667</v>
      </c>
      <c r="E57" s="11" t="n">
        <f aca="false">E52+E20+E54</f>
        <v>21.2416666666667</v>
      </c>
      <c r="F57" s="11" t="n">
        <f aca="false">F52+F20+F54</f>
        <v>19.8694444444444</v>
      </c>
      <c r="G57" s="11" t="n">
        <f aca="false">G52+G20+G54</f>
        <v>18.4375</v>
      </c>
      <c r="H57" s="11" t="n">
        <f aca="false">H52+H20+H54</f>
        <v>16.8533333333333</v>
      </c>
      <c r="I57" s="11" t="n">
        <f aca="false">I52+I20+I54</f>
        <v>15.2273611111111</v>
      </c>
      <c r="J57" s="11" t="n">
        <f aca="false">J52+J20+J54</f>
        <v>13.5595833333333</v>
      </c>
      <c r="K57" s="11" t="n">
        <f aca="false">K52+K20+K54</f>
        <v>36.49</v>
      </c>
      <c r="L57" s="11" t="n">
        <f aca="false">L52+L20+L54</f>
        <v>34.3786111111111</v>
      </c>
      <c r="M57" s="11" t="n">
        <f aca="false">M52+M20+M54</f>
        <v>32.2254166666667</v>
      </c>
      <c r="N57" s="11" t="n">
        <f aca="false">N52+N20+N54</f>
        <v>29.6704166666667</v>
      </c>
      <c r="O57" s="11" t="n">
        <f aca="false">O52+O20+O54</f>
        <v>27.5196666666667</v>
      </c>
      <c r="P57" s="11" t="n">
        <f aca="false">P52+P20+P54</f>
        <v>25.3648333333333</v>
      </c>
      <c r="Q57" s="11" t="n">
        <f aca="false">Q52+Q20+Q54</f>
        <v>23.2059166666667</v>
      </c>
      <c r="R57" s="11" t="n">
        <f aca="false">R52+R20+R54</f>
        <v>21.0429166666667</v>
      </c>
      <c r="S57" s="11" t="n">
        <f aca="false">S52+S20+S54</f>
        <v>18.8758333333333</v>
      </c>
      <c r="T57" s="11" t="n">
        <f aca="false">T52+T20+T54</f>
        <v>16.7046666666667</v>
      </c>
      <c r="U57" s="11" t="n">
        <f aca="false">U52+U20+U54</f>
        <v>14.5294166666667</v>
      </c>
      <c r="V57" s="11" t="n">
        <f aca="false">V52+V20+V54</f>
        <v>12.3500833333334</v>
      </c>
      <c r="W57" s="11" t="n">
        <f aca="false">W52+W20+W54</f>
        <v>10.1666666666667</v>
      </c>
      <c r="X57" s="11" t="n">
        <f aca="false">X52+X20+X54</f>
        <v>7.97916666666669</v>
      </c>
      <c r="Y57" s="11" t="n">
        <f aca="false">Y52+Y20+Y54</f>
        <v>5.78758333333336</v>
      </c>
      <c r="Z57" s="11" t="n">
        <f aca="false">Z52+Z20+Z54</f>
        <v>3.59191666666669</v>
      </c>
      <c r="AA57" s="11" t="n">
        <f aca="false">AA52+AA20+AA54</f>
        <v>1.3921666666667</v>
      </c>
      <c r="AB57" s="11" t="n">
        <f aca="false">AB52+AB20+AB54</f>
        <v>-0.811666666666632</v>
      </c>
      <c r="AC57" s="11" t="n">
        <f aca="false">AC52+AC20+AC54</f>
        <v>-3.01958333333329</v>
      </c>
      <c r="AD57" s="11" t="n">
        <f aca="false">AD52+AD20+AD54</f>
        <v>-5.23158333333329</v>
      </c>
      <c r="AE57" s="11" t="n">
        <f aca="false">AE52+AE20+AE54</f>
        <v>-7.44766666666662</v>
      </c>
      <c r="AF57" s="11" t="n">
        <f aca="false">AF52+AF20+AF54</f>
        <v>-9.66783333333329</v>
      </c>
      <c r="AG57" s="11" t="n">
        <f aca="false">AG52+AG20+AG54</f>
        <v>-11.8920833333333</v>
      </c>
      <c r="AH57" s="11" t="n">
        <f aca="false">AH52+AH20+AH54</f>
        <v>-14.1204166666666</v>
      </c>
      <c r="AI57" s="11" t="n">
        <f aca="false">AI52+AI20+AI54</f>
        <v>-16.3528333333333</v>
      </c>
      <c r="AJ57" s="11" t="n">
        <f aca="false">AJ52+AJ20+AJ54</f>
        <v>-18.5893333333333</v>
      </c>
      <c r="AK57" s="11" t="n">
        <f aca="false">AK52+AK20+AK54</f>
        <v>-20.8299166666666</v>
      </c>
      <c r="AL57" s="11" t="n">
        <f aca="false">AL52+AL20+AL54</f>
        <v>-23.0745833333333</v>
      </c>
      <c r="AM57" s="11" t="n">
        <f aca="false">AM52+AM20+AM54</f>
        <v>-25.3233333333333</v>
      </c>
      <c r="AN57" s="11" t="n">
        <f aca="false">AN52+AN20+AN54</f>
        <v>-27.5761666666666</v>
      </c>
      <c r="AO57" s="11" t="n">
        <f aca="false">AO52+AO20+AO54</f>
        <v>-29.8330833333333</v>
      </c>
      <c r="AP57" s="11" t="n">
        <f aca="false">AP52+AP20+AP54</f>
        <v>-32.0940833333333</v>
      </c>
      <c r="AQ57" s="11" t="n">
        <f aca="false">AQ52+AQ20+AQ54</f>
        <v>-34.3591666666666</v>
      </c>
      <c r="AR57" s="11" t="n">
        <f aca="false">AR52+AR20+AR54</f>
        <v>-36.6283333333333</v>
      </c>
      <c r="AS57" s="11" t="n">
        <f aca="false">AS52+AS20+AS54</f>
        <v>-38.9015833333333</v>
      </c>
      <c r="AT57" s="11" t="n">
        <f aca="false">AT52+AT20+AT54</f>
        <v>-41.1789166666666</v>
      </c>
      <c r="AU57" s="11" t="n">
        <f aca="false">AU52+AU20+AU54</f>
        <v>-43.4603333333333</v>
      </c>
      <c r="AV57" s="11" t="n">
        <f aca="false">AV52+AV20+AV54</f>
        <v>-45.7458333333333</v>
      </c>
      <c r="AW57" s="11" t="n">
        <f aca="false">AW52+AW20+AW54</f>
        <v>-48.0354166666666</v>
      </c>
      <c r="AX57" s="11" t="n">
        <f aca="false">AX52+AX20+AX54</f>
        <v>-50.3290833333333</v>
      </c>
      <c r="AY57" s="11" t="n">
        <f aca="false">AY52+AY20+AY54</f>
        <v>-52.6268333333333</v>
      </c>
      <c r="AZ57" s="11" t="n">
        <f aca="false">AZ52+AZ20+AZ54</f>
        <v>-54.9286666666666</v>
      </c>
      <c r="BA57" s="11" t="n">
        <f aca="false">BA52+BA20+BA54</f>
        <v>-57.2345833333333</v>
      </c>
      <c r="BB57" s="11" t="n">
        <f aca="false">BB52+BB20+BB54</f>
        <v>-59.5445833333333</v>
      </c>
      <c r="BC57" s="11" t="n">
        <f aca="false">BC52+BC20+BC54</f>
        <v>-61.8586666666666</v>
      </c>
      <c r="BD57" s="11" t="n">
        <f aca="false">BD52+BD20+BD54</f>
        <v>-64.1768333333333</v>
      </c>
      <c r="BE57" s="11" t="n">
        <f aca="false">BE52+BE20+BE54</f>
        <v>-66.4990833333333</v>
      </c>
      <c r="BF57" s="11" t="n">
        <f aca="false">BF52+BF20+BF54</f>
        <v>-68.8254166666666</v>
      </c>
      <c r="BG57" s="11" t="n">
        <f aca="false">BG52+BG20+BG54</f>
        <v>-71.1558333333333</v>
      </c>
      <c r="BH57" s="11" t="n">
        <f aca="false">BH52+BH20+BH54</f>
        <v>-73.4903333333333</v>
      </c>
      <c r="BI57" s="11" t="n">
        <f aca="false">BI52+BI20+BI54</f>
        <v>-75.8289166666666</v>
      </c>
      <c r="BJ57" s="11" t="n">
        <f aca="false">BJ52+BJ20+BJ54</f>
        <v>-78.1715833333333</v>
      </c>
      <c r="BK57" s="11" t="n">
        <f aca="false">BK52+BK20+BK54</f>
        <v>-80.4765277777777</v>
      </c>
      <c r="BL57" s="11" t="n">
        <f aca="false">BL52+BL20+BL54</f>
        <v>-82.74375</v>
      </c>
      <c r="BM57" s="11" t="n">
        <f aca="false">BM52+BM20+BM54</f>
        <v>-84.97325</v>
      </c>
      <c r="BN57" s="11" t="n">
        <f aca="false">BN52+BN20+BN54</f>
        <v>-87.1650277777777</v>
      </c>
      <c r="BO57" s="11" t="n">
        <f aca="false">BO52+BO20+BO54</f>
        <v>-89.3190833333333</v>
      </c>
      <c r="BP57" s="11" t="n">
        <f aca="false">BP52+BP20+BP54</f>
        <v>-91.4354166666666</v>
      </c>
      <c r="BQ57" s="11" t="n">
        <f aca="false">BQ52+BQ20+BQ54</f>
        <v>-93.5140277777777</v>
      </c>
      <c r="BR57" s="11" t="n">
        <f aca="false">BR52+BR20+BR54</f>
        <v>-95.5549166666666</v>
      </c>
      <c r="BS57" s="11" t="n">
        <f aca="false">BS52+BS20+BS54</f>
        <v>-97.5580833333333</v>
      </c>
      <c r="BT57" s="11" t="n">
        <f aca="false">BT52+BT20+BT54</f>
        <v>-99.5235277777777</v>
      </c>
      <c r="BU57" s="11" t="n">
        <f aca="false">BU52+BU20+BU54</f>
        <v>-101.45125</v>
      </c>
      <c r="BV57" s="11" t="n">
        <f aca="false">BV52+BV20+BV54</f>
        <v>-103.34125</v>
      </c>
      <c r="BW57" s="11" t="n">
        <f aca="false">BW52+BW20+BW54</f>
        <v>-105.23125</v>
      </c>
      <c r="BX57" s="11" t="n">
        <f aca="false">BX52+BX20+BX54</f>
        <v>-107.12125</v>
      </c>
      <c r="BY57" s="11" t="n">
        <f aca="false">BY52+BY20+BY54</f>
        <v>-109.01125</v>
      </c>
      <c r="BZ57" s="11" t="n">
        <f aca="false">BZ52+BZ20+BZ54</f>
        <v>-110.90125</v>
      </c>
      <c r="CA57" s="11" t="n">
        <f aca="false">CA52+CA20+CA54</f>
        <v>-112.79125</v>
      </c>
      <c r="CB57" s="11" t="n">
        <f aca="false">CB52+CB20+CB54</f>
        <v>-114.68125</v>
      </c>
      <c r="CC57" s="11" t="n">
        <f aca="false">CC52+CC20+CC54</f>
        <v>-116.57125</v>
      </c>
      <c r="CD57" s="11" t="n">
        <f aca="false">CD52+CD20+CD54</f>
        <v>-118.46125</v>
      </c>
      <c r="CE57" s="11" t="n">
        <f aca="false">CE52+CE20+CE54</f>
        <v>-120.35125</v>
      </c>
      <c r="CF57" s="11" t="n">
        <f aca="false">CF52+CF20+CF54</f>
        <v>-122.24125</v>
      </c>
      <c r="CG57" s="11" t="n">
        <f aca="false">CG52+CG20+CG54</f>
        <v>-124.13125</v>
      </c>
      <c r="CH57" s="11" t="n">
        <f aca="false">CH52+CH20+CH54</f>
        <v>-126.02125</v>
      </c>
      <c r="CI57" s="11" t="n">
        <f aca="false">CI52+CI20+CI54</f>
        <v>-127.91125</v>
      </c>
      <c r="CJ57" s="11" t="n">
        <f aca="false">CJ52+CJ20+CJ54</f>
        <v>-129.80125</v>
      </c>
      <c r="CK57" s="11" t="n">
        <f aca="false">CK52+CK20+CK54</f>
        <v>-131.69125</v>
      </c>
      <c r="CL57" s="11" t="n">
        <f aca="false">CL52+CL20+CL54</f>
        <v>-133.58125</v>
      </c>
      <c r="CM57" s="11" t="n">
        <f aca="false">CM52+CM20+CM54</f>
        <v>-135.47125</v>
      </c>
      <c r="CN57" s="11" t="n">
        <f aca="false">CN52+CN20+CN54</f>
        <v>-137.36125</v>
      </c>
      <c r="CO57" s="11" t="n">
        <f aca="false">CO52+CO20+CO54</f>
        <v>-139.25125</v>
      </c>
      <c r="CP57" s="11" t="n">
        <f aca="false">CP52+CP20+CP54</f>
        <v>-141.14125</v>
      </c>
      <c r="CQ57" s="11" t="n">
        <f aca="false">CQ52+CQ20+CQ54</f>
        <v>-143.03125</v>
      </c>
      <c r="CR57" s="11" t="n">
        <f aca="false">CR52+CR20+CR54</f>
        <v>-144.92125</v>
      </c>
      <c r="CS57" s="11" t="n">
        <f aca="false">CS52+CS20+CS54</f>
        <v>-146.81125</v>
      </c>
      <c r="CT57" s="11" t="n">
        <f aca="false">CT52+CT20+CT54</f>
        <v>-148.70125</v>
      </c>
      <c r="CU57" s="11" t="n">
        <f aca="false">CU52+CU20+CU54</f>
        <v>-150.59125</v>
      </c>
      <c r="CV57" s="11" t="n">
        <f aca="false">CV52+CV20+CV54</f>
        <v>-152.48125</v>
      </c>
      <c r="CW57" s="11" t="n">
        <f aca="false">CW52+CW20+CW54</f>
        <v>-154.37125</v>
      </c>
      <c r="CX57" s="11" t="n">
        <f aca="false">CX52+CX20+CX54</f>
        <v>-156.26125</v>
      </c>
      <c r="CY57" s="11" t="n">
        <f aca="false">CY52+CY20+CY54</f>
        <v>-158.15125</v>
      </c>
      <c r="CZ57" s="11" t="n">
        <f aca="false">CZ52+CZ20+CZ54</f>
        <v>-160.04125</v>
      </c>
      <c r="DA57" s="11" t="n">
        <f aca="false">DA52+DA20+DA54</f>
        <v>-161.93125</v>
      </c>
      <c r="DB57" s="11" t="n">
        <f aca="false">DB52+DB20+DB54</f>
        <v>-163.82125</v>
      </c>
      <c r="DC57" s="11" t="n">
        <f aca="false">DC52+DC20+DC54</f>
        <v>-165.71125</v>
      </c>
      <c r="DD57" s="11" t="n">
        <f aca="false">DD52+DD20+DD54</f>
        <v>-167.60125</v>
      </c>
      <c r="DE57" s="11" t="n">
        <f aca="false">DE52+DE20+DE54</f>
        <v>-169.49125</v>
      </c>
      <c r="DF57" s="11" t="n">
        <f aca="false">DF52+DF20+DF54</f>
        <v>-171.38125</v>
      </c>
      <c r="DG57" s="11" t="n">
        <f aca="false">DG52+DG20+DG54</f>
        <v>-173.27125</v>
      </c>
      <c r="DH57" s="11" t="n">
        <f aca="false">DH52+DH20+DH54</f>
        <v>-175.16125</v>
      </c>
      <c r="DI57" s="11" t="n">
        <f aca="false">DI52+DI20+DI54</f>
        <v>-177.05125</v>
      </c>
      <c r="DJ57" s="11" t="n">
        <f aca="false">DJ52+DJ20+DJ54</f>
        <v>-178.94125</v>
      </c>
      <c r="DK57" s="11" t="n">
        <f aca="false">DK52+DK20+DK54</f>
        <v>-180.83125</v>
      </c>
      <c r="DL57" s="11" t="n">
        <f aca="false">DL52+DL20+DL54</f>
        <v>-182.72125</v>
      </c>
      <c r="DM57" s="11" t="n">
        <f aca="false">DM52+DM20+DM54</f>
        <v>-184.61125</v>
      </c>
      <c r="DN57" s="11" t="n">
        <f aca="false">DN52+DN20+DN54</f>
        <v>-186.50125</v>
      </c>
      <c r="DO57" s="11" t="n">
        <f aca="false">DO52+DO20+DO54</f>
        <v>-188.391249999999</v>
      </c>
      <c r="DP57" s="11" t="n">
        <f aca="false">DP52+DP20+DP54</f>
        <v>-190.281249999999</v>
      </c>
      <c r="DQ57" s="11" t="n">
        <f aca="false">DQ52+DQ20+DQ54</f>
        <v>-192.171249999999</v>
      </c>
      <c r="DR57" s="11" t="n">
        <f aca="false">DR52+DR20+DR54</f>
        <v>-194.061249999999</v>
      </c>
    </row>
    <row r="58" customFormat="false" ht="15" hidden="false" customHeight="false" outlineLevel="0" collapsed="false">
      <c r="A58" s="9" t="s">
        <v>226</v>
      </c>
      <c r="B58" s="11" t="n">
        <f aca="false">B43+B55+B56</f>
        <v>25</v>
      </c>
      <c r="C58" s="11" t="n">
        <f aca="false">C43+C55+C56</f>
        <v>23.8069444444444</v>
      </c>
      <c r="D58" s="11" t="n">
        <f aca="false">D43+D55+D56</f>
        <v>22.5541666666667</v>
      </c>
      <c r="E58" s="11" t="n">
        <f aca="false">E43+E55+E56</f>
        <v>21.2416666666667</v>
      </c>
      <c r="F58" s="11" t="n">
        <f aca="false">F43+F55+F56</f>
        <v>19.8694444444444</v>
      </c>
      <c r="G58" s="11" t="n">
        <f aca="false">G43+G55+G56</f>
        <v>18.4375</v>
      </c>
      <c r="H58" s="11" t="n">
        <f aca="false">H43+H55+H56</f>
        <v>16.8533333333333</v>
      </c>
      <c r="I58" s="11" t="n">
        <f aca="false">I43+I55+I56</f>
        <v>15.2273611111111</v>
      </c>
      <c r="J58" s="11" t="n">
        <f aca="false">J43+J55+J56</f>
        <v>13.5595833333333</v>
      </c>
      <c r="K58" s="11" t="n">
        <f aca="false">K43+K55+K56</f>
        <v>36.49</v>
      </c>
      <c r="L58" s="11" t="n">
        <f aca="false">L43+L55+L56</f>
        <v>34.3786111111111</v>
      </c>
      <c r="M58" s="11" t="n">
        <f aca="false">M43+M55+M56</f>
        <v>32.2254166666667</v>
      </c>
      <c r="N58" s="11" t="n">
        <f aca="false">N43+N55+N56</f>
        <v>29.6704166666667</v>
      </c>
      <c r="O58" s="11" t="n">
        <f aca="false">O43+O55+O56</f>
        <v>27.5196666666667</v>
      </c>
      <c r="P58" s="11" t="n">
        <f aca="false">P43+P55+P56</f>
        <v>25.3648333333333</v>
      </c>
      <c r="Q58" s="11" t="n">
        <f aca="false">Q43+Q55+Q56</f>
        <v>23.2059166666667</v>
      </c>
      <c r="R58" s="11" t="n">
        <f aca="false">R43+R55+R56</f>
        <v>21.0429166666667</v>
      </c>
      <c r="S58" s="11" t="n">
        <f aca="false">S43+S55+S56</f>
        <v>18.8758333333333</v>
      </c>
      <c r="T58" s="11" t="n">
        <f aca="false">T43+T55+T56</f>
        <v>16.7046666666667</v>
      </c>
      <c r="U58" s="11" t="n">
        <f aca="false">U43+U55+U56</f>
        <v>14.5294166666667</v>
      </c>
      <c r="V58" s="11" t="n">
        <f aca="false">V43+V55+V56</f>
        <v>12.3500833333333</v>
      </c>
      <c r="W58" s="11" t="n">
        <f aca="false">W43+W55+W56</f>
        <v>10.1666666666667</v>
      </c>
      <c r="X58" s="11" t="n">
        <f aca="false">X43+X55+X56</f>
        <v>7.97916666666666</v>
      </c>
      <c r="Y58" s="11" t="n">
        <f aca="false">Y43+Y55+Y56</f>
        <v>5.78758333333333</v>
      </c>
      <c r="Z58" s="11" t="n">
        <f aca="false">Z43+Z55+Z56</f>
        <v>3.59191666666666</v>
      </c>
      <c r="AA58" s="11" t="n">
        <f aca="false">AA43+AA55+AA56</f>
        <v>1.39216666666666</v>
      </c>
      <c r="AB58" s="11" t="n">
        <f aca="false">AB43+AB55+AB56</f>
        <v>-0.811666666666667</v>
      </c>
      <c r="AC58" s="11" t="n">
        <f aca="false">AC43+AC55+AC56</f>
        <v>-3.01958333333334</v>
      </c>
      <c r="AD58" s="11" t="n">
        <f aca="false">AD43+AD55+AD56</f>
        <v>-5.23158333333333</v>
      </c>
      <c r="AE58" s="11" t="n">
        <f aca="false">AE43+AE55+AE56</f>
        <v>-7.44766666666666</v>
      </c>
      <c r="AF58" s="11" t="n">
        <f aca="false">AF43+AF55+AF56</f>
        <v>-9.66783333333333</v>
      </c>
      <c r="AG58" s="11" t="n">
        <f aca="false">AG43+AG55+AG56</f>
        <v>-11.8920833333333</v>
      </c>
      <c r="AH58" s="11" t="n">
        <f aca="false">AH43+AH55+AH56</f>
        <v>-14.1204166666667</v>
      </c>
      <c r="AI58" s="11" t="n">
        <f aca="false">AI43+AI55+AI56</f>
        <v>-16.3528333333333</v>
      </c>
      <c r="AJ58" s="11" t="n">
        <f aca="false">AJ43+AJ55+AJ56</f>
        <v>-18.5893333333333</v>
      </c>
      <c r="AK58" s="11" t="n">
        <f aca="false">AK43+AK55+AK56</f>
        <v>-20.8299166666667</v>
      </c>
      <c r="AL58" s="11" t="n">
        <f aca="false">AL43+AL55+AL56</f>
        <v>-23.0745833333334</v>
      </c>
      <c r="AM58" s="11" t="n">
        <f aca="false">AM43+AM55+AM56</f>
        <v>-25.3233333333334</v>
      </c>
      <c r="AN58" s="11" t="n">
        <f aca="false">AN43+AN55+AN56</f>
        <v>-27.5761666666667</v>
      </c>
      <c r="AO58" s="11" t="n">
        <f aca="false">AO43+AO55+AO56</f>
        <v>-29.8330833333334</v>
      </c>
      <c r="AP58" s="11" t="n">
        <f aca="false">AP43+AP55+AP56</f>
        <v>-32.0940833333334</v>
      </c>
      <c r="AQ58" s="11" t="n">
        <f aca="false">AQ43+AQ55+AQ56</f>
        <v>-34.3591666666667</v>
      </c>
      <c r="AR58" s="11" t="n">
        <f aca="false">AR43+AR55+AR56</f>
        <v>-36.6283333333334</v>
      </c>
      <c r="AS58" s="11" t="n">
        <f aca="false">AS43+AS55+AS56</f>
        <v>-38.9015833333334</v>
      </c>
      <c r="AT58" s="11" t="n">
        <f aca="false">AT43+AT55+AT56</f>
        <v>-41.1789166666667</v>
      </c>
      <c r="AU58" s="11" t="n">
        <f aca="false">AU43+AU55+AU56</f>
        <v>-43.4603333333334</v>
      </c>
      <c r="AV58" s="11" t="n">
        <f aca="false">AV43+AV55+AV56</f>
        <v>-45.7458333333334</v>
      </c>
      <c r="AW58" s="11" t="n">
        <f aca="false">AW43+AW55+AW56</f>
        <v>-48.0354166666667</v>
      </c>
      <c r="AX58" s="11" t="n">
        <f aca="false">AX43+AX55+AX56</f>
        <v>-50.3290833333334</v>
      </c>
      <c r="AY58" s="11" t="n">
        <f aca="false">AY43+AY55+AY56</f>
        <v>-52.6268333333334</v>
      </c>
      <c r="AZ58" s="11" t="n">
        <f aca="false">AZ43+AZ55+AZ56</f>
        <v>-54.9286666666667</v>
      </c>
      <c r="BA58" s="11" t="n">
        <f aca="false">BA43+BA55+BA56</f>
        <v>-57.2345833333334</v>
      </c>
      <c r="BB58" s="11" t="n">
        <f aca="false">BB43+BB55+BB56</f>
        <v>-59.5445833333334</v>
      </c>
      <c r="BC58" s="11" t="n">
        <f aca="false">BC43+BC55+BC56</f>
        <v>-61.8586666666667</v>
      </c>
      <c r="BD58" s="11" t="n">
        <f aca="false">BD43+BD55+BD56</f>
        <v>-64.1768333333334</v>
      </c>
      <c r="BE58" s="11" t="n">
        <f aca="false">BE43+BE55+BE56</f>
        <v>-66.4990833333334</v>
      </c>
      <c r="BF58" s="11" t="n">
        <f aca="false">BF43+BF55+BF56</f>
        <v>-68.8254166666667</v>
      </c>
      <c r="BG58" s="11" t="n">
        <f aca="false">BG43+BG55+BG56</f>
        <v>-71.1558333333334</v>
      </c>
      <c r="BH58" s="11" t="n">
        <f aca="false">BH43+BH55+BH56</f>
        <v>-73.4903333333334</v>
      </c>
      <c r="BI58" s="11" t="n">
        <f aca="false">BI43+BI55+BI56</f>
        <v>-75.8289166666667</v>
      </c>
      <c r="BJ58" s="11" t="n">
        <f aca="false">BJ43+BJ55+BJ56</f>
        <v>-78.1715833333334</v>
      </c>
      <c r="BK58" s="11" t="n">
        <f aca="false">BK43+BK55+BK56</f>
        <v>-80.4765277777779</v>
      </c>
      <c r="BL58" s="11" t="n">
        <f aca="false">BL43+BL55+BL56</f>
        <v>-82.7437500000001</v>
      </c>
      <c r="BM58" s="11" t="n">
        <f aca="false">BM43+BM55+BM56</f>
        <v>-84.9732500000001</v>
      </c>
      <c r="BN58" s="11" t="n">
        <f aca="false">BN43+BN55+BN56</f>
        <v>-87.1650277777779</v>
      </c>
      <c r="BO58" s="11" t="n">
        <f aca="false">BO43+BO55+BO56</f>
        <v>-89.3190833333334</v>
      </c>
      <c r="BP58" s="11" t="n">
        <f aca="false">BP43+BP55+BP56</f>
        <v>-91.4354166666668</v>
      </c>
      <c r="BQ58" s="11" t="n">
        <f aca="false">BQ43+BQ55+BQ56</f>
        <v>-93.5140277777779</v>
      </c>
      <c r="BR58" s="11" t="n">
        <f aca="false">BR43+BR55+BR56</f>
        <v>-95.5549166666668</v>
      </c>
      <c r="BS58" s="11" t="n">
        <f aca="false">BS43+BS55+BS56</f>
        <v>-97.5580833333334</v>
      </c>
      <c r="BT58" s="11" t="n">
        <f aca="false">BT43+BT55+BT56</f>
        <v>-99.5235277777779</v>
      </c>
      <c r="BU58" s="11" t="n">
        <f aca="false">BU43+BU55+BU56</f>
        <v>-101.45125</v>
      </c>
      <c r="BV58" s="11" t="n">
        <f aca="false">BV43+BV55+BV56</f>
        <v>-103.34125</v>
      </c>
      <c r="BW58" s="11" t="n">
        <f aca="false">BW43+BW55+BW56</f>
        <v>-105.23125</v>
      </c>
      <c r="BX58" s="11" t="n">
        <f aca="false">BX43+BX55+BX56</f>
        <v>-107.12125</v>
      </c>
      <c r="BY58" s="11" t="n">
        <f aca="false">BY43+BY55+BY56</f>
        <v>-109.01125</v>
      </c>
      <c r="BZ58" s="11" t="n">
        <f aca="false">BZ43+BZ55+BZ56</f>
        <v>-110.90125</v>
      </c>
      <c r="CA58" s="11" t="n">
        <f aca="false">CA43+CA55+CA56</f>
        <v>-112.79125</v>
      </c>
      <c r="CB58" s="11" t="n">
        <f aca="false">CB43+CB55+CB56</f>
        <v>-114.68125</v>
      </c>
      <c r="CC58" s="11" t="n">
        <f aca="false">CC43+CC55+CC56</f>
        <v>-116.57125</v>
      </c>
      <c r="CD58" s="11" t="n">
        <f aca="false">CD43+CD55+CD56</f>
        <v>-118.46125</v>
      </c>
      <c r="CE58" s="11" t="n">
        <f aca="false">CE43+CE55+CE56</f>
        <v>-120.35125</v>
      </c>
      <c r="CF58" s="11" t="n">
        <f aca="false">CF43+CF55+CF56</f>
        <v>-122.24125</v>
      </c>
      <c r="CG58" s="11" t="n">
        <f aca="false">CG43+CG55+CG56</f>
        <v>-124.13125</v>
      </c>
      <c r="CH58" s="11" t="n">
        <f aca="false">CH43+CH55+CH56</f>
        <v>-126.02125</v>
      </c>
      <c r="CI58" s="11" t="n">
        <f aca="false">CI43+CI55+CI56</f>
        <v>-127.91125</v>
      </c>
      <c r="CJ58" s="11" t="n">
        <f aca="false">CJ43+CJ55+CJ56</f>
        <v>-129.80125</v>
      </c>
      <c r="CK58" s="11" t="n">
        <f aca="false">CK43+CK55+CK56</f>
        <v>-131.69125</v>
      </c>
      <c r="CL58" s="11" t="n">
        <f aca="false">CL43+CL55+CL56</f>
        <v>-133.58125</v>
      </c>
      <c r="CM58" s="11" t="n">
        <f aca="false">CM43+CM55+CM56</f>
        <v>-135.47125</v>
      </c>
      <c r="CN58" s="11" t="n">
        <f aca="false">CN43+CN55+CN56</f>
        <v>-137.36125</v>
      </c>
      <c r="CO58" s="11" t="n">
        <f aca="false">CO43+CO55+CO56</f>
        <v>-139.25125</v>
      </c>
      <c r="CP58" s="11" t="n">
        <f aca="false">CP43+CP55+CP56</f>
        <v>-141.14125</v>
      </c>
      <c r="CQ58" s="11" t="n">
        <f aca="false">CQ43+CQ55+CQ56</f>
        <v>-143.03125</v>
      </c>
      <c r="CR58" s="11" t="n">
        <f aca="false">CR43+CR55+CR56</f>
        <v>-144.92125</v>
      </c>
      <c r="CS58" s="11" t="n">
        <f aca="false">CS43+CS55+CS56</f>
        <v>-146.81125</v>
      </c>
      <c r="CT58" s="11" t="n">
        <f aca="false">CT43+CT55+CT56</f>
        <v>-148.70125</v>
      </c>
      <c r="CU58" s="11" t="n">
        <f aca="false">CU43+CU55+CU56</f>
        <v>-150.59125</v>
      </c>
      <c r="CV58" s="11" t="n">
        <f aca="false">CV43+CV55+CV56</f>
        <v>-152.48125</v>
      </c>
      <c r="CW58" s="11" t="n">
        <f aca="false">CW43+CW55+CW56</f>
        <v>-154.37125</v>
      </c>
      <c r="CX58" s="11" t="n">
        <f aca="false">CX43+CX55+CX56</f>
        <v>-156.26125</v>
      </c>
      <c r="CY58" s="11" t="n">
        <f aca="false">CY43+CY55+CY56</f>
        <v>-158.15125</v>
      </c>
      <c r="CZ58" s="11" t="n">
        <f aca="false">CZ43+CZ55+CZ56</f>
        <v>-160.04125</v>
      </c>
      <c r="DA58" s="11" t="n">
        <f aca="false">DA43+DA55+DA56</f>
        <v>-161.93125</v>
      </c>
      <c r="DB58" s="11" t="n">
        <f aca="false">DB43+DB55+DB56</f>
        <v>-163.82125</v>
      </c>
      <c r="DC58" s="11" t="n">
        <f aca="false">DC43+DC55+DC56</f>
        <v>-165.71125</v>
      </c>
      <c r="DD58" s="11" t="n">
        <f aca="false">DD43+DD55+DD56</f>
        <v>-167.60125</v>
      </c>
      <c r="DE58" s="11" t="n">
        <f aca="false">DE43+DE55+DE56</f>
        <v>-169.49125</v>
      </c>
      <c r="DF58" s="11" t="n">
        <f aca="false">DF43+DF55+DF56</f>
        <v>-171.38125</v>
      </c>
      <c r="DG58" s="11" t="n">
        <f aca="false">DG43+DG55+DG56</f>
        <v>-173.27125</v>
      </c>
      <c r="DH58" s="11" t="n">
        <f aca="false">DH43+DH55+DH56</f>
        <v>-175.16125</v>
      </c>
      <c r="DI58" s="11" t="n">
        <f aca="false">DI43+DI55+DI56</f>
        <v>-177.05125</v>
      </c>
      <c r="DJ58" s="11" t="n">
        <f aca="false">DJ43+DJ55+DJ56</f>
        <v>-178.94125</v>
      </c>
      <c r="DK58" s="11" t="n">
        <f aca="false">DK43+DK55+DK56</f>
        <v>-180.83125</v>
      </c>
      <c r="DL58" s="11" t="n">
        <f aca="false">DL43+DL55+DL56</f>
        <v>-182.72125</v>
      </c>
      <c r="DM58" s="11" t="n">
        <f aca="false">DM43+DM55+DM56</f>
        <v>-184.61125</v>
      </c>
      <c r="DN58" s="11" t="n">
        <f aca="false">DN43+DN55+DN56</f>
        <v>-186.50125</v>
      </c>
      <c r="DO58" s="11" t="n">
        <f aca="false">DO43+DO55+DO56</f>
        <v>-188.39125</v>
      </c>
      <c r="DP58" s="11" t="n">
        <f aca="false">DP43+DP55+DP56</f>
        <v>-190.28125</v>
      </c>
      <c r="DQ58" s="11" t="n">
        <f aca="false">DQ43+DQ55+DQ56</f>
        <v>-192.171249999999</v>
      </c>
      <c r="DR58" s="11" t="n">
        <f aca="false">DR43+DR55+DR56</f>
        <v>-194.061249999999</v>
      </c>
    </row>
    <row r="59" customFormat="false" ht="15" hidden="false" customHeight="false" outlineLevel="0" collapsed="false">
      <c r="A59" s="12" t="s">
        <v>227</v>
      </c>
      <c r="B59" s="13" t="n">
        <f aca="false">B57-B58</f>
        <v>0</v>
      </c>
      <c r="C59" s="13" t="n">
        <f aca="false">C57-C58</f>
        <v>0</v>
      </c>
      <c r="D59" s="13" t="n">
        <f aca="false">D57-D58</f>
        <v>0</v>
      </c>
      <c r="E59" s="13" t="n">
        <f aca="false">E57-E58</f>
        <v>0</v>
      </c>
      <c r="F59" s="13" t="n">
        <f aca="false">F57-F58</f>
        <v>0</v>
      </c>
      <c r="G59" s="13" t="n">
        <f aca="false">G57-G58</f>
        <v>0</v>
      </c>
      <c r="H59" s="13" t="n">
        <f aca="false">H57-H58</f>
        <v>0</v>
      </c>
      <c r="I59" s="13" t="n">
        <f aca="false">I57-I58</f>
        <v>0</v>
      </c>
      <c r="J59" s="13" t="n">
        <f aca="false">J57-J58</f>
        <v>0</v>
      </c>
      <c r="K59" s="13" t="n">
        <f aca="false">K57-K58</f>
        <v>0</v>
      </c>
      <c r="L59" s="13" t="n">
        <f aca="false">L57-L58</f>
        <v>0</v>
      </c>
      <c r="M59" s="13" t="n">
        <f aca="false">M57-M58</f>
        <v>0</v>
      </c>
      <c r="N59" s="13" t="n">
        <f aca="false">N57-N58</f>
        <v>0</v>
      </c>
      <c r="O59" s="13" t="n">
        <f aca="false">O57-O58</f>
        <v>0</v>
      </c>
      <c r="P59" s="13" t="n">
        <f aca="false">P57-P58</f>
        <v>0</v>
      </c>
      <c r="Q59" s="13" t="n">
        <f aca="false">Q57-Q58</f>
        <v>0</v>
      </c>
      <c r="R59" s="13" t="n">
        <f aca="false">R57-R58</f>
        <v>0</v>
      </c>
      <c r="S59" s="13" t="n">
        <f aca="false">S57-S58</f>
        <v>0</v>
      </c>
      <c r="T59" s="13" t="n">
        <f aca="false">T57-T58</f>
        <v>0</v>
      </c>
      <c r="U59" s="13" t="n">
        <f aca="false">U57-U58</f>
        <v>0</v>
      </c>
      <c r="V59" s="13" t="n">
        <f aca="false">V57-V58</f>
        <v>0</v>
      </c>
      <c r="W59" s="13" t="n">
        <f aca="false">W57-W58</f>
        <v>0</v>
      </c>
      <c r="X59" s="13" t="n">
        <f aca="false">X57-X58</f>
        <v>2.8421709430404E-014</v>
      </c>
      <c r="Y59" s="13" t="n">
        <f aca="false">Y57-Y58</f>
        <v>2.8421709430404E-014</v>
      </c>
      <c r="Z59" s="13" t="n">
        <f aca="false">Z57-Z58</f>
        <v>2.8421709430404E-014</v>
      </c>
      <c r="AA59" s="13" t="n">
        <f aca="false">AA57-AA58</f>
        <v>3.5527136788005E-014</v>
      </c>
      <c r="AB59" s="13" t="n">
        <f aca="false">AB57-AB58</f>
        <v>3.5527136788005E-014</v>
      </c>
      <c r="AC59" s="13" t="n">
        <f aca="false">AC57-AC58</f>
        <v>4.2632564145606E-014</v>
      </c>
      <c r="AD59" s="13" t="n">
        <f aca="false">AD57-AD58</f>
        <v>4.61852778244065E-014</v>
      </c>
      <c r="AE59" s="13" t="n">
        <f aca="false">AE57-AE58</f>
        <v>3.90798504668055E-014</v>
      </c>
      <c r="AF59" s="13" t="n">
        <f aca="false">AF57-AF58</f>
        <v>4.61852778244065E-014</v>
      </c>
      <c r="AG59" s="13" t="n">
        <f aca="false">AG57-AG58</f>
        <v>0</v>
      </c>
      <c r="AH59" s="13" t="n">
        <f aca="false">AH57-AH58</f>
        <v>5.6843418860808E-014</v>
      </c>
      <c r="AI59" s="13" t="n">
        <f aca="false">AI57-AI58</f>
        <v>0</v>
      </c>
      <c r="AJ59" s="13" t="n">
        <f aca="false">AJ57-AJ58</f>
        <v>0</v>
      </c>
      <c r="AK59" s="13" t="n">
        <f aca="false">AK57-AK58</f>
        <v>0</v>
      </c>
      <c r="AL59" s="13" t="n">
        <f aca="false">AL57-AL58</f>
        <v>0</v>
      </c>
      <c r="AM59" s="13" t="n">
        <f aca="false">AM57-AM58</f>
        <v>0</v>
      </c>
      <c r="AN59" s="13" t="n">
        <f aca="false">AN57-AN58</f>
        <v>0</v>
      </c>
      <c r="AO59" s="13" t="n">
        <f aca="false">AO57-AO58</f>
        <v>0</v>
      </c>
      <c r="AP59" s="13" t="n">
        <f aca="false">AP57-AP58</f>
        <v>0</v>
      </c>
      <c r="AQ59" s="13" t="n">
        <f aca="false">AQ57-AQ58</f>
        <v>0</v>
      </c>
      <c r="AR59" s="13" t="n">
        <f aca="false">AR57-AR58</f>
        <v>0</v>
      </c>
      <c r="AS59" s="13" t="n">
        <f aca="false">AS57-AS58</f>
        <v>0</v>
      </c>
      <c r="AT59" s="13" t="n">
        <f aca="false">AT57-AT58</f>
        <v>0</v>
      </c>
      <c r="AU59" s="13" t="n">
        <f aca="false">AU57-AU58</f>
        <v>0</v>
      </c>
      <c r="AV59" s="13" t="n">
        <f aca="false">AV57-AV58</f>
        <v>0</v>
      </c>
      <c r="AW59" s="13" t="n">
        <f aca="false">AW57-AW58</f>
        <v>0</v>
      </c>
      <c r="AX59" s="13" t="n">
        <f aca="false">AX57-AX58</f>
        <v>0</v>
      </c>
      <c r="AY59" s="13" t="n">
        <f aca="false">AY57-AY58</f>
        <v>0</v>
      </c>
      <c r="AZ59" s="13" t="n">
        <f aca="false">AZ57-AZ58</f>
        <v>0</v>
      </c>
      <c r="BA59" s="13" t="n">
        <f aca="false">BA57-BA58</f>
        <v>0</v>
      </c>
      <c r="BB59" s="13" t="n">
        <f aca="false">BB57-BB58</f>
        <v>0</v>
      </c>
      <c r="BC59" s="13" t="n">
        <f aca="false">BC57-BC58</f>
        <v>0</v>
      </c>
      <c r="BD59" s="13" t="n">
        <f aca="false">BD57-BD58</f>
        <v>0</v>
      </c>
      <c r="BE59" s="13" t="n">
        <f aca="false">BE57-BE58</f>
        <v>0</v>
      </c>
      <c r="BF59" s="13" t="n">
        <f aca="false">BF57-BF58</f>
        <v>0</v>
      </c>
      <c r="BG59" s="13" t="n">
        <f aca="false">BG57-BG58</f>
        <v>0</v>
      </c>
      <c r="BH59" s="13" t="n">
        <f aca="false">BH57-BH58</f>
        <v>0</v>
      </c>
      <c r="BI59" s="13" t="n">
        <f aca="false">BI57-BI58</f>
        <v>0</v>
      </c>
      <c r="BJ59" s="13" t="n">
        <f aca="false">BJ57-BJ58</f>
        <v>0</v>
      </c>
      <c r="BK59" s="13" t="n">
        <f aca="false">BK57-BK58</f>
        <v>0</v>
      </c>
      <c r="BL59" s="13" t="n">
        <f aca="false">BL57-BL58</f>
        <v>0</v>
      </c>
      <c r="BM59" s="13" t="n">
        <f aca="false">BM57-BM58</f>
        <v>0</v>
      </c>
      <c r="BN59" s="13" t="n">
        <f aca="false">BN57-BN58</f>
        <v>0</v>
      </c>
      <c r="BO59" s="13" t="n">
        <f aca="false">BO57-BO58</f>
        <v>0</v>
      </c>
      <c r="BP59" s="13" t="n">
        <f aca="false">BP57-BP58</f>
        <v>0</v>
      </c>
      <c r="BQ59" s="13" t="n">
        <f aca="false">BQ57-BQ58</f>
        <v>0</v>
      </c>
      <c r="BR59" s="13" t="n">
        <f aca="false">BR57-BR58</f>
        <v>0</v>
      </c>
      <c r="BS59" s="13" t="n">
        <f aca="false">BS57-BS58</f>
        <v>0</v>
      </c>
      <c r="BT59" s="13" t="n">
        <f aca="false">BT57-BT58</f>
        <v>0</v>
      </c>
      <c r="BU59" s="13" t="n">
        <f aca="false">BU57-BU58</f>
        <v>0</v>
      </c>
      <c r="BV59" s="13" t="n">
        <f aca="false">BV57-BV58</f>
        <v>0</v>
      </c>
      <c r="BW59" s="13" t="n">
        <f aca="false">BW57-BW58</f>
        <v>0</v>
      </c>
      <c r="BX59" s="13" t="n">
        <f aca="false">BX57-BX58</f>
        <v>0</v>
      </c>
      <c r="BY59" s="13" t="n">
        <f aca="false">BY57-BY58</f>
        <v>0</v>
      </c>
      <c r="BZ59" s="13" t="n">
        <f aca="false">BZ57-BZ58</f>
        <v>0</v>
      </c>
      <c r="CA59" s="13" t="n">
        <f aca="false">CA57-CA58</f>
        <v>0</v>
      </c>
      <c r="CB59" s="13" t="n">
        <f aca="false">CB57-CB58</f>
        <v>0</v>
      </c>
      <c r="CC59" s="13" t="n">
        <f aca="false">CC57-CC58</f>
        <v>0</v>
      </c>
      <c r="CD59" s="13" t="n">
        <f aca="false">CD57-CD58</f>
        <v>0</v>
      </c>
      <c r="CE59" s="13" t="n">
        <f aca="false">CE57-CE58</f>
        <v>0</v>
      </c>
      <c r="CF59" s="13" t="n">
        <f aca="false">CF57-CF58</f>
        <v>0</v>
      </c>
      <c r="CG59" s="13" t="n">
        <f aca="false">CG57-CG58</f>
        <v>0</v>
      </c>
      <c r="CH59" s="13" t="n">
        <f aca="false">CH57-CH58</f>
        <v>0</v>
      </c>
      <c r="CI59" s="13" t="n">
        <f aca="false">CI57-CI58</f>
        <v>0</v>
      </c>
      <c r="CJ59" s="13" t="n">
        <f aca="false">CJ57-CJ58</f>
        <v>0</v>
      </c>
      <c r="CK59" s="13" t="n">
        <f aca="false">CK57-CK58</f>
        <v>0</v>
      </c>
      <c r="CL59" s="13" t="n">
        <f aca="false">CL57-CL58</f>
        <v>0</v>
      </c>
      <c r="CM59" s="13" t="n">
        <f aca="false">CM57-CM58</f>
        <v>0</v>
      </c>
      <c r="CN59" s="13" t="n">
        <f aca="false">CN57-CN58</f>
        <v>0</v>
      </c>
      <c r="CO59" s="13" t="n">
        <f aca="false">CO57-CO58</f>
        <v>0</v>
      </c>
      <c r="CP59" s="13" t="n">
        <f aca="false">CP57-CP58</f>
        <v>0</v>
      </c>
      <c r="CQ59" s="13" t="n">
        <f aca="false">CQ57-CQ58</f>
        <v>0</v>
      </c>
      <c r="CR59" s="13" t="n">
        <f aca="false">CR57-CR58</f>
        <v>0</v>
      </c>
      <c r="CS59" s="13" t="n">
        <f aca="false">CS57-CS58</f>
        <v>0</v>
      </c>
      <c r="CT59" s="13" t="n">
        <f aca="false">CT57-CT58</f>
        <v>0</v>
      </c>
      <c r="CU59" s="13" t="n">
        <f aca="false">CU57-CU58</f>
        <v>0</v>
      </c>
      <c r="CV59" s="13" t="n">
        <f aca="false">CV57-CV58</f>
        <v>0</v>
      </c>
      <c r="CW59" s="13" t="n">
        <f aca="false">CW57-CW58</f>
        <v>0</v>
      </c>
      <c r="CX59" s="13" t="n">
        <f aca="false">CX57-CX58</f>
        <v>0</v>
      </c>
      <c r="CY59" s="13" t="n">
        <f aca="false">CY57-CY58</f>
        <v>0</v>
      </c>
      <c r="CZ59" s="13" t="n">
        <f aca="false">CZ57-CZ58</f>
        <v>0</v>
      </c>
      <c r="DA59" s="13" t="n">
        <f aca="false">DA57-DA58</f>
        <v>0</v>
      </c>
      <c r="DB59" s="13" t="n">
        <f aca="false">DB57-DB58</f>
        <v>0</v>
      </c>
      <c r="DC59" s="13" t="n">
        <f aca="false">DC57-DC58</f>
        <v>0</v>
      </c>
      <c r="DD59" s="13" t="n">
        <f aca="false">DD57-DD58</f>
        <v>0</v>
      </c>
      <c r="DE59" s="13" t="n">
        <f aca="false">DE57-DE58</f>
        <v>0</v>
      </c>
      <c r="DF59" s="13" t="n">
        <f aca="false">DF57-DF58</f>
        <v>0</v>
      </c>
      <c r="DG59" s="13" t="n">
        <f aca="false">DG57-DG58</f>
        <v>0</v>
      </c>
      <c r="DH59" s="13" t="n">
        <f aca="false">DH57-DH58</f>
        <v>0</v>
      </c>
      <c r="DI59" s="13" t="n">
        <f aca="false">DI57-DI58</f>
        <v>0</v>
      </c>
      <c r="DJ59" s="13" t="n">
        <f aca="false">DJ57-DJ58</f>
        <v>0</v>
      </c>
      <c r="DK59" s="13" t="n">
        <f aca="false">DK57-DK58</f>
        <v>0</v>
      </c>
      <c r="DL59" s="13" t="n">
        <f aca="false">DL57-DL58</f>
        <v>0</v>
      </c>
      <c r="DM59" s="13" t="n">
        <f aca="false">DM57-DM58</f>
        <v>0</v>
      </c>
      <c r="DN59" s="13" t="n">
        <f aca="false">DN57-DN58</f>
        <v>0</v>
      </c>
      <c r="DO59" s="13" t="n">
        <f aca="false">DO57-DO58</f>
        <v>0</v>
      </c>
      <c r="DP59" s="13" t="n">
        <f aca="false">DP57-DP58</f>
        <v>0</v>
      </c>
      <c r="DQ59" s="13" t="n">
        <f aca="false">DQ57-DQ58</f>
        <v>0</v>
      </c>
      <c r="DR59" s="13" t="n">
        <f aca="false">DR57-DR58</f>
        <v>0</v>
      </c>
    </row>
    <row r="60" customFormat="false" ht="15" hidden="false" customHeight="false" outlineLevel="0" collapsed="false">
      <c r="A60" s="9" t="s">
        <v>228</v>
      </c>
      <c r="B60" s="11" t="n">
        <f aca="false">B52-B51-B50</f>
        <v>0</v>
      </c>
      <c r="C60" s="11" t="n">
        <f aca="false">C52-C51-C50</f>
        <v>0</v>
      </c>
      <c r="D60" s="11" t="n">
        <f aca="false">D52-D51-D50</f>
        <v>0</v>
      </c>
      <c r="E60" s="11" t="n">
        <f aca="false">E52-E51-E50</f>
        <v>0</v>
      </c>
      <c r="F60" s="11" t="n">
        <f aca="false">F52-F51-F50</f>
        <v>0</v>
      </c>
      <c r="G60" s="11" t="n">
        <f aca="false">G52-G51-G50</f>
        <v>0</v>
      </c>
      <c r="H60" s="11" t="n">
        <f aca="false">H52-H51-H50</f>
        <v>0</v>
      </c>
      <c r="I60" s="11" t="n">
        <f aca="false">I52-I51-I50</f>
        <v>0</v>
      </c>
      <c r="J60" s="11" t="n">
        <f aca="false">J52-J51-J50</f>
        <v>0</v>
      </c>
      <c r="K60" s="11" t="n">
        <f aca="false">K52-K51-K50</f>
        <v>0</v>
      </c>
      <c r="L60" s="11" t="n">
        <f aca="false">L52-L51-L50</f>
        <v>0</v>
      </c>
      <c r="M60" s="11" t="n">
        <f aca="false">M52-M51-M50</f>
        <v>0</v>
      </c>
      <c r="N60" s="11" t="n">
        <f aca="false">N52-N51-N50</f>
        <v>0</v>
      </c>
      <c r="O60" s="11" t="n">
        <f aca="false">O52-O51-O50</f>
        <v>0</v>
      </c>
      <c r="P60" s="11" t="n">
        <f aca="false">P52-P51-P50</f>
        <v>0</v>
      </c>
      <c r="Q60" s="11" t="n">
        <f aca="false">Q52-Q51-Q50</f>
        <v>0</v>
      </c>
      <c r="R60" s="11" t="n">
        <f aca="false">R52-R51-R50</f>
        <v>0</v>
      </c>
      <c r="S60" s="11" t="n">
        <f aca="false">S52-S51-S50</f>
        <v>0</v>
      </c>
      <c r="T60" s="11" t="n">
        <f aca="false">T52-T51-T50</f>
        <v>0</v>
      </c>
      <c r="U60" s="11" t="n">
        <f aca="false">U52-U51-U50</f>
        <v>0</v>
      </c>
      <c r="V60" s="11" t="n">
        <f aca="false">V52-V51-V50</f>
        <v>0</v>
      </c>
      <c r="W60" s="11" t="n">
        <f aca="false">W52-W51-W50</f>
        <v>0</v>
      </c>
      <c r="X60" s="11" t="n">
        <f aca="false">X52-X51-X50</f>
        <v>0</v>
      </c>
      <c r="Y60" s="11" t="n">
        <f aca="false">Y52-Y51-Y50</f>
        <v>0</v>
      </c>
      <c r="Z60" s="11" t="n">
        <f aca="false">Z52-Z51-Z50</f>
        <v>0</v>
      </c>
      <c r="AA60" s="11" t="n">
        <f aca="false">AA52-AA51-AA50</f>
        <v>0</v>
      </c>
      <c r="AB60" s="11" t="n">
        <f aca="false">AB52-AB51-AB50</f>
        <v>0</v>
      </c>
      <c r="AC60" s="11" t="n">
        <f aca="false">AC52-AC51-AC50</f>
        <v>0</v>
      </c>
      <c r="AD60" s="11" t="n">
        <f aca="false">AD52-AD51-AD50</f>
        <v>0</v>
      </c>
      <c r="AE60" s="11" t="n">
        <f aca="false">AE52-AE51-AE50</f>
        <v>0</v>
      </c>
      <c r="AF60" s="11" t="n">
        <f aca="false">AF52-AF51-AF50</f>
        <v>0</v>
      </c>
      <c r="AG60" s="11" t="n">
        <f aca="false">AG52-AG51-AG50</f>
        <v>0</v>
      </c>
      <c r="AH60" s="11" t="n">
        <f aca="false">AH52-AH51-AH50</f>
        <v>0</v>
      </c>
      <c r="AI60" s="11" t="n">
        <f aca="false">AI52-AI51-AI50</f>
        <v>0</v>
      </c>
      <c r="AJ60" s="11" t="n">
        <f aca="false">AJ52-AJ51-AJ50</f>
        <v>0</v>
      </c>
      <c r="AK60" s="11" t="n">
        <f aca="false">AK52-AK51-AK50</f>
        <v>0</v>
      </c>
      <c r="AL60" s="11" t="n">
        <f aca="false">AL52-AL51-AL50</f>
        <v>0</v>
      </c>
      <c r="AM60" s="11" t="n">
        <f aca="false">AM52-AM51-AM50</f>
        <v>0</v>
      </c>
      <c r="AN60" s="11" t="n">
        <f aca="false">AN52-AN51-AN50</f>
        <v>0</v>
      </c>
      <c r="AO60" s="11" t="n">
        <f aca="false">AO52-AO51-AO50</f>
        <v>0</v>
      </c>
      <c r="AP60" s="11" t="n">
        <f aca="false">AP52-AP51-AP50</f>
        <v>0</v>
      </c>
      <c r="AQ60" s="11" t="n">
        <f aca="false">AQ52-AQ51-AQ50</f>
        <v>0</v>
      </c>
      <c r="AR60" s="11" t="n">
        <f aca="false">AR52-AR51-AR50</f>
        <v>0</v>
      </c>
      <c r="AS60" s="11" t="n">
        <f aca="false">AS52-AS51-AS50</f>
        <v>0</v>
      </c>
      <c r="AT60" s="11" t="n">
        <f aca="false">AT52-AT51-AT50</f>
        <v>0</v>
      </c>
      <c r="AU60" s="11" t="n">
        <f aca="false">AU52-AU51-AU50</f>
        <v>0</v>
      </c>
      <c r="AV60" s="11" t="n">
        <f aca="false">AV52-AV51-AV50</f>
        <v>0</v>
      </c>
      <c r="AW60" s="11" t="n">
        <f aca="false">AW52-AW51-AW50</f>
        <v>0</v>
      </c>
      <c r="AX60" s="11" t="n">
        <f aca="false">AX52-AX51-AX50</f>
        <v>0</v>
      </c>
      <c r="AY60" s="11" t="n">
        <f aca="false">AY52-AY51-AY50</f>
        <v>0</v>
      </c>
      <c r="AZ60" s="11" t="n">
        <f aca="false">AZ52-AZ51-AZ50</f>
        <v>0</v>
      </c>
      <c r="BA60" s="11" t="n">
        <f aca="false">BA52-BA51-BA50</f>
        <v>-7.105427357601E-015</v>
      </c>
      <c r="BB60" s="11" t="n">
        <f aca="false">BB52-BB51-BB50</f>
        <v>-7.105427357601E-015</v>
      </c>
      <c r="BC60" s="11" t="n">
        <f aca="false">BC52-BC51-BC50</f>
        <v>0</v>
      </c>
      <c r="BD60" s="11" t="n">
        <f aca="false">BD52-BD51-BD50</f>
        <v>0</v>
      </c>
      <c r="BE60" s="11" t="n">
        <f aca="false">BE52-BE51-BE50</f>
        <v>0</v>
      </c>
      <c r="BF60" s="11" t="n">
        <f aca="false">BF52-BF51-BF50</f>
        <v>0</v>
      </c>
      <c r="BG60" s="11" t="n">
        <f aca="false">BG52-BG51-BG50</f>
        <v>0</v>
      </c>
      <c r="BH60" s="11" t="n">
        <f aca="false">BH52-BH51-BH50</f>
        <v>0</v>
      </c>
      <c r="BI60" s="11" t="n">
        <f aca="false">BI52-BI51-BI50</f>
        <v>0</v>
      </c>
      <c r="BJ60" s="11" t="n">
        <f aca="false">BJ52-BJ51-BJ50</f>
        <v>0</v>
      </c>
      <c r="BK60" s="11" t="n">
        <f aca="false">BK52-BK51-BK50</f>
        <v>0</v>
      </c>
      <c r="BL60" s="11" t="n">
        <f aca="false">BL52-BL51-BL50</f>
        <v>0</v>
      </c>
      <c r="BM60" s="11" t="n">
        <f aca="false">BM52-BM51-BM50</f>
        <v>0</v>
      </c>
      <c r="BN60" s="11" t="n">
        <f aca="false">BN52-BN51-BN50</f>
        <v>0</v>
      </c>
      <c r="BO60" s="11" t="n">
        <f aca="false">BO52-BO51-BO50</f>
        <v>7.105427357601E-015</v>
      </c>
      <c r="BP60" s="11" t="n">
        <f aca="false">BP52-BP51-BP50</f>
        <v>-7.105427357601E-015</v>
      </c>
      <c r="BQ60" s="11" t="n">
        <f aca="false">BQ52-BQ51-BQ50</f>
        <v>0</v>
      </c>
      <c r="BR60" s="11" t="n">
        <f aca="false">BR52-BR51-BR50</f>
        <v>0</v>
      </c>
      <c r="BS60" s="11" t="n">
        <f aca="false">BS52-BS51-BS50</f>
        <v>0</v>
      </c>
      <c r="BT60" s="11" t="n">
        <f aca="false">BT52-BT51-BT50</f>
        <v>7.105427357601E-015</v>
      </c>
      <c r="BU60" s="11" t="n">
        <f aca="false">BU52-BU51-BU50</f>
        <v>0</v>
      </c>
      <c r="BV60" s="11" t="n">
        <f aca="false">BV52-BV51-BV50</f>
        <v>0</v>
      </c>
      <c r="BW60" s="11" t="n">
        <f aca="false">BW52-BW51-BW50</f>
        <v>0</v>
      </c>
      <c r="BX60" s="11" t="n">
        <f aca="false">BX52-BX51-BX50</f>
        <v>0</v>
      </c>
      <c r="BY60" s="11" t="n">
        <f aca="false">BY52-BY51-BY50</f>
        <v>0</v>
      </c>
      <c r="BZ60" s="11" t="n">
        <f aca="false">BZ52-BZ51-BZ50</f>
        <v>0</v>
      </c>
      <c r="CA60" s="11" t="n">
        <f aca="false">CA52-CA51-CA50</f>
        <v>0</v>
      </c>
      <c r="CB60" s="11" t="n">
        <f aca="false">CB52-CB51-CB50</f>
        <v>0</v>
      </c>
      <c r="CC60" s="11" t="n">
        <f aca="false">CC52-CC51-CC50</f>
        <v>0</v>
      </c>
      <c r="CD60" s="11" t="n">
        <f aca="false">CD52-CD51-CD50</f>
        <v>0</v>
      </c>
      <c r="CE60" s="11" t="n">
        <f aca="false">CE52-CE51-CE50</f>
        <v>-1.4210854715202E-014</v>
      </c>
      <c r="CF60" s="11" t="n">
        <f aca="false">CF52-CF51-CF50</f>
        <v>1.4210854715202E-014</v>
      </c>
      <c r="CG60" s="11" t="n">
        <f aca="false">CG52-CG51-CG50</f>
        <v>1.4210854715202E-014</v>
      </c>
      <c r="CH60" s="11" t="n">
        <f aca="false">CH52-CH51-CH50</f>
        <v>1.4210854715202E-014</v>
      </c>
      <c r="CI60" s="11" t="n">
        <f aca="false">CI52-CI51-CI50</f>
        <v>1.4210854715202E-014</v>
      </c>
      <c r="CJ60" s="11" t="n">
        <f aca="false">CJ52-CJ51-CJ50</f>
        <v>1.4210854715202E-014</v>
      </c>
      <c r="CK60" s="11" t="n">
        <f aca="false">CK52-CK51-CK50</f>
        <v>1.4210854715202E-014</v>
      </c>
      <c r="CL60" s="11" t="n">
        <f aca="false">CL52-CL51-CL50</f>
        <v>1.4210854715202E-014</v>
      </c>
      <c r="CM60" s="11" t="n">
        <f aca="false">CM52-CM51-CM50</f>
        <v>1.4210854715202E-014</v>
      </c>
      <c r="CN60" s="11" t="n">
        <f aca="false">CN52-CN51-CN50</f>
        <v>1.4210854715202E-014</v>
      </c>
      <c r="CO60" s="11" t="n">
        <f aca="false">CO52-CO51-CO50</f>
        <v>1.4210854715202E-014</v>
      </c>
      <c r="CP60" s="11" t="n">
        <f aca="false">CP52-CP51-CP50</f>
        <v>1.4210854715202E-014</v>
      </c>
      <c r="CQ60" s="11" t="n">
        <f aca="false">CQ52-CQ51-CQ50</f>
        <v>1.4210854715202E-014</v>
      </c>
      <c r="CR60" s="11" t="n">
        <f aca="false">CR52-CR51-CR50</f>
        <v>1.4210854715202E-014</v>
      </c>
      <c r="CS60" s="11" t="n">
        <f aca="false">CS52-CS51-CS50</f>
        <v>1.4210854715202E-014</v>
      </c>
      <c r="CT60" s="11" t="n">
        <f aca="false">CT52-CT51-CT50</f>
        <v>1.4210854715202E-014</v>
      </c>
      <c r="CU60" s="11" t="n">
        <f aca="false">CU52-CU51-CU50</f>
        <v>1.4210854715202E-014</v>
      </c>
      <c r="CV60" s="11" t="n">
        <f aca="false">CV52-CV51-CV50</f>
        <v>1.4210854715202E-014</v>
      </c>
      <c r="CW60" s="11" t="n">
        <f aca="false">CW52-CW51-CW50</f>
        <v>1.4210854715202E-014</v>
      </c>
      <c r="CX60" s="11" t="n">
        <f aca="false">CX52-CX51-CX50</f>
        <v>1.4210854715202E-014</v>
      </c>
      <c r="CY60" s="11" t="n">
        <f aca="false">CY52-CY51-CY50</f>
        <v>1.4210854715202E-014</v>
      </c>
      <c r="CZ60" s="11" t="n">
        <f aca="false">CZ52-CZ51-CZ50</f>
        <v>1.4210854715202E-014</v>
      </c>
      <c r="DA60" s="11" t="n">
        <f aca="false">DA52-DA51-DA50</f>
        <v>1.4210854715202E-014</v>
      </c>
      <c r="DB60" s="11" t="n">
        <f aca="false">DB52-DB51-DB50</f>
        <v>1.4210854715202E-014</v>
      </c>
      <c r="DC60" s="11" t="n">
        <f aca="false">DC52-DC51-DC50</f>
        <v>1.4210854715202E-014</v>
      </c>
      <c r="DD60" s="11" t="n">
        <f aca="false">DD52-DD51-DD50</f>
        <v>1.4210854715202E-014</v>
      </c>
      <c r="DE60" s="11" t="n">
        <f aca="false">DE52-DE51-DE50</f>
        <v>1.4210854715202E-014</v>
      </c>
      <c r="DF60" s="11" t="n">
        <f aca="false">DF52-DF51-DF50</f>
        <v>1.4210854715202E-014</v>
      </c>
      <c r="DG60" s="11" t="n">
        <f aca="false">DG52-DG51-DG50</f>
        <v>1.4210854715202E-014</v>
      </c>
      <c r="DH60" s="11" t="n">
        <f aca="false">DH52-DH51-DH50</f>
        <v>1.4210854715202E-014</v>
      </c>
      <c r="DI60" s="11" t="n">
        <f aca="false">DI52-DI51-DI50</f>
        <v>1.4210854715202E-014</v>
      </c>
      <c r="DJ60" s="11" t="n">
        <f aca="false">DJ52-DJ51-DJ50</f>
        <v>1.4210854715202E-014</v>
      </c>
      <c r="DK60" s="11" t="n">
        <f aca="false">DK52-DK51-DK50</f>
        <v>1.4210854715202E-014</v>
      </c>
      <c r="DL60" s="11" t="n">
        <f aca="false">DL52-DL51-DL50</f>
        <v>1.4210854715202E-014</v>
      </c>
      <c r="DM60" s="11" t="n">
        <f aca="false">DM52-DM51-DM50</f>
        <v>1.4210854715202E-014</v>
      </c>
      <c r="DN60" s="11" t="n">
        <f aca="false">DN52-DN51-DN50</f>
        <v>1.4210854715202E-014</v>
      </c>
      <c r="DO60" s="11" t="n">
        <f aca="false">DO52-DO51-DO50</f>
        <v>1.4210854715202E-014</v>
      </c>
      <c r="DP60" s="11" t="n">
        <f aca="false">DP52-DP51-DP50</f>
        <v>1.4210854715202E-014</v>
      </c>
      <c r="DQ60" s="11" t="n">
        <f aca="false">DQ52-DQ51-DQ50</f>
        <v>1.4210854715202E-014</v>
      </c>
      <c r="DR60" s="11" t="n">
        <f aca="false">DR52-DR51-DR50</f>
        <v>1.4210854715202E-014</v>
      </c>
    </row>
    <row r="61" customFormat="false" ht="15" hidden="false" customHeight="false" outlineLevel="0" collapsed="false">
      <c r="A61" s="9" t="s">
        <v>229</v>
      </c>
      <c r="B61" s="11" t="n">
        <f aca="false">B25-B26-B27</f>
        <v>0</v>
      </c>
      <c r="C61" s="11" t="n">
        <f aca="false">C25-C26-C27</f>
        <v>0</v>
      </c>
      <c r="D61" s="11" t="n">
        <f aca="false">D25-D26-D27</f>
        <v>0</v>
      </c>
      <c r="E61" s="11" t="n">
        <f aca="false">E25-E26-E27</f>
        <v>0</v>
      </c>
      <c r="F61" s="11" t="n">
        <f aca="false">F25-F26-F27</f>
        <v>0</v>
      </c>
      <c r="G61" s="11" t="n">
        <f aca="false">G25-G26-G27</f>
        <v>0</v>
      </c>
      <c r="H61" s="11" t="n">
        <f aca="false">H25-H26-H27</f>
        <v>0</v>
      </c>
      <c r="I61" s="11" t="n">
        <f aca="false">I25-I26-I27</f>
        <v>0</v>
      </c>
      <c r="J61" s="11" t="n">
        <f aca="false">J25-J26-J27</f>
        <v>0</v>
      </c>
      <c r="K61" s="11" t="n">
        <f aca="false">K25-K26-K27</f>
        <v>0</v>
      </c>
      <c r="L61" s="11" t="n">
        <f aca="false">L25-L26-L27</f>
        <v>0</v>
      </c>
      <c r="M61" s="11" t="n">
        <f aca="false">M25-M26-M27</f>
        <v>0</v>
      </c>
      <c r="N61" s="11" t="n">
        <f aca="false">N25-N26-N27</f>
        <v>0</v>
      </c>
      <c r="O61" s="11" t="n">
        <f aca="false">O25-O26-O27</f>
        <v>0</v>
      </c>
      <c r="P61" s="11" t="n">
        <f aca="false">P25-P26-P27</f>
        <v>0</v>
      </c>
      <c r="Q61" s="11" t="n">
        <f aca="false">Q25-Q26-Q27</f>
        <v>0</v>
      </c>
      <c r="R61" s="11" t="n">
        <f aca="false">R25-R26-R27</f>
        <v>0</v>
      </c>
      <c r="S61" s="11" t="n">
        <f aca="false">S25-S26-S27</f>
        <v>0</v>
      </c>
      <c r="T61" s="11" t="n">
        <f aca="false">T25-T26-T27</f>
        <v>0</v>
      </c>
      <c r="U61" s="11" t="n">
        <f aca="false">U25-U26-U27</f>
        <v>0</v>
      </c>
      <c r="V61" s="11" t="n">
        <f aca="false">V25-V26-V27</f>
        <v>0</v>
      </c>
      <c r="W61" s="11" t="n">
        <f aca="false">W25-W26-W27</f>
        <v>0</v>
      </c>
      <c r="X61" s="11" t="n">
        <f aca="false">X25-X26-X27</f>
        <v>0</v>
      </c>
      <c r="Y61" s="11" t="n">
        <f aca="false">Y25-Y26-Y27</f>
        <v>0</v>
      </c>
      <c r="Z61" s="11" t="n">
        <f aca="false">Z25-Z26-Z27</f>
        <v>0</v>
      </c>
      <c r="AA61" s="11" t="n">
        <f aca="false">AA25-AA26-AA27</f>
        <v>0</v>
      </c>
      <c r="AB61" s="11" t="n">
        <f aca="false">AB25-AB26-AB27</f>
        <v>0</v>
      </c>
      <c r="AC61" s="11" t="n">
        <f aca="false">AC25-AC26-AC27</f>
        <v>0</v>
      </c>
      <c r="AD61" s="11" t="n">
        <f aca="false">AD25-AD26-AD27</f>
        <v>0</v>
      </c>
      <c r="AE61" s="11" t="n">
        <f aca="false">AE25-AE26-AE27</f>
        <v>0</v>
      </c>
      <c r="AF61" s="11" t="n">
        <f aca="false">AF25-AF26-AF27</f>
        <v>0</v>
      </c>
      <c r="AG61" s="11" t="n">
        <f aca="false">AG25-AG26-AG27</f>
        <v>0</v>
      </c>
      <c r="AH61" s="11" t="n">
        <f aca="false">AH25-AH26-AH27</f>
        <v>0</v>
      </c>
      <c r="AI61" s="11" t="n">
        <f aca="false">AI25-AI26-AI27</f>
        <v>0</v>
      </c>
      <c r="AJ61" s="11" t="n">
        <f aca="false">AJ25-AJ26-AJ27</f>
        <v>0</v>
      </c>
      <c r="AK61" s="11" t="n">
        <f aca="false">AK25-AK26-AK27</f>
        <v>0</v>
      </c>
      <c r="AL61" s="11" t="n">
        <f aca="false">AL25-AL26-AL27</f>
        <v>0</v>
      </c>
      <c r="AM61" s="11" t="n">
        <f aca="false">AM25-AM26-AM27</f>
        <v>0</v>
      </c>
      <c r="AN61" s="11" t="n">
        <f aca="false">AN25-AN26-AN27</f>
        <v>0</v>
      </c>
      <c r="AO61" s="11" t="n">
        <f aca="false">AO25-AO26-AO27</f>
        <v>0</v>
      </c>
      <c r="AP61" s="11" t="n">
        <f aca="false">AP25-AP26-AP27</f>
        <v>0</v>
      </c>
      <c r="AQ61" s="11" t="n">
        <f aca="false">AQ25-AQ26-AQ27</f>
        <v>0</v>
      </c>
      <c r="AR61" s="11" t="n">
        <f aca="false">AR25-AR26-AR27</f>
        <v>0</v>
      </c>
      <c r="AS61" s="11" t="n">
        <f aca="false">AS25-AS26-AS27</f>
        <v>0</v>
      </c>
      <c r="AT61" s="11" t="n">
        <f aca="false">AT25-AT26-AT27</f>
        <v>0</v>
      </c>
      <c r="AU61" s="11" t="n">
        <f aca="false">AU25-AU26-AU27</f>
        <v>0</v>
      </c>
      <c r="AV61" s="11" t="n">
        <f aca="false">AV25-AV26-AV27</f>
        <v>0</v>
      </c>
      <c r="AW61" s="11" t="n">
        <f aca="false">AW25-AW26-AW27</f>
        <v>0</v>
      </c>
      <c r="AX61" s="11" t="n">
        <f aca="false">AX25-AX26-AX27</f>
        <v>0</v>
      </c>
      <c r="AY61" s="11" t="n">
        <f aca="false">AY25-AY26-AY27</f>
        <v>0</v>
      </c>
      <c r="AZ61" s="11" t="n">
        <f aca="false">AZ25-AZ26-AZ27</f>
        <v>0</v>
      </c>
      <c r="BA61" s="11" t="n">
        <f aca="false">BA25-BA26-BA27</f>
        <v>0</v>
      </c>
      <c r="BB61" s="11" t="n">
        <f aca="false">BB25-BB26-BB27</f>
        <v>0</v>
      </c>
      <c r="BC61" s="11" t="n">
        <f aca="false">BC25-BC26-BC27</f>
        <v>0</v>
      </c>
      <c r="BD61" s="11" t="n">
        <f aca="false">BD25-BD26-BD27</f>
        <v>0</v>
      </c>
      <c r="BE61" s="11" t="n">
        <f aca="false">BE25-BE26-BE27</f>
        <v>0</v>
      </c>
      <c r="BF61" s="11" t="n">
        <f aca="false">BF25-BF26-BF27</f>
        <v>0</v>
      </c>
      <c r="BG61" s="11" t="n">
        <f aca="false">BG25-BG26-BG27</f>
        <v>0</v>
      </c>
      <c r="BH61" s="11" t="n">
        <f aca="false">BH25-BH26-BH27</f>
        <v>0</v>
      </c>
      <c r="BI61" s="11" t="n">
        <f aca="false">BI25-BI26-BI27</f>
        <v>0</v>
      </c>
      <c r="BJ61" s="11" t="n">
        <f aca="false">BJ25-BJ26-BJ27</f>
        <v>0</v>
      </c>
      <c r="BK61" s="11" t="n">
        <f aca="false">BK25-BK26-BK27</f>
        <v>0</v>
      </c>
      <c r="BL61" s="11" t="n">
        <f aca="false">BL25-BL26-BL27</f>
        <v>0</v>
      </c>
      <c r="BM61" s="11" t="n">
        <f aca="false">BM25-BM26-BM27</f>
        <v>0</v>
      </c>
      <c r="BN61" s="11" t="n">
        <f aca="false">BN25-BN26-BN27</f>
        <v>0</v>
      </c>
      <c r="BO61" s="11" t="n">
        <f aca="false">BO25-BO26-BO27</f>
        <v>0</v>
      </c>
      <c r="BP61" s="11" t="n">
        <f aca="false">BP25-BP26-BP27</f>
        <v>0</v>
      </c>
      <c r="BQ61" s="11" t="n">
        <f aca="false">BQ25-BQ26-BQ27</f>
        <v>0</v>
      </c>
      <c r="BR61" s="11" t="n">
        <f aca="false">BR25-BR26-BR27</f>
        <v>0</v>
      </c>
      <c r="BS61" s="11" t="n">
        <f aca="false">BS25-BS26-BS27</f>
        <v>0</v>
      </c>
      <c r="BT61" s="11" t="n">
        <f aca="false">BT25-BT26-BT27</f>
        <v>0</v>
      </c>
      <c r="BU61" s="11" t="n">
        <f aca="false">BU25-BU26-BU27</f>
        <v>0</v>
      </c>
      <c r="BV61" s="11" t="n">
        <f aca="false">BV25-BV26-BV27</f>
        <v>0</v>
      </c>
      <c r="BW61" s="11" t="n">
        <f aca="false">BW25-BW26-BW27</f>
        <v>0</v>
      </c>
      <c r="BX61" s="11" t="n">
        <f aca="false">BX25-BX26-BX27</f>
        <v>0</v>
      </c>
      <c r="BY61" s="11" t="n">
        <f aca="false">BY25-BY26-BY27</f>
        <v>0</v>
      </c>
      <c r="BZ61" s="11" t="n">
        <f aca="false">BZ25-BZ26-BZ27</f>
        <v>0</v>
      </c>
      <c r="CA61" s="11" t="n">
        <f aca="false">CA25-CA26-CA27</f>
        <v>0</v>
      </c>
      <c r="CB61" s="11" t="n">
        <f aca="false">CB25-CB26-CB27</f>
        <v>0</v>
      </c>
      <c r="CC61" s="11" t="n">
        <f aca="false">CC25-CC26-CC27</f>
        <v>0</v>
      </c>
      <c r="CD61" s="11" t="n">
        <f aca="false">CD25-CD26-CD27</f>
        <v>0</v>
      </c>
      <c r="CE61" s="11" t="n">
        <f aca="false">CE25-CE26-CE27</f>
        <v>0</v>
      </c>
      <c r="CF61" s="11" t="n">
        <f aca="false">CF25-CF26-CF27</f>
        <v>0</v>
      </c>
      <c r="CG61" s="11" t="n">
        <f aca="false">CG25-CG26-CG27</f>
        <v>0</v>
      </c>
      <c r="CH61" s="11" t="n">
        <f aca="false">CH25-CH26-CH27</f>
        <v>0</v>
      </c>
      <c r="CI61" s="11" t="n">
        <f aca="false">CI25-CI26-CI27</f>
        <v>0</v>
      </c>
      <c r="CJ61" s="11" t="n">
        <f aca="false">CJ25-CJ26-CJ27</f>
        <v>0</v>
      </c>
      <c r="CK61" s="11" t="n">
        <f aca="false">CK25-CK26-CK27</f>
        <v>0</v>
      </c>
      <c r="CL61" s="11" t="n">
        <f aca="false">CL25-CL26-CL27</f>
        <v>0</v>
      </c>
      <c r="CM61" s="11" t="n">
        <f aca="false">CM25-CM26-CM27</f>
        <v>0</v>
      </c>
      <c r="CN61" s="11" t="n">
        <f aca="false">CN25-CN26-CN27</f>
        <v>0</v>
      </c>
      <c r="CO61" s="11" t="n">
        <f aca="false">CO25-CO26-CO27</f>
        <v>0</v>
      </c>
      <c r="CP61" s="11" t="n">
        <f aca="false">CP25-CP26-CP27</f>
        <v>0</v>
      </c>
      <c r="CQ61" s="11" t="n">
        <f aca="false">CQ25-CQ26-CQ27</f>
        <v>0</v>
      </c>
      <c r="CR61" s="11" t="n">
        <f aca="false">CR25-CR26-CR27</f>
        <v>0</v>
      </c>
      <c r="CS61" s="11" t="n">
        <f aca="false">CS25-CS26-CS27</f>
        <v>0</v>
      </c>
      <c r="CT61" s="11" t="n">
        <f aca="false">CT25-CT26-CT27</f>
        <v>0</v>
      </c>
      <c r="CU61" s="11" t="n">
        <f aca="false">CU25-CU26-CU27</f>
        <v>0</v>
      </c>
      <c r="CV61" s="11" t="n">
        <f aca="false">CV25-CV26-CV27</f>
        <v>0</v>
      </c>
      <c r="CW61" s="11" t="n">
        <f aca="false">CW25-CW26-CW27</f>
        <v>0</v>
      </c>
      <c r="CX61" s="11" t="n">
        <f aca="false">CX25-CX26-CX27</f>
        <v>0</v>
      </c>
      <c r="CY61" s="11" t="n">
        <f aca="false">CY25-CY26-CY27</f>
        <v>0</v>
      </c>
      <c r="CZ61" s="11" t="n">
        <f aca="false">CZ25-CZ26-CZ27</f>
        <v>0</v>
      </c>
      <c r="DA61" s="11" t="n">
        <f aca="false">DA25-DA26-DA27</f>
        <v>0</v>
      </c>
      <c r="DB61" s="11" t="n">
        <f aca="false">DB25-DB26-DB27</f>
        <v>0</v>
      </c>
      <c r="DC61" s="11" t="n">
        <f aca="false">DC25-DC26-DC27</f>
        <v>0</v>
      </c>
      <c r="DD61" s="11" t="n">
        <f aca="false">DD25-DD26-DD27</f>
        <v>0</v>
      </c>
      <c r="DE61" s="11" t="n">
        <f aca="false">DE25-DE26-DE27</f>
        <v>0</v>
      </c>
      <c r="DF61" s="11" t="n">
        <f aca="false">DF25-DF26-DF27</f>
        <v>0</v>
      </c>
      <c r="DG61" s="11" t="n">
        <f aca="false">DG25-DG26-DG27</f>
        <v>0</v>
      </c>
      <c r="DH61" s="11" t="n">
        <f aca="false">DH25-DH26-DH27</f>
        <v>0</v>
      </c>
      <c r="DI61" s="11" t="n">
        <f aca="false">DI25-DI26-DI27</f>
        <v>0</v>
      </c>
      <c r="DJ61" s="11" t="n">
        <f aca="false">DJ25-DJ26-DJ27</f>
        <v>0</v>
      </c>
      <c r="DK61" s="11" t="n">
        <f aca="false">DK25-DK26-DK27</f>
        <v>0</v>
      </c>
      <c r="DL61" s="11" t="n">
        <f aca="false">DL25-DL26-DL27</f>
        <v>0</v>
      </c>
      <c r="DM61" s="11" t="n">
        <f aca="false">DM25-DM26-DM27</f>
        <v>0</v>
      </c>
      <c r="DN61" s="11" t="n">
        <f aca="false">DN25-DN26-DN27</f>
        <v>0</v>
      </c>
      <c r="DO61" s="11" t="n">
        <f aca="false">DO25-DO26-DO27</f>
        <v>0</v>
      </c>
      <c r="DP61" s="11" t="n">
        <f aca="false">DP25-DP26-DP27</f>
        <v>0</v>
      </c>
      <c r="DQ61" s="11" t="n">
        <f aca="false">DQ25-DQ26-DQ27</f>
        <v>0</v>
      </c>
      <c r="DR61" s="11" t="n">
        <f aca="false">DR25-DR26-DR27</f>
        <v>0</v>
      </c>
    </row>
    <row r="62" customFormat="false" ht="15" hidden="false" customHeight="false" outlineLevel="0" collapsed="false">
      <c r="A62" s="12" t="s">
        <v>230</v>
      </c>
      <c r="B62" s="13" t="n">
        <f aca="false">B24-B47</f>
        <v>-25</v>
      </c>
      <c r="C62" s="13" t="n">
        <f aca="false">C24-C47</f>
        <v>0</v>
      </c>
      <c r="D62" s="13" t="n">
        <f aca="false">D24-D47</f>
        <v>0</v>
      </c>
      <c r="E62" s="13" t="n">
        <f aca="false">E24-E47</f>
        <v>0</v>
      </c>
      <c r="F62" s="13" t="n">
        <f aca="false">F24-F47</f>
        <v>0</v>
      </c>
      <c r="G62" s="13" t="n">
        <f aca="false">G24-G47</f>
        <v>0</v>
      </c>
      <c r="H62" s="13" t="n">
        <f aca="false">H24-H47</f>
        <v>1.5</v>
      </c>
      <c r="I62" s="13" t="n">
        <f aca="false">I24-I47</f>
        <v>1.5</v>
      </c>
      <c r="J62" s="13" t="n">
        <f aca="false">J24-J47</f>
        <v>1.5</v>
      </c>
      <c r="K62" s="13" t="n">
        <f aca="false">K24-K47</f>
        <v>-22.5</v>
      </c>
      <c r="L62" s="13" t="n">
        <f aca="false">L24-L47</f>
        <v>2.5</v>
      </c>
      <c r="M62" s="13" t="n">
        <f aca="false">M24-M47</f>
        <v>2.5</v>
      </c>
      <c r="N62" s="13" t="n">
        <f aca="false">N24-N47</f>
        <v>3.5</v>
      </c>
      <c r="O62" s="13" t="n">
        <f aca="false">O24-O47</f>
        <v>3.5</v>
      </c>
      <c r="P62" s="13" t="n">
        <f aca="false">P24-P47</f>
        <v>3.5</v>
      </c>
      <c r="Q62" s="13" t="n">
        <f aca="false">Q24-Q47</f>
        <v>3.5</v>
      </c>
      <c r="R62" s="13" t="n">
        <f aca="false">R24-R47</f>
        <v>3.5</v>
      </c>
      <c r="S62" s="13" t="n">
        <f aca="false">S24-S47</f>
        <v>3.5</v>
      </c>
      <c r="T62" s="13" t="n">
        <f aca="false">T24-T47</f>
        <v>3.5</v>
      </c>
      <c r="U62" s="13" t="n">
        <f aca="false">U24-U47</f>
        <v>3.5</v>
      </c>
      <c r="V62" s="13" t="n">
        <f aca="false">V24-V47</f>
        <v>3.5</v>
      </c>
      <c r="W62" s="13" t="n">
        <f aca="false">W24-W47</f>
        <v>3.5</v>
      </c>
      <c r="X62" s="13" t="n">
        <f aca="false">X24-X47</f>
        <v>3.5</v>
      </c>
      <c r="Y62" s="13" t="n">
        <f aca="false">Y24-Y47</f>
        <v>3.5</v>
      </c>
      <c r="Z62" s="13" t="n">
        <f aca="false">Z24-Z47</f>
        <v>3.5</v>
      </c>
      <c r="AA62" s="13" t="n">
        <f aca="false">AA24-AA47</f>
        <v>3.5</v>
      </c>
      <c r="AB62" s="13" t="n">
        <f aca="false">AB24-AB47</f>
        <v>3.5</v>
      </c>
      <c r="AC62" s="13" t="n">
        <f aca="false">AC24-AC47</f>
        <v>3.5</v>
      </c>
      <c r="AD62" s="13" t="n">
        <f aca="false">AD24-AD47</f>
        <v>3.5</v>
      </c>
      <c r="AE62" s="13" t="n">
        <f aca="false">AE24-AE47</f>
        <v>3.5</v>
      </c>
      <c r="AF62" s="13" t="n">
        <f aca="false">AF24-AF47</f>
        <v>3.5</v>
      </c>
      <c r="AG62" s="13" t="n">
        <f aca="false">AG24-AG47</f>
        <v>3.5</v>
      </c>
      <c r="AH62" s="13" t="n">
        <f aca="false">AH24-AH47</f>
        <v>3.5</v>
      </c>
      <c r="AI62" s="13" t="n">
        <f aca="false">AI24-AI47</f>
        <v>3.5</v>
      </c>
      <c r="AJ62" s="13" t="n">
        <f aca="false">AJ24-AJ47</f>
        <v>3.5</v>
      </c>
      <c r="AK62" s="13" t="n">
        <f aca="false">AK24-AK47</f>
        <v>3.5</v>
      </c>
      <c r="AL62" s="13" t="n">
        <f aca="false">AL24-AL47</f>
        <v>3.5</v>
      </c>
      <c r="AM62" s="13" t="n">
        <f aca="false">AM24-AM47</f>
        <v>3.5</v>
      </c>
      <c r="AN62" s="13" t="n">
        <f aca="false">AN24-AN47</f>
        <v>3.5</v>
      </c>
      <c r="AO62" s="13" t="n">
        <f aca="false">AO24-AO47</f>
        <v>3.5</v>
      </c>
      <c r="AP62" s="13" t="n">
        <f aca="false">AP24-AP47</f>
        <v>3.5</v>
      </c>
      <c r="AQ62" s="13" t="n">
        <f aca="false">AQ24-AQ47</f>
        <v>3.5</v>
      </c>
      <c r="AR62" s="13" t="n">
        <f aca="false">AR24-AR47</f>
        <v>3.5</v>
      </c>
      <c r="AS62" s="13" t="n">
        <f aca="false">AS24-AS47</f>
        <v>3.5</v>
      </c>
      <c r="AT62" s="13" t="n">
        <f aca="false">AT24-AT47</f>
        <v>3.5</v>
      </c>
      <c r="AU62" s="13" t="n">
        <f aca="false">AU24-AU47</f>
        <v>3.5</v>
      </c>
      <c r="AV62" s="13" t="n">
        <f aca="false">AV24-AV47</f>
        <v>3.5</v>
      </c>
      <c r="AW62" s="13" t="n">
        <f aca="false">AW24-AW47</f>
        <v>3.5</v>
      </c>
      <c r="AX62" s="13" t="n">
        <f aca="false">AX24-AX47</f>
        <v>3.5</v>
      </c>
      <c r="AY62" s="13" t="n">
        <f aca="false">AY24-AY47</f>
        <v>3.5</v>
      </c>
      <c r="AZ62" s="13" t="n">
        <f aca="false">AZ24-AZ47</f>
        <v>3.5</v>
      </c>
      <c r="BA62" s="13" t="n">
        <f aca="false">BA24-BA47</f>
        <v>3.5</v>
      </c>
      <c r="BB62" s="13" t="n">
        <f aca="false">BB24-BB47</f>
        <v>3.5</v>
      </c>
      <c r="BC62" s="13" t="n">
        <f aca="false">BC24-BC47</f>
        <v>3.5</v>
      </c>
      <c r="BD62" s="13" t="n">
        <f aca="false">BD24-BD47</f>
        <v>3.5</v>
      </c>
      <c r="BE62" s="13" t="n">
        <f aca="false">BE24-BE47</f>
        <v>3.5</v>
      </c>
      <c r="BF62" s="13" t="n">
        <f aca="false">BF24-BF47</f>
        <v>3.5</v>
      </c>
      <c r="BG62" s="13" t="n">
        <f aca="false">BG24-BG47</f>
        <v>3.5</v>
      </c>
      <c r="BH62" s="13" t="n">
        <f aca="false">BH24-BH47</f>
        <v>3.5</v>
      </c>
      <c r="BI62" s="13" t="n">
        <f aca="false">BI24-BI47</f>
        <v>3.5</v>
      </c>
      <c r="BJ62" s="13" t="n">
        <f aca="false">BJ24-BJ47</f>
        <v>3.5</v>
      </c>
      <c r="BK62" s="13" t="n">
        <f aca="false">BK24-BK47</f>
        <v>3.5</v>
      </c>
      <c r="BL62" s="13" t="n">
        <f aca="false">BL24-BL47</f>
        <v>3.5</v>
      </c>
      <c r="BM62" s="13" t="n">
        <f aca="false">BM24-BM47</f>
        <v>3.5</v>
      </c>
      <c r="BN62" s="13" t="n">
        <f aca="false">BN24-BN47</f>
        <v>3.5</v>
      </c>
      <c r="BO62" s="13" t="n">
        <f aca="false">BO24-BO47</f>
        <v>3.5</v>
      </c>
      <c r="BP62" s="13" t="n">
        <f aca="false">BP24-BP47</f>
        <v>3.5</v>
      </c>
      <c r="BQ62" s="13" t="n">
        <f aca="false">BQ24-BQ47</f>
        <v>3.5</v>
      </c>
      <c r="BR62" s="13" t="n">
        <f aca="false">BR24-BR47</f>
        <v>3.5</v>
      </c>
      <c r="BS62" s="13" t="n">
        <f aca="false">BS24-BS47</f>
        <v>3.5</v>
      </c>
      <c r="BT62" s="13" t="n">
        <f aca="false">BT24-BT47</f>
        <v>3.5</v>
      </c>
      <c r="BU62" s="13" t="n">
        <f aca="false">BU24-BU47</f>
        <v>3.5</v>
      </c>
      <c r="BV62" s="13" t="n">
        <f aca="false">BV24-BV47</f>
        <v>3.5</v>
      </c>
      <c r="BW62" s="13" t="n">
        <f aca="false">BW24-BW47</f>
        <v>3.5</v>
      </c>
      <c r="BX62" s="13" t="n">
        <f aca="false">BX24-BX47</f>
        <v>3.5</v>
      </c>
      <c r="BY62" s="13" t="n">
        <f aca="false">BY24-BY47</f>
        <v>3.5</v>
      </c>
      <c r="BZ62" s="13" t="n">
        <f aca="false">BZ24-BZ47</f>
        <v>3.5</v>
      </c>
      <c r="CA62" s="13" t="n">
        <f aca="false">CA24-CA47</f>
        <v>3.5</v>
      </c>
      <c r="CB62" s="13" t="n">
        <f aca="false">CB24-CB47</f>
        <v>3.5</v>
      </c>
      <c r="CC62" s="13" t="n">
        <f aca="false">CC24-CC47</f>
        <v>3.5</v>
      </c>
      <c r="CD62" s="13" t="n">
        <f aca="false">CD24-CD47</f>
        <v>3.5</v>
      </c>
      <c r="CE62" s="13" t="n">
        <f aca="false">CE24-CE47</f>
        <v>3.5</v>
      </c>
      <c r="CF62" s="13" t="n">
        <f aca="false">CF24-CF47</f>
        <v>3.5</v>
      </c>
      <c r="CG62" s="13" t="n">
        <f aca="false">CG24-CG47</f>
        <v>3.5</v>
      </c>
      <c r="CH62" s="13" t="n">
        <f aca="false">CH24-CH47</f>
        <v>3.5</v>
      </c>
      <c r="CI62" s="13" t="n">
        <f aca="false">CI24-CI47</f>
        <v>3.5</v>
      </c>
      <c r="CJ62" s="13" t="n">
        <f aca="false">CJ24-CJ47</f>
        <v>3.5</v>
      </c>
      <c r="CK62" s="13" t="n">
        <f aca="false">CK24-CK47</f>
        <v>3.5</v>
      </c>
      <c r="CL62" s="13" t="n">
        <f aca="false">CL24-CL47</f>
        <v>3.5</v>
      </c>
      <c r="CM62" s="13" t="n">
        <f aca="false">CM24-CM47</f>
        <v>3.5</v>
      </c>
      <c r="CN62" s="13" t="n">
        <f aca="false">CN24-CN47</f>
        <v>3.5</v>
      </c>
      <c r="CO62" s="13" t="n">
        <f aca="false">CO24-CO47</f>
        <v>3.5</v>
      </c>
      <c r="CP62" s="13" t="n">
        <f aca="false">CP24-CP47</f>
        <v>3.5</v>
      </c>
      <c r="CQ62" s="13" t="n">
        <f aca="false">CQ24-CQ47</f>
        <v>3.5</v>
      </c>
      <c r="CR62" s="13" t="n">
        <f aca="false">CR24-CR47</f>
        <v>3.5</v>
      </c>
      <c r="CS62" s="13" t="n">
        <f aca="false">CS24-CS47</f>
        <v>3.5</v>
      </c>
      <c r="CT62" s="13" t="n">
        <f aca="false">CT24-CT47</f>
        <v>3.5</v>
      </c>
      <c r="CU62" s="13" t="n">
        <f aca="false">CU24-CU47</f>
        <v>3.5</v>
      </c>
      <c r="CV62" s="13" t="n">
        <f aca="false">CV24-CV47</f>
        <v>3.5</v>
      </c>
      <c r="CW62" s="13" t="n">
        <f aca="false">CW24-CW47</f>
        <v>3.5</v>
      </c>
      <c r="CX62" s="13" t="n">
        <f aca="false">CX24-CX47</f>
        <v>3.5</v>
      </c>
      <c r="CY62" s="13" t="n">
        <f aca="false">CY24-CY47</f>
        <v>3.5</v>
      </c>
      <c r="CZ62" s="13" t="n">
        <f aca="false">CZ24-CZ47</f>
        <v>3.5</v>
      </c>
      <c r="DA62" s="13" t="n">
        <f aca="false">DA24-DA47</f>
        <v>3.5</v>
      </c>
      <c r="DB62" s="13" t="n">
        <f aca="false">DB24-DB47</f>
        <v>3.5</v>
      </c>
      <c r="DC62" s="13" t="n">
        <f aca="false">DC24-DC47</f>
        <v>3.5</v>
      </c>
      <c r="DD62" s="13" t="n">
        <f aca="false">DD24-DD47</f>
        <v>3.5</v>
      </c>
      <c r="DE62" s="13" t="n">
        <f aca="false">DE24-DE47</f>
        <v>3.5</v>
      </c>
      <c r="DF62" s="13" t="n">
        <f aca="false">DF24-DF47</f>
        <v>3.5</v>
      </c>
      <c r="DG62" s="13" t="n">
        <f aca="false">DG24-DG47</f>
        <v>3.5</v>
      </c>
      <c r="DH62" s="13" t="n">
        <f aca="false">DH24-DH47</f>
        <v>3.5</v>
      </c>
      <c r="DI62" s="13" t="n">
        <f aca="false">DI24-DI47</f>
        <v>3.5</v>
      </c>
      <c r="DJ62" s="13" t="n">
        <f aca="false">DJ24-DJ47</f>
        <v>3.5</v>
      </c>
      <c r="DK62" s="13" t="n">
        <f aca="false">DK24-DK47</f>
        <v>3.5</v>
      </c>
      <c r="DL62" s="13" t="n">
        <f aca="false">DL24-DL47</f>
        <v>3.5</v>
      </c>
      <c r="DM62" s="13" t="n">
        <f aca="false">DM24-DM47</f>
        <v>3.5</v>
      </c>
      <c r="DN62" s="13" t="n">
        <f aca="false">DN24-DN47</f>
        <v>3.5</v>
      </c>
      <c r="DO62" s="13" t="n">
        <f aca="false">DO24-DO47</f>
        <v>3.5</v>
      </c>
      <c r="DP62" s="13" t="n">
        <f aca="false">DP24-DP47</f>
        <v>3.5</v>
      </c>
      <c r="DQ62" s="13" t="n">
        <f aca="false">DQ24-DQ47</f>
        <v>3.5</v>
      </c>
      <c r="DR62" s="13" t="n">
        <f aca="false">DR24-DR47</f>
        <v>3.5</v>
      </c>
    </row>
    <row r="63" customFormat="false" ht="15" hidden="false" customHeight="false" outlineLevel="0" collapsed="false">
      <c r="A63" s="9" t="s">
        <v>231</v>
      </c>
      <c r="B63" s="11" t="n">
        <f aca="false">SUM($B62:B62)</f>
        <v>-25</v>
      </c>
      <c r="C63" s="11" t="n">
        <f aca="false">SUM($B62:C62)</f>
        <v>-25</v>
      </c>
      <c r="D63" s="11" t="n">
        <f aca="false">SUM($B62:D62)</f>
        <v>-25</v>
      </c>
      <c r="E63" s="11" t="n">
        <f aca="false">SUM($B62:E62)</f>
        <v>-25</v>
      </c>
      <c r="F63" s="11" t="n">
        <f aca="false">SUM($B62:F62)</f>
        <v>-25</v>
      </c>
      <c r="G63" s="11" t="n">
        <f aca="false">SUM($B62:G62)</f>
        <v>-25</v>
      </c>
      <c r="H63" s="11" t="n">
        <f aca="false">SUM($B62:H62)</f>
        <v>-23.5</v>
      </c>
      <c r="I63" s="11" t="n">
        <f aca="false">SUM($B62:I62)</f>
        <v>-22</v>
      </c>
      <c r="J63" s="11" t="n">
        <f aca="false">SUM($B62:J62)</f>
        <v>-20.5</v>
      </c>
      <c r="K63" s="11" t="n">
        <f aca="false">SUM($B62:K62)</f>
        <v>-43</v>
      </c>
      <c r="L63" s="11" t="n">
        <f aca="false">SUM($B62:L62)</f>
        <v>-40.5</v>
      </c>
      <c r="M63" s="11" t="n">
        <f aca="false">SUM($B62:M62)</f>
        <v>-38</v>
      </c>
      <c r="N63" s="11" t="n">
        <f aca="false">SUM($B62:N62)</f>
        <v>-34.5</v>
      </c>
      <c r="O63" s="11" t="n">
        <f aca="false">SUM($B62:O62)</f>
        <v>-31</v>
      </c>
      <c r="P63" s="11" t="n">
        <f aca="false">SUM($B62:P62)</f>
        <v>-27.5</v>
      </c>
      <c r="Q63" s="11" t="n">
        <f aca="false">SUM($B62:Q62)</f>
        <v>-24</v>
      </c>
      <c r="R63" s="11" t="n">
        <f aca="false">SUM($B62:R62)</f>
        <v>-20.5</v>
      </c>
      <c r="S63" s="11" t="n">
        <f aca="false">SUM($B62:S62)</f>
        <v>-17</v>
      </c>
      <c r="T63" s="11" t="n">
        <f aca="false">SUM($B62:T62)</f>
        <v>-13.5</v>
      </c>
      <c r="U63" s="11" t="n">
        <f aca="false">SUM($B62:U62)</f>
        <v>-10</v>
      </c>
      <c r="V63" s="11" t="n">
        <f aca="false">SUM($B62:V62)</f>
        <v>-6.5</v>
      </c>
      <c r="W63" s="11" t="n">
        <f aca="false">SUM($B62:W62)</f>
        <v>-3</v>
      </c>
      <c r="X63" s="11" t="n">
        <f aca="false">SUM($B62:X62)</f>
        <v>0.5</v>
      </c>
      <c r="Y63" s="11" t="n">
        <f aca="false">SUM($B62:Y62)</f>
        <v>4</v>
      </c>
      <c r="Z63" s="11" t="n">
        <f aca="false">SUM($B62:Z62)</f>
        <v>7.5</v>
      </c>
      <c r="AA63" s="11" t="n">
        <f aca="false">SUM($B62:AA62)</f>
        <v>11</v>
      </c>
      <c r="AB63" s="11" t="n">
        <f aca="false">SUM($B62:AB62)</f>
        <v>14.5</v>
      </c>
      <c r="AC63" s="11" t="n">
        <f aca="false">SUM($B62:AC62)</f>
        <v>18</v>
      </c>
      <c r="AD63" s="11" t="n">
        <f aca="false">SUM($B62:AD62)</f>
        <v>21.5</v>
      </c>
      <c r="AE63" s="11" t="n">
        <f aca="false">SUM($B62:AE62)</f>
        <v>25</v>
      </c>
      <c r="AF63" s="11" t="n">
        <f aca="false">SUM($B62:AF62)</f>
        <v>28.5</v>
      </c>
      <c r="AG63" s="11" t="n">
        <f aca="false">SUM($B62:AG62)</f>
        <v>32</v>
      </c>
      <c r="AH63" s="11" t="n">
        <f aca="false">SUM($B62:AH62)</f>
        <v>35.5</v>
      </c>
      <c r="AI63" s="11" t="n">
        <f aca="false">SUM($B62:AI62)</f>
        <v>39</v>
      </c>
      <c r="AJ63" s="11" t="n">
        <f aca="false">SUM($B62:AJ62)</f>
        <v>42.5</v>
      </c>
      <c r="AK63" s="11" t="n">
        <f aca="false">SUM($B62:AK62)</f>
        <v>46</v>
      </c>
      <c r="AL63" s="11" t="n">
        <f aca="false">SUM($B62:AL62)</f>
        <v>49.5</v>
      </c>
      <c r="AM63" s="11" t="n">
        <f aca="false">SUM($B62:AM62)</f>
        <v>53</v>
      </c>
      <c r="AN63" s="11" t="n">
        <f aca="false">SUM($B62:AN62)</f>
        <v>56.5</v>
      </c>
      <c r="AO63" s="11" t="n">
        <f aca="false">SUM($B62:AO62)</f>
        <v>60</v>
      </c>
      <c r="AP63" s="11" t="n">
        <f aca="false">SUM($B62:AP62)</f>
        <v>63.5</v>
      </c>
      <c r="AQ63" s="11" t="n">
        <f aca="false">SUM($B62:AQ62)</f>
        <v>67</v>
      </c>
      <c r="AR63" s="11" t="n">
        <f aca="false">SUM($B62:AR62)</f>
        <v>70.5</v>
      </c>
      <c r="AS63" s="11" t="n">
        <f aca="false">SUM($B62:AS62)</f>
        <v>74</v>
      </c>
      <c r="AT63" s="11" t="n">
        <f aca="false">SUM($B62:AT62)</f>
        <v>77.5</v>
      </c>
      <c r="AU63" s="11" t="n">
        <f aca="false">SUM($B62:AU62)</f>
        <v>81</v>
      </c>
      <c r="AV63" s="11" t="n">
        <f aca="false">SUM($B62:AV62)</f>
        <v>84.5</v>
      </c>
      <c r="AW63" s="11" t="n">
        <f aca="false">SUM($B62:AW62)</f>
        <v>88</v>
      </c>
      <c r="AX63" s="11" t="n">
        <f aca="false">SUM($B62:AX62)</f>
        <v>91.5</v>
      </c>
      <c r="AY63" s="11" t="n">
        <f aca="false">SUM($B62:AY62)</f>
        <v>95</v>
      </c>
      <c r="AZ63" s="11" t="n">
        <f aca="false">SUM($B62:AZ62)</f>
        <v>98.5</v>
      </c>
      <c r="BA63" s="11" t="n">
        <f aca="false">SUM($B62:BA62)</f>
        <v>102</v>
      </c>
      <c r="BB63" s="11" t="n">
        <f aca="false">SUM($B62:BB62)</f>
        <v>105.5</v>
      </c>
      <c r="BC63" s="11" t="n">
        <f aca="false">SUM($B62:BC62)</f>
        <v>109</v>
      </c>
      <c r="BD63" s="11" t="n">
        <f aca="false">SUM($B62:BD62)</f>
        <v>112.5</v>
      </c>
      <c r="BE63" s="11" t="n">
        <f aca="false">SUM($B62:BE62)</f>
        <v>116</v>
      </c>
      <c r="BF63" s="11" t="n">
        <f aca="false">SUM($B62:BF62)</f>
        <v>119.5</v>
      </c>
      <c r="BG63" s="11" t="n">
        <f aca="false">SUM($B62:BG62)</f>
        <v>123</v>
      </c>
      <c r="BH63" s="11" t="n">
        <f aca="false">SUM($B62:BH62)</f>
        <v>126.5</v>
      </c>
      <c r="BI63" s="11" t="n">
        <f aca="false">SUM($B62:BI62)</f>
        <v>130</v>
      </c>
      <c r="BJ63" s="11" t="n">
        <f aca="false">SUM($B62:BJ62)</f>
        <v>133.5</v>
      </c>
      <c r="BK63" s="11" t="n">
        <f aca="false">SUM($B62:BK62)</f>
        <v>137</v>
      </c>
      <c r="BL63" s="11" t="n">
        <f aca="false">SUM($B62:BL62)</f>
        <v>140.5</v>
      </c>
      <c r="BM63" s="11" t="n">
        <f aca="false">SUM($B62:BM62)</f>
        <v>144</v>
      </c>
      <c r="BN63" s="11" t="n">
        <f aca="false">SUM($B62:BN62)</f>
        <v>147.5</v>
      </c>
      <c r="BO63" s="11" t="n">
        <f aca="false">SUM($B62:BO62)</f>
        <v>151</v>
      </c>
      <c r="BP63" s="11" t="n">
        <f aca="false">SUM($B62:BP62)</f>
        <v>154.5</v>
      </c>
      <c r="BQ63" s="11" t="n">
        <f aca="false">SUM($B62:BQ62)</f>
        <v>158</v>
      </c>
      <c r="BR63" s="11" t="n">
        <f aca="false">SUM($B62:BR62)</f>
        <v>161.5</v>
      </c>
      <c r="BS63" s="11" t="n">
        <f aca="false">SUM($B62:BS62)</f>
        <v>165</v>
      </c>
      <c r="BT63" s="11" t="n">
        <f aca="false">SUM($B62:BT62)</f>
        <v>168.5</v>
      </c>
      <c r="BU63" s="11" t="n">
        <f aca="false">SUM($B62:BU62)</f>
        <v>172</v>
      </c>
      <c r="BV63" s="11" t="n">
        <f aca="false">SUM($B62:BV62)</f>
        <v>175.5</v>
      </c>
      <c r="BW63" s="11" t="n">
        <f aca="false">SUM($B62:BW62)</f>
        <v>179</v>
      </c>
      <c r="BX63" s="11" t="n">
        <f aca="false">SUM($B62:BX62)</f>
        <v>182.5</v>
      </c>
      <c r="BY63" s="11" t="n">
        <f aca="false">SUM($B62:BY62)</f>
        <v>186</v>
      </c>
      <c r="BZ63" s="11" t="n">
        <f aca="false">SUM($B62:BZ62)</f>
        <v>189.5</v>
      </c>
      <c r="CA63" s="11" t="n">
        <f aca="false">SUM($B62:CA62)</f>
        <v>193</v>
      </c>
      <c r="CB63" s="11" t="n">
        <f aca="false">SUM($B62:CB62)</f>
        <v>196.5</v>
      </c>
      <c r="CC63" s="11" t="n">
        <f aca="false">SUM($B62:CC62)</f>
        <v>200</v>
      </c>
      <c r="CD63" s="11" t="n">
        <f aca="false">SUM($B62:CD62)</f>
        <v>203.5</v>
      </c>
      <c r="CE63" s="11" t="n">
        <f aca="false">SUM($B62:CE62)</f>
        <v>207</v>
      </c>
      <c r="CF63" s="11" t="n">
        <f aca="false">SUM($B62:CF62)</f>
        <v>210.5</v>
      </c>
      <c r="CG63" s="11" t="n">
        <f aca="false">SUM($B62:CG62)</f>
        <v>214</v>
      </c>
      <c r="CH63" s="11" t="n">
        <f aca="false">SUM($B62:CH62)</f>
        <v>217.5</v>
      </c>
      <c r="CI63" s="11" t="n">
        <f aca="false">SUM($B62:CI62)</f>
        <v>221</v>
      </c>
      <c r="CJ63" s="11" t="n">
        <f aca="false">SUM($B62:CJ62)</f>
        <v>224.5</v>
      </c>
      <c r="CK63" s="11" t="n">
        <f aca="false">SUM($B62:CK62)</f>
        <v>228</v>
      </c>
      <c r="CL63" s="11" t="n">
        <f aca="false">SUM($B62:CL62)</f>
        <v>231.5</v>
      </c>
      <c r="CM63" s="11" t="n">
        <f aca="false">SUM($B62:CM62)</f>
        <v>235</v>
      </c>
      <c r="CN63" s="11" t="n">
        <f aca="false">SUM($B62:CN62)</f>
        <v>238.5</v>
      </c>
      <c r="CO63" s="11" t="n">
        <f aca="false">SUM($B62:CO62)</f>
        <v>242</v>
      </c>
      <c r="CP63" s="11" t="n">
        <f aca="false">SUM($B62:CP62)</f>
        <v>245.5</v>
      </c>
      <c r="CQ63" s="11" t="n">
        <f aca="false">SUM($B62:CQ62)</f>
        <v>249</v>
      </c>
      <c r="CR63" s="11" t="n">
        <f aca="false">SUM($B62:CR62)</f>
        <v>252.5</v>
      </c>
      <c r="CS63" s="11" t="n">
        <f aca="false">SUM($B62:CS62)</f>
        <v>256</v>
      </c>
      <c r="CT63" s="11" t="n">
        <f aca="false">SUM($B62:CT62)</f>
        <v>259.5</v>
      </c>
      <c r="CU63" s="11" t="n">
        <f aca="false">SUM($B62:CU62)</f>
        <v>263</v>
      </c>
      <c r="CV63" s="11" t="n">
        <f aca="false">SUM($B62:CV62)</f>
        <v>266.5</v>
      </c>
      <c r="CW63" s="11" t="n">
        <f aca="false">SUM($B62:CW62)</f>
        <v>270</v>
      </c>
      <c r="CX63" s="11" t="n">
        <f aca="false">SUM($B62:CX62)</f>
        <v>273.5</v>
      </c>
      <c r="CY63" s="11" t="n">
        <f aca="false">SUM($B62:CY62)</f>
        <v>277</v>
      </c>
      <c r="CZ63" s="11" t="n">
        <f aca="false">SUM($B62:CZ62)</f>
        <v>280.5</v>
      </c>
      <c r="DA63" s="11" t="n">
        <f aca="false">SUM($B62:DA62)</f>
        <v>284</v>
      </c>
      <c r="DB63" s="11" t="n">
        <f aca="false">SUM($B62:DB62)</f>
        <v>287.5</v>
      </c>
      <c r="DC63" s="11" t="n">
        <f aca="false">SUM($B62:DC62)</f>
        <v>291</v>
      </c>
      <c r="DD63" s="11" t="n">
        <f aca="false">SUM($B62:DD62)</f>
        <v>294.5</v>
      </c>
      <c r="DE63" s="11" t="n">
        <f aca="false">SUM($B62:DE62)</f>
        <v>298</v>
      </c>
      <c r="DF63" s="11" t="n">
        <f aca="false">SUM($B62:DF62)</f>
        <v>301.5</v>
      </c>
      <c r="DG63" s="11" t="n">
        <f aca="false">SUM($B62:DG62)</f>
        <v>305</v>
      </c>
      <c r="DH63" s="11" t="n">
        <f aca="false">SUM($B62:DH62)</f>
        <v>308.5</v>
      </c>
      <c r="DI63" s="11" t="n">
        <f aca="false">SUM($B62:DI62)</f>
        <v>312</v>
      </c>
      <c r="DJ63" s="11" t="n">
        <f aca="false">SUM($B62:DJ62)</f>
        <v>315.5</v>
      </c>
      <c r="DK63" s="11" t="n">
        <f aca="false">SUM($B62:DK62)</f>
        <v>319</v>
      </c>
      <c r="DL63" s="11" t="n">
        <f aca="false">SUM($B62:DL62)</f>
        <v>322.5</v>
      </c>
      <c r="DM63" s="11" t="n">
        <f aca="false">SUM($B62:DM62)</f>
        <v>326</v>
      </c>
      <c r="DN63" s="11" t="n">
        <f aca="false">SUM($B62:DN62)</f>
        <v>329.5</v>
      </c>
      <c r="DO63" s="11" t="n">
        <f aca="false">SUM($B62:DO62)</f>
        <v>333</v>
      </c>
      <c r="DP63" s="11" t="n">
        <f aca="false">SUM($B62:DP62)</f>
        <v>336.5</v>
      </c>
      <c r="DQ63" s="11" t="n">
        <f aca="false">SUM($B62:DQ62)</f>
        <v>340</v>
      </c>
      <c r="DR63" s="11" t="n">
        <f aca="false">SUM($B62:DR62)</f>
        <v>343.5</v>
      </c>
    </row>
    <row r="64" customFormat="false" ht="15" hidden="false" customHeight="false" outlineLevel="0" collapsed="false">
      <c r="A64" s="9" t="s">
        <v>232</v>
      </c>
      <c r="B64" s="11" t="n">
        <f aca="false">SUM($B24:B24)</f>
        <v>0</v>
      </c>
      <c r="C64" s="11" t="n">
        <f aca="false">SUM($B24:C24)</f>
        <v>0</v>
      </c>
      <c r="D64" s="11" t="n">
        <f aca="false">SUM($B24:D24)</f>
        <v>0</v>
      </c>
      <c r="E64" s="11" t="n">
        <f aca="false">SUM($B24:E24)</f>
        <v>0</v>
      </c>
      <c r="F64" s="11" t="n">
        <f aca="false">SUM($B24:F24)</f>
        <v>0</v>
      </c>
      <c r="G64" s="11" t="n">
        <f aca="false">SUM($B24:G24)</f>
        <v>0</v>
      </c>
      <c r="H64" s="11" t="n">
        <f aca="false">SUM($B24:H24)</f>
        <v>1.5</v>
      </c>
      <c r="I64" s="11" t="n">
        <f aca="false">SUM($B24:I24)</f>
        <v>3</v>
      </c>
      <c r="J64" s="11" t="n">
        <f aca="false">SUM($B24:J24)</f>
        <v>4.5</v>
      </c>
      <c r="K64" s="11" t="n">
        <f aca="false">SUM($B24:K24)</f>
        <v>7</v>
      </c>
      <c r="L64" s="11" t="n">
        <f aca="false">SUM($B24:L24)</f>
        <v>9.5</v>
      </c>
      <c r="M64" s="11" t="n">
        <f aca="false">SUM($B24:M24)</f>
        <v>12</v>
      </c>
      <c r="N64" s="11" t="n">
        <f aca="false">SUM($B24:N24)</f>
        <v>15.5</v>
      </c>
      <c r="O64" s="11" t="n">
        <f aca="false">SUM($B24:O24)</f>
        <v>19</v>
      </c>
      <c r="P64" s="11" t="n">
        <f aca="false">SUM($B24:P24)</f>
        <v>22.5</v>
      </c>
      <c r="Q64" s="11" t="n">
        <f aca="false">SUM($B24:Q24)</f>
        <v>26</v>
      </c>
      <c r="R64" s="11" t="n">
        <f aca="false">SUM($B24:R24)</f>
        <v>29.5</v>
      </c>
      <c r="S64" s="11" t="n">
        <f aca="false">SUM($B24:S24)</f>
        <v>33</v>
      </c>
      <c r="T64" s="11" t="n">
        <f aca="false">SUM($B24:T24)</f>
        <v>36.5</v>
      </c>
      <c r="U64" s="11" t="n">
        <f aca="false">SUM($B24:U24)</f>
        <v>40</v>
      </c>
      <c r="V64" s="11" t="n">
        <f aca="false">SUM($B24:V24)</f>
        <v>43.5</v>
      </c>
      <c r="W64" s="11" t="n">
        <f aca="false">SUM($B24:W24)</f>
        <v>47</v>
      </c>
      <c r="X64" s="11" t="n">
        <f aca="false">SUM($B24:X24)</f>
        <v>50.5</v>
      </c>
      <c r="Y64" s="11" t="n">
        <f aca="false">SUM($B24:Y24)</f>
        <v>54</v>
      </c>
      <c r="Z64" s="11" t="n">
        <f aca="false">SUM($B24:Z24)</f>
        <v>57.5</v>
      </c>
      <c r="AA64" s="11" t="n">
        <f aca="false">SUM($B24:AA24)</f>
        <v>61</v>
      </c>
      <c r="AB64" s="11" t="n">
        <f aca="false">SUM($B24:AB24)</f>
        <v>64.5</v>
      </c>
      <c r="AC64" s="11" t="n">
        <f aca="false">SUM($B24:AC24)</f>
        <v>68</v>
      </c>
      <c r="AD64" s="11" t="n">
        <f aca="false">SUM($B24:AD24)</f>
        <v>71.5</v>
      </c>
      <c r="AE64" s="11" t="n">
        <f aca="false">SUM($B24:AE24)</f>
        <v>75</v>
      </c>
      <c r="AF64" s="11" t="n">
        <f aca="false">SUM($B24:AF24)</f>
        <v>78.5</v>
      </c>
      <c r="AG64" s="11" t="n">
        <f aca="false">SUM($B24:AG24)</f>
        <v>82</v>
      </c>
      <c r="AH64" s="11" t="n">
        <f aca="false">SUM($B24:AH24)</f>
        <v>85.5</v>
      </c>
      <c r="AI64" s="11" t="n">
        <f aca="false">SUM($B24:AI24)</f>
        <v>89</v>
      </c>
      <c r="AJ64" s="11" t="n">
        <f aca="false">SUM($B24:AJ24)</f>
        <v>92.5</v>
      </c>
      <c r="AK64" s="11" t="n">
        <f aca="false">SUM($B24:AK24)</f>
        <v>96</v>
      </c>
      <c r="AL64" s="11" t="n">
        <f aca="false">SUM($B24:AL24)</f>
        <v>99.5</v>
      </c>
      <c r="AM64" s="11" t="n">
        <f aca="false">SUM($B24:AM24)</f>
        <v>103</v>
      </c>
      <c r="AN64" s="11" t="n">
        <f aca="false">SUM($B24:AN24)</f>
        <v>106.5</v>
      </c>
      <c r="AO64" s="11" t="n">
        <f aca="false">SUM($B24:AO24)</f>
        <v>110</v>
      </c>
      <c r="AP64" s="11" t="n">
        <f aca="false">SUM($B24:AP24)</f>
        <v>113.5</v>
      </c>
      <c r="AQ64" s="11" t="n">
        <f aca="false">SUM($B24:AQ24)</f>
        <v>117</v>
      </c>
      <c r="AR64" s="11" t="n">
        <f aca="false">SUM($B24:AR24)</f>
        <v>120.5</v>
      </c>
      <c r="AS64" s="11" t="n">
        <f aca="false">SUM($B24:AS24)</f>
        <v>124</v>
      </c>
      <c r="AT64" s="11" t="n">
        <f aca="false">SUM($B24:AT24)</f>
        <v>127.5</v>
      </c>
      <c r="AU64" s="11" t="n">
        <f aca="false">SUM($B24:AU24)</f>
        <v>131</v>
      </c>
      <c r="AV64" s="11" t="n">
        <f aca="false">SUM($B24:AV24)</f>
        <v>134.5</v>
      </c>
      <c r="AW64" s="11" t="n">
        <f aca="false">SUM($B24:AW24)</f>
        <v>138</v>
      </c>
      <c r="AX64" s="11" t="n">
        <f aca="false">SUM($B24:AX24)</f>
        <v>141.5</v>
      </c>
      <c r="AY64" s="11" t="n">
        <f aca="false">SUM($B24:AY24)</f>
        <v>145</v>
      </c>
      <c r="AZ64" s="11" t="n">
        <f aca="false">SUM($B24:AZ24)</f>
        <v>148.5</v>
      </c>
      <c r="BA64" s="11" t="n">
        <f aca="false">SUM($B24:BA24)</f>
        <v>152</v>
      </c>
      <c r="BB64" s="11" t="n">
        <f aca="false">SUM($B24:BB24)</f>
        <v>155.5</v>
      </c>
      <c r="BC64" s="11" t="n">
        <f aca="false">SUM($B24:BC24)</f>
        <v>159</v>
      </c>
      <c r="BD64" s="11" t="n">
        <f aca="false">SUM($B24:BD24)</f>
        <v>162.5</v>
      </c>
      <c r="BE64" s="11" t="n">
        <f aca="false">SUM($B24:BE24)</f>
        <v>166</v>
      </c>
      <c r="BF64" s="11" t="n">
        <f aca="false">SUM($B24:BF24)</f>
        <v>169.5</v>
      </c>
      <c r="BG64" s="11" t="n">
        <f aca="false">SUM($B24:BG24)</f>
        <v>173</v>
      </c>
      <c r="BH64" s="11" t="n">
        <f aca="false">SUM($B24:BH24)</f>
        <v>176.5</v>
      </c>
      <c r="BI64" s="11" t="n">
        <f aca="false">SUM($B24:BI24)</f>
        <v>180</v>
      </c>
      <c r="BJ64" s="11" t="n">
        <f aca="false">SUM($B24:BJ24)</f>
        <v>183.5</v>
      </c>
      <c r="BK64" s="11" t="n">
        <f aca="false">SUM($B24:BK24)</f>
        <v>187</v>
      </c>
      <c r="BL64" s="11" t="n">
        <f aca="false">SUM($B24:BL24)</f>
        <v>190.5</v>
      </c>
      <c r="BM64" s="11" t="n">
        <f aca="false">SUM($B24:BM24)</f>
        <v>194</v>
      </c>
      <c r="BN64" s="11" t="n">
        <f aca="false">SUM($B24:BN24)</f>
        <v>197.5</v>
      </c>
      <c r="BO64" s="11" t="n">
        <f aca="false">SUM($B24:BO24)</f>
        <v>201</v>
      </c>
      <c r="BP64" s="11" t="n">
        <f aca="false">SUM($B24:BP24)</f>
        <v>204.5</v>
      </c>
      <c r="BQ64" s="11" t="n">
        <f aca="false">SUM($B24:BQ24)</f>
        <v>208</v>
      </c>
      <c r="BR64" s="11" t="n">
        <f aca="false">SUM($B24:BR24)</f>
        <v>211.5</v>
      </c>
      <c r="BS64" s="11" t="n">
        <f aca="false">SUM($B24:BS24)</f>
        <v>215</v>
      </c>
      <c r="BT64" s="11" t="n">
        <f aca="false">SUM($B24:BT24)</f>
        <v>218.5</v>
      </c>
      <c r="BU64" s="11" t="n">
        <f aca="false">SUM($B24:BU24)</f>
        <v>222</v>
      </c>
      <c r="BV64" s="11" t="n">
        <f aca="false">SUM($B24:BV24)</f>
        <v>225.5</v>
      </c>
      <c r="BW64" s="11" t="n">
        <f aca="false">SUM($B24:BW24)</f>
        <v>229</v>
      </c>
      <c r="BX64" s="11" t="n">
        <f aca="false">SUM($B24:BX24)</f>
        <v>232.5</v>
      </c>
      <c r="BY64" s="11" t="n">
        <f aca="false">SUM($B24:BY24)</f>
        <v>236</v>
      </c>
      <c r="BZ64" s="11" t="n">
        <f aca="false">SUM($B24:BZ24)</f>
        <v>239.5</v>
      </c>
      <c r="CA64" s="11" t="n">
        <f aca="false">SUM($B24:CA24)</f>
        <v>243</v>
      </c>
      <c r="CB64" s="11" t="n">
        <f aca="false">SUM($B24:CB24)</f>
        <v>246.5</v>
      </c>
      <c r="CC64" s="11" t="n">
        <f aca="false">SUM($B24:CC24)</f>
        <v>250</v>
      </c>
      <c r="CD64" s="11" t="n">
        <f aca="false">SUM($B24:CD24)</f>
        <v>253.5</v>
      </c>
      <c r="CE64" s="11" t="n">
        <f aca="false">SUM($B24:CE24)</f>
        <v>257</v>
      </c>
      <c r="CF64" s="11" t="n">
        <f aca="false">SUM($B24:CF24)</f>
        <v>260.5</v>
      </c>
      <c r="CG64" s="11" t="n">
        <f aca="false">SUM($B24:CG24)</f>
        <v>264</v>
      </c>
      <c r="CH64" s="11" t="n">
        <f aca="false">SUM($B24:CH24)</f>
        <v>267.5</v>
      </c>
      <c r="CI64" s="11" t="n">
        <f aca="false">SUM($B24:CI24)</f>
        <v>271</v>
      </c>
      <c r="CJ64" s="11" t="n">
        <f aca="false">SUM($B24:CJ24)</f>
        <v>274.5</v>
      </c>
      <c r="CK64" s="11" t="n">
        <f aca="false">SUM($B24:CK24)</f>
        <v>278</v>
      </c>
      <c r="CL64" s="11" t="n">
        <f aca="false">SUM($B24:CL24)</f>
        <v>281.5</v>
      </c>
      <c r="CM64" s="11" t="n">
        <f aca="false">SUM($B24:CM24)</f>
        <v>285</v>
      </c>
      <c r="CN64" s="11" t="n">
        <f aca="false">SUM($B24:CN24)</f>
        <v>288.5</v>
      </c>
      <c r="CO64" s="11" t="n">
        <f aca="false">SUM($B24:CO24)</f>
        <v>292</v>
      </c>
      <c r="CP64" s="11" t="n">
        <f aca="false">SUM($B24:CP24)</f>
        <v>295.5</v>
      </c>
      <c r="CQ64" s="11" t="n">
        <f aca="false">SUM($B24:CQ24)</f>
        <v>299</v>
      </c>
      <c r="CR64" s="11" t="n">
        <f aca="false">SUM($B24:CR24)</f>
        <v>302.5</v>
      </c>
      <c r="CS64" s="11" t="n">
        <f aca="false">SUM($B24:CS24)</f>
        <v>306</v>
      </c>
      <c r="CT64" s="11" t="n">
        <f aca="false">SUM($B24:CT24)</f>
        <v>309.5</v>
      </c>
      <c r="CU64" s="11" t="n">
        <f aca="false">SUM($B24:CU24)</f>
        <v>313</v>
      </c>
      <c r="CV64" s="11" t="n">
        <f aca="false">SUM($B24:CV24)</f>
        <v>316.5</v>
      </c>
      <c r="CW64" s="11" t="n">
        <f aca="false">SUM($B24:CW24)</f>
        <v>320</v>
      </c>
      <c r="CX64" s="11" t="n">
        <f aca="false">SUM($B24:CX24)</f>
        <v>323.5</v>
      </c>
      <c r="CY64" s="11" t="n">
        <f aca="false">SUM($B24:CY24)</f>
        <v>327</v>
      </c>
      <c r="CZ64" s="11" t="n">
        <f aca="false">SUM($B24:CZ24)</f>
        <v>330.5</v>
      </c>
      <c r="DA64" s="11" t="n">
        <f aca="false">SUM($B24:DA24)</f>
        <v>334</v>
      </c>
      <c r="DB64" s="11" t="n">
        <f aca="false">SUM($B24:DB24)</f>
        <v>337.5</v>
      </c>
      <c r="DC64" s="11" t="n">
        <f aca="false">SUM($B24:DC24)</f>
        <v>341</v>
      </c>
      <c r="DD64" s="11" t="n">
        <f aca="false">SUM($B24:DD24)</f>
        <v>344.5</v>
      </c>
      <c r="DE64" s="11" t="n">
        <f aca="false">SUM($B24:DE24)</f>
        <v>348</v>
      </c>
      <c r="DF64" s="11" t="n">
        <f aca="false">SUM($B24:DF24)</f>
        <v>351.5</v>
      </c>
      <c r="DG64" s="11" t="n">
        <f aca="false">SUM($B24:DG24)</f>
        <v>355</v>
      </c>
      <c r="DH64" s="11" t="n">
        <f aca="false">SUM($B24:DH24)</f>
        <v>358.5</v>
      </c>
      <c r="DI64" s="11" t="n">
        <f aca="false">SUM($B24:DI24)</f>
        <v>362</v>
      </c>
      <c r="DJ64" s="11" t="n">
        <f aca="false">SUM($B24:DJ24)</f>
        <v>365.5</v>
      </c>
      <c r="DK64" s="11" t="n">
        <f aca="false">SUM($B24:DK24)</f>
        <v>369</v>
      </c>
      <c r="DL64" s="11" t="n">
        <f aca="false">SUM($B24:DL24)</f>
        <v>372.5</v>
      </c>
      <c r="DM64" s="11" t="n">
        <f aca="false">SUM($B24:DM24)</f>
        <v>376</v>
      </c>
      <c r="DN64" s="11" t="n">
        <f aca="false">SUM($B24:DN24)</f>
        <v>379.5</v>
      </c>
      <c r="DO64" s="11" t="n">
        <f aca="false">SUM($B24:DO24)</f>
        <v>383</v>
      </c>
      <c r="DP64" s="11" t="n">
        <f aca="false">SUM($B24:DP24)</f>
        <v>386.5</v>
      </c>
      <c r="DQ64" s="11" t="n">
        <f aca="false">SUM($B24:DQ24)</f>
        <v>390</v>
      </c>
      <c r="DR64" s="11" t="n">
        <f aca="false">SUM($B24:DR24)</f>
        <v>393.5</v>
      </c>
    </row>
    <row r="65" customFormat="false" ht="15" hidden="false" customHeight="false" outlineLevel="0" collapsed="false">
      <c r="A65" s="9" t="s">
        <v>233</v>
      </c>
      <c r="B65" s="10" t="n">
        <f aca="false">B19*Inputs!$B$5</f>
        <v>0</v>
      </c>
      <c r="C65" s="10" t="n">
        <f aca="false">C19*Inputs!$B$5</f>
        <v>0</v>
      </c>
      <c r="D65" s="10" t="n">
        <f aca="false">D19*Inputs!$B$5</f>
        <v>0</v>
      </c>
      <c r="E65" s="10" t="n">
        <f aca="false">E19*Inputs!$B$5</f>
        <v>0</v>
      </c>
      <c r="F65" s="10" t="n">
        <f aca="false">F19*Inputs!$B$5</f>
        <v>0</v>
      </c>
      <c r="G65" s="10" t="n">
        <f aca="false">G19*Inputs!$B$5</f>
        <v>0</v>
      </c>
      <c r="H65" s="10" t="n">
        <f aca="false">H19*Inputs!$B$5</f>
        <v>1.5</v>
      </c>
      <c r="I65" s="10" t="n">
        <f aca="false">I19*Inputs!$B$5</f>
        <v>1.5</v>
      </c>
      <c r="J65" s="10" t="n">
        <f aca="false">J19*Inputs!$B$5</f>
        <v>1.5</v>
      </c>
      <c r="K65" s="10" t="n">
        <f aca="false">K19*Inputs!$B$5</f>
        <v>2.5</v>
      </c>
      <c r="L65" s="10" t="n">
        <f aca="false">L19*Inputs!$B$5</f>
        <v>2.5</v>
      </c>
      <c r="M65" s="10" t="n">
        <f aca="false">M19*Inputs!$B$5</f>
        <v>2.5</v>
      </c>
      <c r="N65" s="10" t="n">
        <f aca="false">N19*Inputs!$B$5</f>
        <v>3.5</v>
      </c>
      <c r="O65" s="10" t="n">
        <f aca="false">O19*Inputs!$B$5</f>
        <v>3.5</v>
      </c>
      <c r="P65" s="10" t="n">
        <f aca="false">P19*Inputs!$B$5</f>
        <v>3.5</v>
      </c>
      <c r="Q65" s="10" t="n">
        <f aca="false">Q19*Inputs!$B$5</f>
        <v>3.5</v>
      </c>
      <c r="R65" s="10" t="n">
        <f aca="false">R19*Inputs!$B$5</f>
        <v>3.5</v>
      </c>
      <c r="S65" s="10" t="n">
        <f aca="false">S19*Inputs!$B$5</f>
        <v>3.5</v>
      </c>
      <c r="T65" s="10" t="n">
        <f aca="false">T19*Inputs!$B$5</f>
        <v>3.5</v>
      </c>
      <c r="U65" s="10" t="n">
        <f aca="false">U19*Inputs!$B$5</f>
        <v>3.5</v>
      </c>
      <c r="V65" s="10" t="n">
        <f aca="false">V19*Inputs!$B$5</f>
        <v>3.5</v>
      </c>
      <c r="W65" s="10" t="n">
        <f aca="false">W19*Inputs!$B$5</f>
        <v>3.5</v>
      </c>
      <c r="X65" s="10" t="n">
        <f aca="false">X19*Inputs!$B$5</f>
        <v>3.5</v>
      </c>
      <c r="Y65" s="10" t="n">
        <f aca="false">Y19*Inputs!$B$5</f>
        <v>3.5</v>
      </c>
      <c r="Z65" s="10" t="n">
        <f aca="false">Z19*Inputs!$B$5</f>
        <v>3.5</v>
      </c>
      <c r="AA65" s="10" t="n">
        <f aca="false">AA19*Inputs!$B$5</f>
        <v>3.5</v>
      </c>
      <c r="AB65" s="10" t="n">
        <f aca="false">AB19*Inputs!$B$5</f>
        <v>3.5</v>
      </c>
      <c r="AC65" s="10" t="n">
        <f aca="false">AC19*Inputs!$B$5</f>
        <v>3.5</v>
      </c>
      <c r="AD65" s="10" t="n">
        <f aca="false">AD19*Inputs!$B$5</f>
        <v>3.5</v>
      </c>
      <c r="AE65" s="10" t="n">
        <f aca="false">AE19*Inputs!$B$5</f>
        <v>3.5</v>
      </c>
      <c r="AF65" s="10" t="n">
        <f aca="false">AF19*Inputs!$B$5</f>
        <v>3.5</v>
      </c>
      <c r="AG65" s="10" t="n">
        <f aca="false">AG19*Inputs!$B$5</f>
        <v>3.5</v>
      </c>
      <c r="AH65" s="10" t="n">
        <f aca="false">AH19*Inputs!$B$5</f>
        <v>3.5</v>
      </c>
      <c r="AI65" s="10" t="n">
        <f aca="false">AI19*Inputs!$B$5</f>
        <v>3.5</v>
      </c>
      <c r="AJ65" s="10" t="n">
        <f aca="false">AJ19*Inputs!$B$5</f>
        <v>3.5</v>
      </c>
      <c r="AK65" s="10" t="n">
        <f aca="false">AK19*Inputs!$B$5</f>
        <v>3.5</v>
      </c>
      <c r="AL65" s="10" t="n">
        <f aca="false">AL19*Inputs!$B$5</f>
        <v>3.5</v>
      </c>
      <c r="AM65" s="10" t="n">
        <f aca="false">AM19*Inputs!$B$5</f>
        <v>3.5</v>
      </c>
      <c r="AN65" s="10" t="n">
        <f aca="false">AN19*Inputs!$B$5</f>
        <v>3.5</v>
      </c>
      <c r="AO65" s="10" t="n">
        <f aca="false">AO19*Inputs!$B$5</f>
        <v>3.5</v>
      </c>
      <c r="AP65" s="10" t="n">
        <f aca="false">AP19*Inputs!$B$5</f>
        <v>3.5</v>
      </c>
      <c r="AQ65" s="10" t="n">
        <f aca="false">AQ19*Inputs!$B$5</f>
        <v>3.5</v>
      </c>
      <c r="AR65" s="10" t="n">
        <f aca="false">AR19*Inputs!$B$5</f>
        <v>3.5</v>
      </c>
      <c r="AS65" s="10" t="n">
        <f aca="false">AS19*Inputs!$B$5</f>
        <v>3.5</v>
      </c>
      <c r="AT65" s="10" t="n">
        <f aca="false">AT19*Inputs!$B$5</f>
        <v>3.5</v>
      </c>
      <c r="AU65" s="10" t="n">
        <f aca="false">AU19*Inputs!$B$5</f>
        <v>3.5</v>
      </c>
      <c r="AV65" s="10" t="n">
        <f aca="false">AV19*Inputs!$B$5</f>
        <v>3.5</v>
      </c>
      <c r="AW65" s="10" t="n">
        <f aca="false">AW19*Inputs!$B$5</f>
        <v>3.5</v>
      </c>
      <c r="AX65" s="10" t="n">
        <f aca="false">AX19*Inputs!$B$5</f>
        <v>3.5</v>
      </c>
      <c r="AY65" s="10" t="n">
        <f aca="false">AY19*Inputs!$B$5</f>
        <v>3.5</v>
      </c>
      <c r="AZ65" s="10" t="n">
        <f aca="false">AZ19*Inputs!$B$5</f>
        <v>3.5</v>
      </c>
      <c r="BA65" s="10" t="n">
        <f aca="false">BA19*Inputs!$B$5</f>
        <v>3.5</v>
      </c>
      <c r="BB65" s="10" t="n">
        <f aca="false">BB19*Inputs!$B$5</f>
        <v>3.5</v>
      </c>
      <c r="BC65" s="10" t="n">
        <f aca="false">BC19*Inputs!$B$5</f>
        <v>3.5</v>
      </c>
      <c r="BD65" s="10" t="n">
        <f aca="false">BD19*Inputs!$B$5</f>
        <v>3.5</v>
      </c>
      <c r="BE65" s="10" t="n">
        <f aca="false">BE19*Inputs!$B$5</f>
        <v>3.5</v>
      </c>
      <c r="BF65" s="10" t="n">
        <f aca="false">BF19*Inputs!$B$5</f>
        <v>3.5</v>
      </c>
      <c r="BG65" s="10" t="n">
        <f aca="false">BG19*Inputs!$B$5</f>
        <v>3.5</v>
      </c>
      <c r="BH65" s="10" t="n">
        <f aca="false">BH19*Inputs!$B$5</f>
        <v>3.5</v>
      </c>
      <c r="BI65" s="10" t="n">
        <f aca="false">BI19*Inputs!$B$5</f>
        <v>3.5</v>
      </c>
      <c r="BJ65" s="10" t="n">
        <f aca="false">BJ19*Inputs!$B$5</f>
        <v>3.5</v>
      </c>
      <c r="BK65" s="10" t="n">
        <f aca="false">BK19*Inputs!$B$5</f>
        <v>3.5</v>
      </c>
      <c r="BL65" s="10" t="n">
        <f aca="false">BL19*Inputs!$B$5</f>
        <v>3.5</v>
      </c>
      <c r="BM65" s="10" t="n">
        <f aca="false">BM19*Inputs!$B$5</f>
        <v>3.5</v>
      </c>
      <c r="BN65" s="10" t="n">
        <f aca="false">BN19*Inputs!$B$5</f>
        <v>3.5</v>
      </c>
      <c r="BO65" s="10" t="n">
        <f aca="false">BO19*Inputs!$B$5</f>
        <v>3.5</v>
      </c>
      <c r="BP65" s="10" t="n">
        <f aca="false">BP19*Inputs!$B$5</f>
        <v>3.5</v>
      </c>
      <c r="BQ65" s="10" t="n">
        <f aca="false">BQ19*Inputs!$B$5</f>
        <v>3.5</v>
      </c>
      <c r="BR65" s="10" t="n">
        <f aca="false">BR19*Inputs!$B$5</f>
        <v>3.5</v>
      </c>
      <c r="BS65" s="10" t="n">
        <f aca="false">BS19*Inputs!$B$5</f>
        <v>3.5</v>
      </c>
      <c r="BT65" s="10" t="n">
        <f aca="false">BT19*Inputs!$B$5</f>
        <v>3.5</v>
      </c>
      <c r="BU65" s="10" t="n">
        <f aca="false">BU19*Inputs!$B$5</f>
        <v>3.5</v>
      </c>
      <c r="BV65" s="10" t="n">
        <f aca="false">BV19*Inputs!$B$5</f>
        <v>3.5</v>
      </c>
      <c r="BW65" s="10" t="n">
        <f aca="false">BW19*Inputs!$B$5</f>
        <v>3.5</v>
      </c>
      <c r="BX65" s="10" t="n">
        <f aca="false">BX19*Inputs!$B$5</f>
        <v>3.5</v>
      </c>
      <c r="BY65" s="10" t="n">
        <f aca="false">BY19*Inputs!$B$5</f>
        <v>3.5</v>
      </c>
      <c r="BZ65" s="10" t="n">
        <f aca="false">BZ19*Inputs!$B$5</f>
        <v>3.5</v>
      </c>
      <c r="CA65" s="10" t="n">
        <f aca="false">CA19*Inputs!$B$5</f>
        <v>3.5</v>
      </c>
      <c r="CB65" s="10" t="n">
        <f aca="false">CB19*Inputs!$B$5</f>
        <v>3.5</v>
      </c>
      <c r="CC65" s="10" t="n">
        <f aca="false">CC19*Inputs!$B$5</f>
        <v>3.5</v>
      </c>
      <c r="CD65" s="10" t="n">
        <f aca="false">CD19*Inputs!$B$5</f>
        <v>3.5</v>
      </c>
      <c r="CE65" s="10" t="n">
        <f aca="false">CE19*Inputs!$B$5</f>
        <v>3.5</v>
      </c>
      <c r="CF65" s="10" t="n">
        <f aca="false">CF19*Inputs!$B$5</f>
        <v>3.5</v>
      </c>
      <c r="CG65" s="10" t="n">
        <f aca="false">CG19*Inputs!$B$5</f>
        <v>3.5</v>
      </c>
      <c r="CH65" s="10" t="n">
        <f aca="false">CH19*Inputs!$B$5</f>
        <v>3.5</v>
      </c>
      <c r="CI65" s="10" t="n">
        <f aca="false">CI19*Inputs!$B$5</f>
        <v>3.5</v>
      </c>
      <c r="CJ65" s="10" t="n">
        <f aca="false">CJ19*Inputs!$B$5</f>
        <v>3.5</v>
      </c>
      <c r="CK65" s="10" t="n">
        <f aca="false">CK19*Inputs!$B$5</f>
        <v>3.5</v>
      </c>
      <c r="CL65" s="10" t="n">
        <f aca="false">CL19*Inputs!$B$5</f>
        <v>3.5</v>
      </c>
      <c r="CM65" s="10" t="n">
        <f aca="false">CM19*Inputs!$B$5</f>
        <v>3.5</v>
      </c>
      <c r="CN65" s="10" t="n">
        <f aca="false">CN19*Inputs!$B$5</f>
        <v>3.5</v>
      </c>
      <c r="CO65" s="10" t="n">
        <f aca="false">CO19*Inputs!$B$5</f>
        <v>3.5</v>
      </c>
      <c r="CP65" s="10" t="n">
        <f aca="false">CP19*Inputs!$B$5</f>
        <v>3.5</v>
      </c>
      <c r="CQ65" s="10" t="n">
        <f aca="false">CQ19*Inputs!$B$5</f>
        <v>3.5</v>
      </c>
      <c r="CR65" s="10" t="n">
        <f aca="false">CR19*Inputs!$B$5</f>
        <v>3.5</v>
      </c>
      <c r="CS65" s="10" t="n">
        <f aca="false">CS19*Inputs!$B$5</f>
        <v>3.5</v>
      </c>
      <c r="CT65" s="10" t="n">
        <f aca="false">CT19*Inputs!$B$5</f>
        <v>3.5</v>
      </c>
      <c r="CU65" s="10" t="n">
        <f aca="false">CU19*Inputs!$B$5</f>
        <v>3.5</v>
      </c>
      <c r="CV65" s="10" t="n">
        <f aca="false">CV19*Inputs!$B$5</f>
        <v>3.5</v>
      </c>
      <c r="CW65" s="10" t="n">
        <f aca="false">CW19*Inputs!$B$5</f>
        <v>3.5</v>
      </c>
      <c r="CX65" s="10" t="n">
        <f aca="false">CX19*Inputs!$B$5</f>
        <v>3.5</v>
      </c>
      <c r="CY65" s="10" t="n">
        <f aca="false">CY19*Inputs!$B$5</f>
        <v>3.5</v>
      </c>
      <c r="CZ65" s="10" t="n">
        <f aca="false">CZ19*Inputs!$B$5</f>
        <v>3.5</v>
      </c>
      <c r="DA65" s="10" t="n">
        <f aca="false">DA19*Inputs!$B$5</f>
        <v>3.5</v>
      </c>
      <c r="DB65" s="10" t="n">
        <f aca="false">DB19*Inputs!$B$5</f>
        <v>3.5</v>
      </c>
      <c r="DC65" s="10" t="n">
        <f aca="false">DC19*Inputs!$B$5</f>
        <v>3.5</v>
      </c>
      <c r="DD65" s="10" t="n">
        <f aca="false">DD19*Inputs!$B$5</f>
        <v>3.5</v>
      </c>
      <c r="DE65" s="10" t="n">
        <f aca="false">DE19*Inputs!$B$5</f>
        <v>3.5</v>
      </c>
      <c r="DF65" s="10" t="n">
        <f aca="false">DF19*Inputs!$B$5</f>
        <v>3.5</v>
      </c>
      <c r="DG65" s="10" t="n">
        <f aca="false">DG19*Inputs!$B$5</f>
        <v>3.5</v>
      </c>
      <c r="DH65" s="10" t="n">
        <f aca="false">DH19*Inputs!$B$5</f>
        <v>3.5</v>
      </c>
      <c r="DI65" s="10" t="n">
        <f aca="false">DI19*Inputs!$B$5</f>
        <v>3.5</v>
      </c>
      <c r="DJ65" s="10" t="n">
        <f aca="false">DJ19*Inputs!$B$5</f>
        <v>3.5</v>
      </c>
      <c r="DK65" s="10" t="n">
        <f aca="false">DK19*Inputs!$B$5</f>
        <v>3.5</v>
      </c>
      <c r="DL65" s="10" t="n">
        <f aca="false">DL19*Inputs!$B$5</f>
        <v>3.5</v>
      </c>
      <c r="DM65" s="10" t="n">
        <f aca="false">DM19*Inputs!$B$5</f>
        <v>3.5</v>
      </c>
      <c r="DN65" s="10" t="n">
        <f aca="false">DN19*Inputs!$B$5</f>
        <v>3.5</v>
      </c>
      <c r="DO65" s="10" t="n">
        <f aca="false">DO19*Inputs!$B$5</f>
        <v>3.5</v>
      </c>
      <c r="DP65" s="10" t="n">
        <f aca="false">DP19*Inputs!$B$5</f>
        <v>3.5</v>
      </c>
      <c r="DQ65" s="10" t="n">
        <f aca="false">DQ19*Inputs!$B$5</f>
        <v>3.5</v>
      </c>
      <c r="DR65" s="10" t="n">
        <f aca="false">DR19*Inputs!$B$5</f>
        <v>3.5</v>
      </c>
    </row>
    <row r="66" customFormat="false" ht="15" hidden="false" customHeight="false" outlineLevel="0" collapsed="false">
      <c r="A66" s="9" t="s">
        <v>234</v>
      </c>
      <c r="B66" s="11" t="n">
        <f aca="false">B19-B4</f>
        <v>0</v>
      </c>
      <c r="C66" s="11" t="n">
        <f aca="false">C19-C4</f>
        <v>0</v>
      </c>
      <c r="D66" s="11" t="n">
        <f aca="false">D19-D4</f>
        <v>0</v>
      </c>
      <c r="E66" s="11" t="n">
        <f aca="false">E19-E4</f>
        <v>0</v>
      </c>
      <c r="F66" s="11" t="n">
        <f aca="false">F19-F4</f>
        <v>0</v>
      </c>
      <c r="G66" s="11" t="n">
        <f aca="false">G19-G4</f>
        <v>0</v>
      </c>
      <c r="H66" s="11" t="n">
        <f aca="false">H19-H4</f>
        <v>0</v>
      </c>
      <c r="I66" s="11" t="n">
        <f aca="false">I19-I4</f>
        <v>0</v>
      </c>
      <c r="J66" s="11" t="n">
        <f aca="false">J19-J4</f>
        <v>0</v>
      </c>
      <c r="K66" s="11" t="n">
        <f aca="false">K19-K4</f>
        <v>0</v>
      </c>
      <c r="L66" s="11" t="n">
        <f aca="false">L19-L4</f>
        <v>0</v>
      </c>
      <c r="M66" s="11" t="n">
        <f aca="false">M19-M4</f>
        <v>0</v>
      </c>
      <c r="N66" s="11" t="n">
        <f aca="false">N19-N4</f>
        <v>0</v>
      </c>
      <c r="O66" s="11" t="n">
        <f aca="false">O19-O4</f>
        <v>0</v>
      </c>
      <c r="P66" s="11" t="n">
        <f aca="false">P19-P4</f>
        <v>0</v>
      </c>
      <c r="Q66" s="11" t="n">
        <f aca="false">Q19-Q4</f>
        <v>0</v>
      </c>
      <c r="R66" s="11" t="n">
        <f aca="false">R19-R4</f>
        <v>0</v>
      </c>
      <c r="S66" s="11" t="n">
        <f aca="false">S19-S4</f>
        <v>0</v>
      </c>
      <c r="T66" s="11" t="n">
        <f aca="false">T19-T4</f>
        <v>0</v>
      </c>
      <c r="U66" s="11" t="n">
        <f aca="false">U19-U4</f>
        <v>0</v>
      </c>
      <c r="V66" s="11" t="n">
        <f aca="false">V19-V4</f>
        <v>0</v>
      </c>
      <c r="W66" s="11" t="n">
        <f aca="false">W19-W4</f>
        <v>0</v>
      </c>
      <c r="X66" s="11" t="n">
        <f aca="false">X19-X4</f>
        <v>0</v>
      </c>
      <c r="Y66" s="11" t="n">
        <f aca="false">Y19-Y4</f>
        <v>0</v>
      </c>
      <c r="Z66" s="11" t="n">
        <f aca="false">Z19-Z4</f>
        <v>0</v>
      </c>
      <c r="AA66" s="11" t="n">
        <f aca="false">AA19-AA4</f>
        <v>0</v>
      </c>
      <c r="AB66" s="11" t="n">
        <f aca="false">AB19-AB4</f>
        <v>0</v>
      </c>
      <c r="AC66" s="11" t="n">
        <f aca="false">AC19-AC4</f>
        <v>0</v>
      </c>
      <c r="AD66" s="11" t="n">
        <f aca="false">AD19-AD4</f>
        <v>0</v>
      </c>
      <c r="AE66" s="11" t="n">
        <f aca="false">AE19-AE4</f>
        <v>0</v>
      </c>
      <c r="AF66" s="11" t="n">
        <f aca="false">AF19-AF4</f>
        <v>0</v>
      </c>
      <c r="AG66" s="11" t="n">
        <f aca="false">AG19-AG4</f>
        <v>0</v>
      </c>
      <c r="AH66" s="11" t="n">
        <f aca="false">AH19-AH4</f>
        <v>0</v>
      </c>
      <c r="AI66" s="11" t="n">
        <f aca="false">AI19-AI4</f>
        <v>0</v>
      </c>
      <c r="AJ66" s="11" t="n">
        <f aca="false">AJ19-AJ4</f>
        <v>0</v>
      </c>
      <c r="AK66" s="11" t="n">
        <f aca="false">AK19-AK4</f>
        <v>0</v>
      </c>
      <c r="AL66" s="11" t="n">
        <f aca="false">AL19-AL4</f>
        <v>0</v>
      </c>
      <c r="AM66" s="11" t="n">
        <f aca="false">AM19-AM4</f>
        <v>0</v>
      </c>
      <c r="AN66" s="11" t="n">
        <f aca="false">AN19-AN4</f>
        <v>0</v>
      </c>
      <c r="AO66" s="11" t="n">
        <f aca="false">AO19-AO4</f>
        <v>0</v>
      </c>
      <c r="AP66" s="11" t="n">
        <f aca="false">AP19-AP4</f>
        <v>0</v>
      </c>
      <c r="AQ66" s="11" t="n">
        <f aca="false">AQ19-AQ4</f>
        <v>0</v>
      </c>
      <c r="AR66" s="11" t="n">
        <f aca="false">AR19-AR4</f>
        <v>0</v>
      </c>
      <c r="AS66" s="11" t="n">
        <f aca="false">AS19-AS4</f>
        <v>0</v>
      </c>
      <c r="AT66" s="11" t="n">
        <f aca="false">AT19-AT4</f>
        <v>0</v>
      </c>
      <c r="AU66" s="11" t="n">
        <f aca="false">AU19-AU4</f>
        <v>0</v>
      </c>
      <c r="AV66" s="11" t="n">
        <f aca="false">AV19-AV4</f>
        <v>0</v>
      </c>
      <c r="AW66" s="11" t="n">
        <f aca="false">AW19-AW4</f>
        <v>0</v>
      </c>
      <c r="AX66" s="11" t="n">
        <f aca="false">AX19-AX4</f>
        <v>0</v>
      </c>
      <c r="AY66" s="11" t="n">
        <f aca="false">AY19-AY4</f>
        <v>0</v>
      </c>
      <c r="AZ66" s="11" t="n">
        <f aca="false">AZ19-AZ4</f>
        <v>0</v>
      </c>
      <c r="BA66" s="11" t="n">
        <f aca="false">BA19-BA4</f>
        <v>0</v>
      </c>
      <c r="BB66" s="11" t="n">
        <f aca="false">BB19-BB4</f>
        <v>0</v>
      </c>
      <c r="BC66" s="11" t="n">
        <f aca="false">BC19-BC4</f>
        <v>0</v>
      </c>
      <c r="BD66" s="11" t="n">
        <f aca="false">BD19-BD4</f>
        <v>0</v>
      </c>
      <c r="BE66" s="11" t="n">
        <f aca="false">BE19-BE4</f>
        <v>0</v>
      </c>
      <c r="BF66" s="11" t="n">
        <f aca="false">BF19-BF4</f>
        <v>0</v>
      </c>
      <c r="BG66" s="11" t="n">
        <f aca="false">BG19-BG4</f>
        <v>0</v>
      </c>
      <c r="BH66" s="11" t="n">
        <f aca="false">BH19-BH4</f>
        <v>0</v>
      </c>
      <c r="BI66" s="11" t="n">
        <f aca="false">BI19-BI4</f>
        <v>0</v>
      </c>
      <c r="BJ66" s="11" t="n">
        <f aca="false">BJ19-BJ4</f>
        <v>0</v>
      </c>
      <c r="BK66" s="11" t="n">
        <f aca="false">BK19-BK4</f>
        <v>0</v>
      </c>
      <c r="BL66" s="11" t="n">
        <f aca="false">BL19-BL4</f>
        <v>0</v>
      </c>
      <c r="BM66" s="11" t="n">
        <f aca="false">BM19-BM4</f>
        <v>0</v>
      </c>
      <c r="BN66" s="11" t="n">
        <f aca="false">BN19-BN4</f>
        <v>0</v>
      </c>
      <c r="BO66" s="11" t="n">
        <f aca="false">BO19-BO4</f>
        <v>0</v>
      </c>
      <c r="BP66" s="11" t="n">
        <f aca="false">BP19-BP4</f>
        <v>0</v>
      </c>
      <c r="BQ66" s="11" t="n">
        <f aca="false">BQ19-BQ4</f>
        <v>0</v>
      </c>
      <c r="BR66" s="11" t="n">
        <f aca="false">BR19-BR4</f>
        <v>0</v>
      </c>
      <c r="BS66" s="11" t="n">
        <f aca="false">BS19-BS4</f>
        <v>0</v>
      </c>
      <c r="BT66" s="11" t="n">
        <f aca="false">BT19-BT4</f>
        <v>0</v>
      </c>
      <c r="BU66" s="11" t="n">
        <f aca="false">BU19-BU4</f>
        <v>0</v>
      </c>
      <c r="BV66" s="11" t="n">
        <f aca="false">BV19-BV4</f>
        <v>0</v>
      </c>
      <c r="BW66" s="11" t="n">
        <f aca="false">BW19-BW4</f>
        <v>0</v>
      </c>
      <c r="BX66" s="11" t="n">
        <f aca="false">BX19-BX4</f>
        <v>0</v>
      </c>
      <c r="BY66" s="11" t="n">
        <f aca="false">BY19-BY4</f>
        <v>0</v>
      </c>
      <c r="BZ66" s="11" t="n">
        <f aca="false">BZ19-BZ4</f>
        <v>0</v>
      </c>
      <c r="CA66" s="11" t="n">
        <f aca="false">CA19-CA4</f>
        <v>0</v>
      </c>
      <c r="CB66" s="11" t="n">
        <f aca="false">CB19-CB4</f>
        <v>0</v>
      </c>
      <c r="CC66" s="11" t="n">
        <f aca="false">CC19-CC4</f>
        <v>0</v>
      </c>
      <c r="CD66" s="11" t="n">
        <f aca="false">CD19-CD4</f>
        <v>0</v>
      </c>
      <c r="CE66" s="11" t="n">
        <f aca="false">CE19-CE4</f>
        <v>0</v>
      </c>
      <c r="CF66" s="11" t="n">
        <f aca="false">CF19-CF4</f>
        <v>0</v>
      </c>
      <c r="CG66" s="11" t="n">
        <f aca="false">CG19-CG4</f>
        <v>0</v>
      </c>
      <c r="CH66" s="11" t="n">
        <f aca="false">CH19-CH4</f>
        <v>0</v>
      </c>
      <c r="CI66" s="11" t="n">
        <f aca="false">CI19-CI4</f>
        <v>0</v>
      </c>
      <c r="CJ66" s="11" t="n">
        <f aca="false">CJ19-CJ4</f>
        <v>0</v>
      </c>
      <c r="CK66" s="11" t="n">
        <f aca="false">CK19-CK4</f>
        <v>0</v>
      </c>
      <c r="CL66" s="11" t="n">
        <f aca="false">CL19-CL4</f>
        <v>0</v>
      </c>
      <c r="CM66" s="11" t="n">
        <f aca="false">CM19-CM4</f>
        <v>0</v>
      </c>
      <c r="CN66" s="11" t="n">
        <f aca="false">CN19-CN4</f>
        <v>0</v>
      </c>
      <c r="CO66" s="11" t="n">
        <f aca="false">CO19-CO4</f>
        <v>0</v>
      </c>
      <c r="CP66" s="11" t="n">
        <f aca="false">CP19-CP4</f>
        <v>0</v>
      </c>
      <c r="CQ66" s="11" t="n">
        <f aca="false">CQ19-CQ4</f>
        <v>0</v>
      </c>
      <c r="CR66" s="11" t="n">
        <f aca="false">CR19-CR4</f>
        <v>0</v>
      </c>
      <c r="CS66" s="11" t="n">
        <f aca="false">CS19-CS4</f>
        <v>0</v>
      </c>
      <c r="CT66" s="11" t="n">
        <f aca="false">CT19-CT4</f>
        <v>0</v>
      </c>
      <c r="CU66" s="11" t="n">
        <f aca="false">CU19-CU4</f>
        <v>0</v>
      </c>
      <c r="CV66" s="11" t="n">
        <f aca="false">CV19-CV4</f>
        <v>0</v>
      </c>
      <c r="CW66" s="11" t="n">
        <f aca="false">CW19-CW4</f>
        <v>0</v>
      </c>
      <c r="CX66" s="11" t="n">
        <f aca="false">CX19-CX4</f>
        <v>0</v>
      </c>
      <c r="CY66" s="11" t="n">
        <f aca="false">CY19-CY4</f>
        <v>0</v>
      </c>
      <c r="CZ66" s="11" t="n">
        <f aca="false">CZ19-CZ4</f>
        <v>0</v>
      </c>
      <c r="DA66" s="11" t="n">
        <f aca="false">DA19-DA4</f>
        <v>0</v>
      </c>
      <c r="DB66" s="11" t="n">
        <f aca="false">DB19-DB4</f>
        <v>0</v>
      </c>
      <c r="DC66" s="11" t="n">
        <f aca="false">DC19-DC4</f>
        <v>0</v>
      </c>
      <c r="DD66" s="11" t="n">
        <f aca="false">DD19-DD4</f>
        <v>0</v>
      </c>
      <c r="DE66" s="11" t="n">
        <f aca="false">DE19-DE4</f>
        <v>0</v>
      </c>
      <c r="DF66" s="11" t="n">
        <f aca="false">DF19-DF4</f>
        <v>0</v>
      </c>
      <c r="DG66" s="11" t="n">
        <f aca="false">DG19-DG4</f>
        <v>0</v>
      </c>
      <c r="DH66" s="11" t="n">
        <f aca="false">DH19-DH4</f>
        <v>0</v>
      </c>
      <c r="DI66" s="11" t="n">
        <f aca="false">DI19-DI4</f>
        <v>0</v>
      </c>
      <c r="DJ66" s="11" t="n">
        <f aca="false">DJ19-DJ4</f>
        <v>0</v>
      </c>
      <c r="DK66" s="11" t="n">
        <f aca="false">DK19-DK4</f>
        <v>0</v>
      </c>
      <c r="DL66" s="11" t="n">
        <f aca="false">DL19-DL4</f>
        <v>0</v>
      </c>
      <c r="DM66" s="11" t="n">
        <f aca="false">DM19-DM4</f>
        <v>0</v>
      </c>
      <c r="DN66" s="11" t="n">
        <f aca="false">DN19-DN4</f>
        <v>0</v>
      </c>
      <c r="DO66" s="11" t="n">
        <f aca="false">DO19-DO4</f>
        <v>0</v>
      </c>
      <c r="DP66" s="11" t="n">
        <f aca="false">DP19-DP4</f>
        <v>0</v>
      </c>
      <c r="DQ66" s="11" t="n">
        <f aca="false">DQ19-DQ4</f>
        <v>0</v>
      </c>
      <c r="DR66" s="11" t="n">
        <f aca="false">DR19-DR4</f>
        <v>0</v>
      </c>
    </row>
    <row r="67" customFormat="false" ht="15" hidden="false" customHeight="false" outlineLevel="0" collapsed="false">
      <c r="A67" s="12" t="s">
        <v>235</v>
      </c>
      <c r="B67" s="13" t="n">
        <f aca="false">B64-SUM($B$47:$DR$47)</f>
        <v>-50</v>
      </c>
      <c r="C67" s="13" t="n">
        <f aca="false">C64-SUM($B$47:$DR$47)</f>
        <v>-50</v>
      </c>
      <c r="D67" s="13" t="n">
        <f aca="false">D64-SUM($B$47:$DR$47)</f>
        <v>-50</v>
      </c>
      <c r="E67" s="13" t="n">
        <f aca="false">E64-SUM($B$47:$DR$47)</f>
        <v>-50</v>
      </c>
      <c r="F67" s="13" t="n">
        <f aca="false">F64-SUM($B$47:$DR$47)</f>
        <v>-50</v>
      </c>
      <c r="G67" s="13" t="n">
        <f aca="false">G64-SUM($B$47:$DR$47)</f>
        <v>-50</v>
      </c>
      <c r="H67" s="13" t="n">
        <f aca="false">H64-SUM($B$47:$DR$47)</f>
        <v>-48.5</v>
      </c>
      <c r="I67" s="13" t="n">
        <f aca="false">I64-SUM($B$47:$DR$47)</f>
        <v>-47</v>
      </c>
      <c r="J67" s="13" t="n">
        <f aca="false">J64-SUM($B$47:$DR$47)</f>
        <v>-45.5</v>
      </c>
      <c r="K67" s="13" t="n">
        <f aca="false">K64-SUM($B$47:$DR$47)</f>
        <v>-43</v>
      </c>
      <c r="L67" s="13" t="n">
        <f aca="false">L64-SUM($B$47:$DR$47)</f>
        <v>-40.5</v>
      </c>
      <c r="M67" s="13" t="n">
        <f aca="false">M64-SUM($B$47:$DR$47)</f>
        <v>-38</v>
      </c>
      <c r="N67" s="13" t="n">
        <f aca="false">N64-SUM($B$47:$DR$47)</f>
        <v>-34.5</v>
      </c>
      <c r="O67" s="13" t="n">
        <f aca="false">O64-SUM($B$47:$DR$47)</f>
        <v>-31</v>
      </c>
      <c r="P67" s="13" t="n">
        <f aca="false">P64-SUM($B$47:$DR$47)</f>
        <v>-27.5</v>
      </c>
      <c r="Q67" s="13" t="n">
        <f aca="false">Q64-SUM($B$47:$DR$47)</f>
        <v>-24</v>
      </c>
      <c r="R67" s="13" t="n">
        <f aca="false">R64-SUM($B$47:$DR$47)</f>
        <v>-20.5</v>
      </c>
      <c r="S67" s="13" t="n">
        <f aca="false">S64-SUM($B$47:$DR$47)</f>
        <v>-17</v>
      </c>
      <c r="T67" s="13" t="n">
        <f aca="false">T64-SUM($B$47:$DR$47)</f>
        <v>-13.5</v>
      </c>
      <c r="U67" s="13" t="n">
        <f aca="false">U64-SUM($B$47:$DR$47)</f>
        <v>-10</v>
      </c>
      <c r="V67" s="13" t="n">
        <f aca="false">V64-SUM($B$47:$DR$47)</f>
        <v>-6.5</v>
      </c>
      <c r="W67" s="13" t="n">
        <f aca="false">W64-SUM($B$47:$DR$47)</f>
        <v>-3</v>
      </c>
      <c r="X67" s="13" t="n">
        <f aca="false">X64-SUM($B$47:$DR$47)</f>
        <v>0.5</v>
      </c>
      <c r="Y67" s="13" t="n">
        <f aca="false">Y64-SUM($B$47:$DR$47)</f>
        <v>4</v>
      </c>
      <c r="Z67" s="13" t="n">
        <f aca="false">Z64-SUM($B$47:$DR$47)</f>
        <v>7.5</v>
      </c>
      <c r="AA67" s="13" t="n">
        <f aca="false">AA64-SUM($B$47:$DR$47)</f>
        <v>11</v>
      </c>
      <c r="AB67" s="13" t="n">
        <f aca="false">AB64-SUM($B$47:$DR$47)</f>
        <v>14.5</v>
      </c>
      <c r="AC67" s="13" t="n">
        <f aca="false">AC64-SUM($B$47:$DR$47)</f>
        <v>18</v>
      </c>
      <c r="AD67" s="13" t="n">
        <f aca="false">AD64-SUM($B$47:$DR$47)</f>
        <v>21.5</v>
      </c>
      <c r="AE67" s="13" t="n">
        <f aca="false">AE64-SUM($B$47:$DR$47)</f>
        <v>25</v>
      </c>
      <c r="AF67" s="13" t="n">
        <f aca="false">AF64-SUM($B$47:$DR$47)</f>
        <v>28.5</v>
      </c>
      <c r="AG67" s="13" t="n">
        <f aca="false">AG64-SUM($B$47:$DR$47)</f>
        <v>32</v>
      </c>
      <c r="AH67" s="13" t="n">
        <f aca="false">AH64-SUM($B$47:$DR$47)</f>
        <v>35.5</v>
      </c>
      <c r="AI67" s="13" t="n">
        <f aca="false">AI64-SUM($B$47:$DR$47)</f>
        <v>39</v>
      </c>
      <c r="AJ67" s="13" t="n">
        <f aca="false">AJ64-SUM($B$47:$DR$47)</f>
        <v>42.5</v>
      </c>
      <c r="AK67" s="13" t="n">
        <f aca="false">AK64-SUM($B$47:$DR$47)</f>
        <v>46</v>
      </c>
      <c r="AL67" s="13" t="n">
        <f aca="false">AL64-SUM($B$47:$DR$47)</f>
        <v>49.5</v>
      </c>
      <c r="AM67" s="13" t="n">
        <f aca="false">AM64-SUM($B$47:$DR$47)</f>
        <v>53</v>
      </c>
      <c r="AN67" s="13" t="n">
        <f aca="false">AN64-SUM($B$47:$DR$47)</f>
        <v>56.5</v>
      </c>
      <c r="AO67" s="13" t="n">
        <f aca="false">AO64-SUM($B$47:$DR$47)</f>
        <v>60</v>
      </c>
      <c r="AP67" s="13" t="n">
        <f aca="false">AP64-SUM($B$47:$DR$47)</f>
        <v>63.5</v>
      </c>
      <c r="AQ67" s="13" t="n">
        <f aca="false">AQ64-SUM($B$47:$DR$47)</f>
        <v>67</v>
      </c>
      <c r="AR67" s="13" t="n">
        <f aca="false">AR64-SUM($B$47:$DR$47)</f>
        <v>70.5</v>
      </c>
      <c r="AS67" s="13" t="n">
        <f aca="false">AS64-SUM($B$47:$DR$47)</f>
        <v>74</v>
      </c>
      <c r="AT67" s="13" t="n">
        <f aca="false">AT64-SUM($B$47:$DR$47)</f>
        <v>77.5</v>
      </c>
      <c r="AU67" s="13" t="n">
        <f aca="false">AU64-SUM($B$47:$DR$47)</f>
        <v>81</v>
      </c>
      <c r="AV67" s="13" t="n">
        <f aca="false">AV64-SUM($B$47:$DR$47)</f>
        <v>84.5</v>
      </c>
      <c r="AW67" s="13" t="n">
        <f aca="false">AW64-SUM($B$47:$DR$47)</f>
        <v>88</v>
      </c>
      <c r="AX67" s="13" t="n">
        <f aca="false">AX64-SUM($B$47:$DR$47)</f>
        <v>91.5</v>
      </c>
      <c r="AY67" s="13" t="n">
        <f aca="false">AY64-SUM($B$47:$DR$47)</f>
        <v>95</v>
      </c>
      <c r="AZ67" s="13" t="n">
        <f aca="false">AZ64-SUM($B$47:$DR$47)</f>
        <v>98.5</v>
      </c>
      <c r="BA67" s="13" t="n">
        <f aca="false">BA64-SUM($B$47:$DR$47)</f>
        <v>102</v>
      </c>
      <c r="BB67" s="13" t="n">
        <f aca="false">BB64-SUM($B$47:$DR$47)</f>
        <v>105.5</v>
      </c>
      <c r="BC67" s="13" t="n">
        <f aca="false">BC64-SUM($B$47:$DR$47)</f>
        <v>109</v>
      </c>
      <c r="BD67" s="13" t="n">
        <f aca="false">BD64-SUM($B$47:$DR$47)</f>
        <v>112.5</v>
      </c>
      <c r="BE67" s="13" t="n">
        <f aca="false">BE64-SUM($B$47:$DR$47)</f>
        <v>116</v>
      </c>
      <c r="BF67" s="13" t="n">
        <f aca="false">BF64-SUM($B$47:$DR$47)</f>
        <v>119.5</v>
      </c>
      <c r="BG67" s="13" t="n">
        <f aca="false">BG64-SUM($B$47:$DR$47)</f>
        <v>123</v>
      </c>
      <c r="BH67" s="13" t="n">
        <f aca="false">BH64-SUM($B$47:$DR$47)</f>
        <v>126.5</v>
      </c>
      <c r="BI67" s="13" t="n">
        <f aca="false">BI64-SUM($B$47:$DR$47)</f>
        <v>130</v>
      </c>
      <c r="BJ67" s="13" t="n">
        <f aca="false">BJ64-SUM($B$47:$DR$47)</f>
        <v>133.5</v>
      </c>
      <c r="BK67" s="13" t="n">
        <f aca="false">BK64-SUM($B$47:$DR$47)</f>
        <v>137</v>
      </c>
      <c r="BL67" s="13" t="n">
        <f aca="false">BL64-SUM($B$47:$DR$47)</f>
        <v>140.5</v>
      </c>
      <c r="BM67" s="13" t="n">
        <f aca="false">BM64-SUM($B$47:$DR$47)</f>
        <v>144</v>
      </c>
      <c r="BN67" s="13" t="n">
        <f aca="false">BN64-SUM($B$47:$DR$47)</f>
        <v>147.5</v>
      </c>
      <c r="BO67" s="13" t="n">
        <f aca="false">BO64-SUM($B$47:$DR$47)</f>
        <v>151</v>
      </c>
      <c r="BP67" s="13" t="n">
        <f aca="false">BP64-SUM($B$47:$DR$47)</f>
        <v>154.5</v>
      </c>
      <c r="BQ67" s="13" t="n">
        <f aca="false">BQ64-SUM($B$47:$DR$47)</f>
        <v>158</v>
      </c>
      <c r="BR67" s="13" t="n">
        <f aca="false">BR64-SUM($B$47:$DR$47)</f>
        <v>161.5</v>
      </c>
      <c r="BS67" s="13" t="n">
        <f aca="false">BS64-SUM($B$47:$DR$47)</f>
        <v>165</v>
      </c>
      <c r="BT67" s="13" t="n">
        <f aca="false">BT64-SUM($B$47:$DR$47)</f>
        <v>168.5</v>
      </c>
      <c r="BU67" s="13" t="n">
        <f aca="false">BU64-SUM($B$47:$DR$47)</f>
        <v>172</v>
      </c>
      <c r="BV67" s="13" t="n">
        <f aca="false">BV64-SUM($B$47:$DR$47)</f>
        <v>175.5</v>
      </c>
      <c r="BW67" s="13" t="n">
        <f aca="false">BW64-SUM($B$47:$DR$47)</f>
        <v>179</v>
      </c>
      <c r="BX67" s="13" t="n">
        <f aca="false">BX64-SUM($B$47:$DR$47)</f>
        <v>182.5</v>
      </c>
      <c r="BY67" s="13" t="n">
        <f aca="false">BY64-SUM($B$47:$DR$47)</f>
        <v>186</v>
      </c>
      <c r="BZ67" s="13" t="n">
        <f aca="false">BZ64-SUM($B$47:$DR$47)</f>
        <v>189.5</v>
      </c>
      <c r="CA67" s="13" t="n">
        <f aca="false">CA64-SUM($B$47:$DR$47)</f>
        <v>193</v>
      </c>
      <c r="CB67" s="13" t="n">
        <f aca="false">CB64-SUM($B$47:$DR$47)</f>
        <v>196.5</v>
      </c>
      <c r="CC67" s="13" t="n">
        <f aca="false">CC64-SUM($B$47:$DR$47)</f>
        <v>200</v>
      </c>
      <c r="CD67" s="13" t="n">
        <f aca="false">CD64-SUM($B$47:$DR$47)</f>
        <v>203.5</v>
      </c>
      <c r="CE67" s="13" t="n">
        <f aca="false">CE64-SUM($B$47:$DR$47)</f>
        <v>207</v>
      </c>
      <c r="CF67" s="13" t="n">
        <f aca="false">CF64-SUM($B$47:$DR$47)</f>
        <v>210.5</v>
      </c>
      <c r="CG67" s="13" t="n">
        <f aca="false">CG64-SUM($B$47:$DR$47)</f>
        <v>214</v>
      </c>
      <c r="CH67" s="13" t="n">
        <f aca="false">CH64-SUM($B$47:$DR$47)</f>
        <v>217.5</v>
      </c>
      <c r="CI67" s="13" t="n">
        <f aca="false">CI64-SUM($B$47:$DR$47)</f>
        <v>221</v>
      </c>
      <c r="CJ67" s="13" t="n">
        <f aca="false">CJ64-SUM($B$47:$DR$47)</f>
        <v>224.5</v>
      </c>
      <c r="CK67" s="13" t="n">
        <f aca="false">CK64-SUM($B$47:$DR$47)</f>
        <v>228</v>
      </c>
      <c r="CL67" s="13" t="n">
        <f aca="false">CL64-SUM($B$47:$DR$47)</f>
        <v>231.5</v>
      </c>
      <c r="CM67" s="13" t="n">
        <f aca="false">CM64-SUM($B$47:$DR$47)</f>
        <v>235</v>
      </c>
      <c r="CN67" s="13" t="n">
        <f aca="false">CN64-SUM($B$47:$DR$47)</f>
        <v>238.5</v>
      </c>
      <c r="CO67" s="13" t="n">
        <f aca="false">CO64-SUM($B$47:$DR$47)</f>
        <v>242</v>
      </c>
      <c r="CP67" s="13" t="n">
        <f aca="false">CP64-SUM($B$47:$DR$47)</f>
        <v>245.5</v>
      </c>
      <c r="CQ67" s="13" t="n">
        <f aca="false">CQ64-SUM($B$47:$DR$47)</f>
        <v>249</v>
      </c>
      <c r="CR67" s="13" t="n">
        <f aca="false">CR64-SUM($B$47:$DR$47)</f>
        <v>252.5</v>
      </c>
      <c r="CS67" s="13" t="n">
        <f aca="false">CS64-SUM($B$47:$DR$47)</f>
        <v>256</v>
      </c>
      <c r="CT67" s="13" t="n">
        <f aca="false">CT64-SUM($B$47:$DR$47)</f>
        <v>259.5</v>
      </c>
      <c r="CU67" s="13" t="n">
        <f aca="false">CU64-SUM($B$47:$DR$47)</f>
        <v>263</v>
      </c>
      <c r="CV67" s="13" t="n">
        <f aca="false">CV64-SUM($B$47:$DR$47)</f>
        <v>266.5</v>
      </c>
      <c r="CW67" s="13" t="n">
        <f aca="false">CW64-SUM($B$47:$DR$47)</f>
        <v>270</v>
      </c>
      <c r="CX67" s="13" t="n">
        <f aca="false">CX64-SUM($B$47:$DR$47)</f>
        <v>273.5</v>
      </c>
      <c r="CY67" s="13" t="n">
        <f aca="false">CY64-SUM($B$47:$DR$47)</f>
        <v>277</v>
      </c>
      <c r="CZ67" s="13" t="n">
        <f aca="false">CZ64-SUM($B$47:$DR$47)</f>
        <v>280.5</v>
      </c>
      <c r="DA67" s="13" t="n">
        <f aca="false">DA64-SUM($B$47:$DR$47)</f>
        <v>284</v>
      </c>
      <c r="DB67" s="13" t="n">
        <f aca="false">DB64-SUM($B$47:$DR$47)</f>
        <v>287.5</v>
      </c>
      <c r="DC67" s="13" t="n">
        <f aca="false">DC64-SUM($B$47:$DR$47)</f>
        <v>291</v>
      </c>
      <c r="DD67" s="13" t="n">
        <f aca="false">DD64-SUM($B$47:$DR$47)</f>
        <v>294.5</v>
      </c>
      <c r="DE67" s="13" t="n">
        <f aca="false">DE64-SUM($B$47:$DR$47)</f>
        <v>298</v>
      </c>
      <c r="DF67" s="13" t="n">
        <f aca="false">DF64-SUM($B$47:$DR$47)</f>
        <v>301.5</v>
      </c>
      <c r="DG67" s="13" t="n">
        <f aca="false">DG64-SUM($B$47:$DR$47)</f>
        <v>305</v>
      </c>
      <c r="DH67" s="13" t="n">
        <f aca="false">DH64-SUM($B$47:$DR$47)</f>
        <v>308.5</v>
      </c>
      <c r="DI67" s="13" t="n">
        <f aca="false">DI64-SUM($B$47:$DR$47)</f>
        <v>312</v>
      </c>
      <c r="DJ67" s="13" t="n">
        <f aca="false">DJ64-SUM($B$47:$DR$47)</f>
        <v>315.5</v>
      </c>
      <c r="DK67" s="13" t="n">
        <f aca="false">DK64-SUM($B$47:$DR$47)</f>
        <v>319</v>
      </c>
      <c r="DL67" s="13" t="n">
        <f aca="false">DL64-SUM($B$47:$DR$47)</f>
        <v>322.5</v>
      </c>
      <c r="DM67" s="13" t="n">
        <f aca="false">DM64-SUM($B$47:$DR$47)</f>
        <v>326</v>
      </c>
      <c r="DN67" s="13" t="n">
        <f aca="false">DN64-SUM($B$47:$DR$47)</f>
        <v>329.5</v>
      </c>
      <c r="DO67" s="13" t="n">
        <f aca="false">DO64-SUM($B$47:$DR$47)</f>
        <v>333</v>
      </c>
      <c r="DP67" s="13" t="n">
        <f aca="false">DP64-SUM($B$47:$DR$47)</f>
        <v>336.5</v>
      </c>
      <c r="DQ67" s="13" t="n">
        <f aca="false">DQ64-SUM($B$47:$DR$47)</f>
        <v>340</v>
      </c>
      <c r="DR67" s="13" t="n">
        <f aca="false">DR64-SUM($B$47:$DR$47)</f>
        <v>343.5</v>
      </c>
    </row>
    <row r="68" customFormat="false" ht="15" hidden="false" customHeight="false" outlineLevel="0" collapsed="false">
      <c r="A68" s="9" t="s">
        <v>236</v>
      </c>
      <c r="B68" s="10" t="n">
        <f aca="false">IF(B22&lt;-Inputs!$B$33,Inputs!$B$35,Inputs!$B$34)</f>
        <v>0</v>
      </c>
      <c r="C68" s="10" t="n">
        <f aca="false">IF(C22&lt;-Inputs!$B$33,Inputs!$B$35,Inputs!$B$34)</f>
        <v>0</v>
      </c>
      <c r="D68" s="10" t="n">
        <f aca="false">IF(D22&lt;-Inputs!$B$33,Inputs!$B$35,Inputs!$B$34)</f>
        <v>0</v>
      </c>
      <c r="E68" s="10" t="n">
        <f aca="false">IF(E22&lt;-Inputs!$B$33,Inputs!$B$35,Inputs!$B$34)</f>
        <v>0</v>
      </c>
      <c r="F68" s="10" t="n">
        <f aca="false">IF(F22&lt;-Inputs!$B$33,Inputs!$B$35,Inputs!$B$34)</f>
        <v>0</v>
      </c>
      <c r="G68" s="10" t="n">
        <f aca="false">IF(G22&lt;-Inputs!$B$33,Inputs!$B$35,Inputs!$B$34)</f>
        <v>0</v>
      </c>
      <c r="H68" s="10" t="n">
        <f aca="false">IF(H22&lt;-Inputs!$B$33,Inputs!$B$35,Inputs!$B$34)</f>
        <v>0</v>
      </c>
      <c r="I68" s="10" t="n">
        <f aca="false">IF(I22&lt;-Inputs!$B$33,Inputs!$B$35,Inputs!$B$34)</f>
        <v>0</v>
      </c>
      <c r="J68" s="10" t="n">
        <f aca="false">IF(J22&lt;-Inputs!$B$33,Inputs!$B$35,Inputs!$B$34)</f>
        <v>0</v>
      </c>
      <c r="K68" s="10" t="n">
        <f aca="false">IF(K22&lt;-Inputs!$B$33,Inputs!$B$35,Inputs!$B$34)</f>
        <v>0</v>
      </c>
      <c r="L68" s="10" t="n">
        <f aca="false">IF(L22&lt;-Inputs!$B$33,Inputs!$B$35,Inputs!$B$34)</f>
        <v>0</v>
      </c>
      <c r="M68" s="10" t="n">
        <f aca="false">IF(M22&lt;-Inputs!$B$33,Inputs!$B$35,Inputs!$B$34)</f>
        <v>0</v>
      </c>
      <c r="N68" s="10" t="n">
        <f aca="false">IF(N22&lt;-Inputs!$B$33,Inputs!$B$35,Inputs!$B$34)</f>
        <v>0</v>
      </c>
      <c r="O68" s="10" t="n">
        <f aca="false">IF(O22&lt;-Inputs!$B$33,Inputs!$B$35,Inputs!$B$34)</f>
        <v>0</v>
      </c>
      <c r="P68" s="10" t="n">
        <f aca="false">IF(P22&lt;-Inputs!$B$33,Inputs!$B$35,Inputs!$B$34)</f>
        <v>0</v>
      </c>
      <c r="Q68" s="10" t="n">
        <f aca="false">IF(Q22&lt;-Inputs!$B$33,Inputs!$B$35,Inputs!$B$34)</f>
        <v>0</v>
      </c>
      <c r="R68" s="10" t="n">
        <f aca="false">IF(R22&lt;-Inputs!$B$33,Inputs!$B$35,Inputs!$B$34)</f>
        <v>0</v>
      </c>
      <c r="S68" s="10" t="n">
        <f aca="false">IF(S22&lt;-Inputs!$B$33,Inputs!$B$35,Inputs!$B$34)</f>
        <v>0</v>
      </c>
      <c r="T68" s="10" t="n">
        <f aca="false">IF(T22&lt;-Inputs!$B$33,Inputs!$B$35,Inputs!$B$34)</f>
        <v>0</v>
      </c>
      <c r="U68" s="10" t="n">
        <f aca="false">IF(U22&lt;-Inputs!$B$33,Inputs!$B$35,Inputs!$B$34)</f>
        <v>0</v>
      </c>
      <c r="V68" s="10" t="n">
        <f aca="false">IF(V22&lt;-Inputs!$B$33,Inputs!$B$35,Inputs!$B$34)</f>
        <v>0</v>
      </c>
      <c r="W68" s="10" t="n">
        <f aca="false">IF(W22&lt;-Inputs!$B$33,Inputs!$B$35,Inputs!$B$34)</f>
        <v>0</v>
      </c>
      <c r="X68" s="10" t="n">
        <f aca="false">IF(X22&lt;-Inputs!$B$33,Inputs!$B$35,Inputs!$B$34)</f>
        <v>0</v>
      </c>
      <c r="Y68" s="10" t="n">
        <f aca="false">IF(Y22&lt;-Inputs!$B$33,Inputs!$B$35,Inputs!$B$34)</f>
        <v>0</v>
      </c>
      <c r="Z68" s="10" t="n">
        <f aca="false">IF(Z22&lt;-Inputs!$B$33,Inputs!$B$35,Inputs!$B$34)</f>
        <v>0</v>
      </c>
      <c r="AA68" s="10" t="n">
        <f aca="false">IF(AA22&lt;-Inputs!$B$33,Inputs!$B$35,Inputs!$B$34)</f>
        <v>0</v>
      </c>
      <c r="AB68" s="10" t="n">
        <f aca="false">IF(AB22&lt;-Inputs!$B$33,Inputs!$B$35,Inputs!$B$34)</f>
        <v>0</v>
      </c>
      <c r="AC68" s="10" t="n">
        <f aca="false">IF(AC22&lt;-Inputs!$B$33,Inputs!$B$35,Inputs!$B$34)</f>
        <v>0</v>
      </c>
      <c r="AD68" s="10" t="n">
        <f aca="false">IF(AD22&lt;-Inputs!$B$33,Inputs!$B$35,Inputs!$B$34)</f>
        <v>0</v>
      </c>
      <c r="AE68" s="10" t="n">
        <f aca="false">IF(AE22&lt;-Inputs!$B$33,Inputs!$B$35,Inputs!$B$34)</f>
        <v>0</v>
      </c>
      <c r="AF68" s="10" t="n">
        <f aca="false">IF(AF22&lt;-Inputs!$B$33,Inputs!$B$35,Inputs!$B$34)</f>
        <v>0</v>
      </c>
      <c r="AG68" s="10" t="n">
        <f aca="false">IF(AG22&lt;-Inputs!$B$33,Inputs!$B$35,Inputs!$B$34)</f>
        <v>0</v>
      </c>
      <c r="AH68" s="10" t="n">
        <f aca="false">IF(AH22&lt;-Inputs!$B$33,Inputs!$B$35,Inputs!$B$34)</f>
        <v>0</v>
      </c>
      <c r="AI68" s="10" t="n">
        <f aca="false">IF(AI22&lt;-Inputs!$B$33,Inputs!$B$35,Inputs!$B$34)</f>
        <v>0</v>
      </c>
      <c r="AJ68" s="10" t="n">
        <f aca="false">IF(AJ22&lt;-Inputs!$B$33,Inputs!$B$35,Inputs!$B$34)</f>
        <v>0</v>
      </c>
      <c r="AK68" s="10" t="n">
        <f aca="false">IF(AK22&lt;-Inputs!$B$33,Inputs!$B$35,Inputs!$B$34)</f>
        <v>0</v>
      </c>
      <c r="AL68" s="10" t="n">
        <f aca="false">IF(AL22&lt;-Inputs!$B$33,Inputs!$B$35,Inputs!$B$34)</f>
        <v>0</v>
      </c>
      <c r="AM68" s="10" t="n">
        <f aca="false">IF(AM22&lt;-Inputs!$B$33,Inputs!$B$35,Inputs!$B$34)</f>
        <v>0</v>
      </c>
      <c r="AN68" s="10" t="n">
        <f aca="false">IF(AN22&lt;-Inputs!$B$33,Inputs!$B$35,Inputs!$B$34)</f>
        <v>0</v>
      </c>
      <c r="AO68" s="10" t="n">
        <f aca="false">IF(AO22&lt;-Inputs!$B$33,Inputs!$B$35,Inputs!$B$34)</f>
        <v>0</v>
      </c>
      <c r="AP68" s="10" t="n">
        <f aca="false">IF(AP22&lt;-Inputs!$B$33,Inputs!$B$35,Inputs!$B$34)</f>
        <v>0</v>
      </c>
      <c r="AQ68" s="10" t="n">
        <f aca="false">IF(AQ22&lt;-Inputs!$B$33,Inputs!$B$35,Inputs!$B$34)</f>
        <v>0</v>
      </c>
      <c r="AR68" s="10" t="n">
        <f aca="false">IF(AR22&lt;-Inputs!$B$33,Inputs!$B$35,Inputs!$B$34)</f>
        <v>0</v>
      </c>
      <c r="AS68" s="10" t="n">
        <f aca="false">IF(AS22&lt;-Inputs!$B$33,Inputs!$B$35,Inputs!$B$34)</f>
        <v>0</v>
      </c>
      <c r="AT68" s="10" t="n">
        <f aca="false">IF(AT22&lt;-Inputs!$B$33,Inputs!$B$35,Inputs!$B$34)</f>
        <v>0</v>
      </c>
      <c r="AU68" s="10" t="n">
        <f aca="false">IF(AU22&lt;-Inputs!$B$33,Inputs!$B$35,Inputs!$B$34)</f>
        <v>0</v>
      </c>
      <c r="AV68" s="10" t="n">
        <f aca="false">IF(AV22&lt;-Inputs!$B$33,Inputs!$B$35,Inputs!$B$34)</f>
        <v>0</v>
      </c>
      <c r="AW68" s="10" t="n">
        <f aca="false">IF(AW22&lt;-Inputs!$B$33,Inputs!$B$35,Inputs!$B$34)</f>
        <v>0</v>
      </c>
      <c r="AX68" s="10" t="n">
        <f aca="false">IF(AX22&lt;-Inputs!$B$33,Inputs!$B$35,Inputs!$B$34)</f>
        <v>0</v>
      </c>
      <c r="AY68" s="10" t="n">
        <f aca="false">IF(AY22&lt;-Inputs!$B$33,Inputs!$B$35,Inputs!$B$34)</f>
        <v>0</v>
      </c>
      <c r="AZ68" s="10" t="n">
        <f aca="false">IF(AZ22&lt;-Inputs!$B$33,Inputs!$B$35,Inputs!$B$34)</f>
        <v>0</v>
      </c>
      <c r="BA68" s="10" t="n">
        <f aca="false">IF(BA22&lt;-Inputs!$B$33,Inputs!$B$35,Inputs!$B$34)</f>
        <v>0</v>
      </c>
      <c r="BB68" s="10" t="n">
        <f aca="false">IF(BB22&lt;-Inputs!$B$33,Inputs!$B$35,Inputs!$B$34)</f>
        <v>0</v>
      </c>
      <c r="BC68" s="10" t="n">
        <f aca="false">IF(BC22&lt;-Inputs!$B$33,Inputs!$B$35,Inputs!$B$34)</f>
        <v>0</v>
      </c>
      <c r="BD68" s="10" t="n">
        <f aca="false">IF(BD22&lt;-Inputs!$B$33,Inputs!$B$35,Inputs!$B$34)</f>
        <v>0</v>
      </c>
      <c r="BE68" s="10" t="n">
        <f aca="false">IF(BE22&lt;-Inputs!$B$33,Inputs!$B$35,Inputs!$B$34)</f>
        <v>0</v>
      </c>
      <c r="BF68" s="10" t="n">
        <f aca="false">IF(BF22&lt;-Inputs!$B$33,Inputs!$B$35,Inputs!$B$34)</f>
        <v>0</v>
      </c>
      <c r="BG68" s="10" t="n">
        <f aca="false">IF(BG22&lt;-Inputs!$B$33,Inputs!$B$35,Inputs!$B$34)</f>
        <v>0</v>
      </c>
      <c r="BH68" s="10" t="n">
        <f aca="false">IF(BH22&lt;-Inputs!$B$33,Inputs!$B$35,Inputs!$B$34)</f>
        <v>0</v>
      </c>
      <c r="BI68" s="10" t="n">
        <f aca="false">IF(BI22&lt;-Inputs!$B$33,Inputs!$B$35,Inputs!$B$34)</f>
        <v>0</v>
      </c>
      <c r="BJ68" s="10" t="n">
        <f aca="false">IF(BJ22&lt;-Inputs!$B$33,Inputs!$B$35,Inputs!$B$34)</f>
        <v>0</v>
      </c>
      <c r="BK68" s="10" t="n">
        <f aca="false">IF(BK22&lt;-Inputs!$B$33,Inputs!$B$35,Inputs!$B$34)</f>
        <v>0</v>
      </c>
      <c r="BL68" s="10" t="n">
        <f aca="false">IF(BL22&lt;-Inputs!$B$33,Inputs!$B$35,Inputs!$B$34)</f>
        <v>0</v>
      </c>
      <c r="BM68" s="10" t="n">
        <f aca="false">IF(BM22&lt;-Inputs!$B$33,Inputs!$B$35,Inputs!$B$34)</f>
        <v>0</v>
      </c>
      <c r="BN68" s="10" t="n">
        <f aca="false">IF(BN22&lt;-Inputs!$B$33,Inputs!$B$35,Inputs!$B$34)</f>
        <v>0</v>
      </c>
      <c r="BO68" s="10" t="n">
        <f aca="false">IF(BO22&lt;-Inputs!$B$33,Inputs!$B$35,Inputs!$B$34)</f>
        <v>0</v>
      </c>
      <c r="BP68" s="10" t="n">
        <f aca="false">IF(BP22&lt;-Inputs!$B$33,Inputs!$B$35,Inputs!$B$34)</f>
        <v>0</v>
      </c>
      <c r="BQ68" s="10" t="n">
        <f aca="false">IF(BQ22&lt;-Inputs!$B$33,Inputs!$B$35,Inputs!$B$34)</f>
        <v>0</v>
      </c>
      <c r="BR68" s="10" t="n">
        <f aca="false">IF(BR22&lt;-Inputs!$B$33,Inputs!$B$35,Inputs!$B$34)</f>
        <v>0</v>
      </c>
      <c r="BS68" s="10" t="n">
        <f aca="false">IF(BS22&lt;-Inputs!$B$33,Inputs!$B$35,Inputs!$B$34)</f>
        <v>0</v>
      </c>
      <c r="BT68" s="10" t="n">
        <f aca="false">IF(BT22&lt;-Inputs!$B$33,Inputs!$B$35,Inputs!$B$34)</f>
        <v>0</v>
      </c>
      <c r="BU68" s="10" t="n">
        <f aca="false">IF(BU22&lt;-Inputs!$B$33,Inputs!$B$35,Inputs!$B$34)</f>
        <v>0</v>
      </c>
      <c r="BV68" s="10" t="n">
        <f aca="false">IF(BV22&lt;-Inputs!$B$33,Inputs!$B$35,Inputs!$B$34)</f>
        <v>0</v>
      </c>
      <c r="BW68" s="10" t="n">
        <f aca="false">IF(BW22&lt;-Inputs!$B$33,Inputs!$B$35,Inputs!$B$34)</f>
        <v>0</v>
      </c>
      <c r="BX68" s="10" t="n">
        <f aca="false">IF(BX22&lt;-Inputs!$B$33,Inputs!$B$35,Inputs!$B$34)</f>
        <v>0</v>
      </c>
      <c r="BY68" s="10" t="n">
        <f aca="false">IF(BY22&lt;-Inputs!$B$33,Inputs!$B$35,Inputs!$B$34)</f>
        <v>0</v>
      </c>
      <c r="BZ68" s="10" t="n">
        <f aca="false">IF(BZ22&lt;-Inputs!$B$33,Inputs!$B$35,Inputs!$B$34)</f>
        <v>0</v>
      </c>
      <c r="CA68" s="10" t="n">
        <f aca="false">IF(CA22&lt;-Inputs!$B$33,Inputs!$B$35,Inputs!$B$34)</f>
        <v>0</v>
      </c>
      <c r="CB68" s="10" t="n">
        <f aca="false">IF(CB22&lt;-Inputs!$B$33,Inputs!$B$35,Inputs!$B$34)</f>
        <v>0</v>
      </c>
      <c r="CC68" s="10" t="n">
        <f aca="false">IF(CC22&lt;-Inputs!$B$33,Inputs!$B$35,Inputs!$B$34)</f>
        <v>0</v>
      </c>
      <c r="CD68" s="10" t="n">
        <f aca="false">IF(CD22&lt;-Inputs!$B$33,Inputs!$B$35,Inputs!$B$34)</f>
        <v>0</v>
      </c>
      <c r="CE68" s="10" t="n">
        <f aca="false">IF(CE22&lt;-Inputs!$B$33,Inputs!$B$35,Inputs!$B$34)</f>
        <v>0</v>
      </c>
      <c r="CF68" s="10" t="n">
        <f aca="false">IF(CF22&lt;-Inputs!$B$33,Inputs!$B$35,Inputs!$B$34)</f>
        <v>0</v>
      </c>
      <c r="CG68" s="10" t="n">
        <f aca="false">IF(CG22&lt;-Inputs!$B$33,Inputs!$B$35,Inputs!$B$34)</f>
        <v>0</v>
      </c>
      <c r="CH68" s="10" t="n">
        <f aca="false">IF(CH22&lt;-Inputs!$B$33,Inputs!$B$35,Inputs!$B$34)</f>
        <v>0</v>
      </c>
      <c r="CI68" s="10" t="n">
        <f aca="false">IF(CI22&lt;-Inputs!$B$33,Inputs!$B$35,Inputs!$B$34)</f>
        <v>0</v>
      </c>
      <c r="CJ68" s="10" t="n">
        <f aca="false">IF(CJ22&lt;-Inputs!$B$33,Inputs!$B$35,Inputs!$B$34)</f>
        <v>0</v>
      </c>
      <c r="CK68" s="10" t="n">
        <f aca="false">IF(CK22&lt;-Inputs!$B$33,Inputs!$B$35,Inputs!$B$34)</f>
        <v>0</v>
      </c>
      <c r="CL68" s="10" t="n">
        <f aca="false">IF(CL22&lt;-Inputs!$B$33,Inputs!$B$35,Inputs!$B$34)</f>
        <v>0</v>
      </c>
      <c r="CM68" s="10" t="n">
        <f aca="false">IF(CM22&lt;-Inputs!$B$33,Inputs!$B$35,Inputs!$B$34)</f>
        <v>0</v>
      </c>
      <c r="CN68" s="10" t="n">
        <f aca="false">IF(CN22&lt;-Inputs!$B$33,Inputs!$B$35,Inputs!$B$34)</f>
        <v>0</v>
      </c>
      <c r="CO68" s="10" t="n">
        <f aca="false">IF(CO22&lt;-Inputs!$B$33,Inputs!$B$35,Inputs!$B$34)</f>
        <v>0</v>
      </c>
      <c r="CP68" s="10" t="n">
        <f aca="false">IF(CP22&lt;-Inputs!$B$33,Inputs!$B$35,Inputs!$B$34)</f>
        <v>0</v>
      </c>
      <c r="CQ68" s="10" t="n">
        <f aca="false">IF(CQ22&lt;-Inputs!$B$33,Inputs!$B$35,Inputs!$B$34)</f>
        <v>0</v>
      </c>
      <c r="CR68" s="10" t="n">
        <f aca="false">IF(CR22&lt;-Inputs!$B$33,Inputs!$B$35,Inputs!$B$34)</f>
        <v>0</v>
      </c>
      <c r="CS68" s="10" t="n">
        <f aca="false">IF(CS22&lt;-Inputs!$B$33,Inputs!$B$35,Inputs!$B$34)</f>
        <v>0</v>
      </c>
      <c r="CT68" s="10" t="n">
        <f aca="false">IF(CT22&lt;-Inputs!$B$33,Inputs!$B$35,Inputs!$B$34)</f>
        <v>0</v>
      </c>
      <c r="CU68" s="10" t="n">
        <f aca="false">IF(CU22&lt;-Inputs!$B$33,Inputs!$B$35,Inputs!$B$34)</f>
        <v>0</v>
      </c>
      <c r="CV68" s="10" t="n">
        <f aca="false">IF(CV22&lt;-Inputs!$B$33,Inputs!$B$35,Inputs!$B$34)</f>
        <v>0</v>
      </c>
      <c r="CW68" s="10" t="n">
        <f aca="false">IF(CW22&lt;-Inputs!$B$33,Inputs!$B$35,Inputs!$B$34)</f>
        <v>0</v>
      </c>
      <c r="CX68" s="10" t="n">
        <f aca="false">IF(CX22&lt;-Inputs!$B$33,Inputs!$B$35,Inputs!$B$34)</f>
        <v>0</v>
      </c>
      <c r="CY68" s="10" t="n">
        <f aca="false">IF(CY22&lt;-Inputs!$B$33,Inputs!$B$35,Inputs!$B$34)</f>
        <v>0</v>
      </c>
      <c r="CZ68" s="10" t="n">
        <f aca="false">IF(CZ22&lt;-Inputs!$B$33,Inputs!$B$35,Inputs!$B$34)</f>
        <v>0</v>
      </c>
      <c r="DA68" s="10" t="n">
        <f aca="false">IF(DA22&lt;-Inputs!$B$33,Inputs!$B$35,Inputs!$B$34)</f>
        <v>0</v>
      </c>
      <c r="DB68" s="10" t="n">
        <f aca="false">IF(DB22&lt;-Inputs!$B$33,Inputs!$B$35,Inputs!$B$34)</f>
        <v>0</v>
      </c>
      <c r="DC68" s="10" t="n">
        <f aca="false">IF(DC22&lt;-Inputs!$B$33,Inputs!$B$35,Inputs!$B$34)</f>
        <v>0</v>
      </c>
      <c r="DD68" s="10" t="n">
        <f aca="false">IF(DD22&lt;-Inputs!$B$33,Inputs!$B$35,Inputs!$B$34)</f>
        <v>0</v>
      </c>
      <c r="DE68" s="10" t="n">
        <f aca="false">IF(DE22&lt;-Inputs!$B$33,Inputs!$B$35,Inputs!$B$34)</f>
        <v>0</v>
      </c>
      <c r="DF68" s="10" t="n">
        <f aca="false">IF(DF22&lt;-Inputs!$B$33,Inputs!$B$35,Inputs!$B$34)</f>
        <v>0</v>
      </c>
      <c r="DG68" s="10" t="n">
        <f aca="false">IF(DG22&lt;-Inputs!$B$33,Inputs!$B$35,Inputs!$B$34)</f>
        <v>0</v>
      </c>
      <c r="DH68" s="10" t="n">
        <f aca="false">IF(DH22&lt;-Inputs!$B$33,Inputs!$B$35,Inputs!$B$34)</f>
        <v>0</v>
      </c>
      <c r="DI68" s="10" t="n">
        <f aca="false">IF(DI22&lt;-Inputs!$B$33,Inputs!$B$35,Inputs!$B$34)</f>
        <v>0</v>
      </c>
      <c r="DJ68" s="10" t="n">
        <f aca="false">IF(DJ22&lt;-Inputs!$B$33,Inputs!$B$35,Inputs!$B$34)</f>
        <v>0</v>
      </c>
      <c r="DK68" s="10" t="n">
        <f aca="false">IF(DK22&lt;-Inputs!$B$33,Inputs!$B$35,Inputs!$B$34)</f>
        <v>0</v>
      </c>
      <c r="DL68" s="10" t="n">
        <f aca="false">IF(DL22&lt;-Inputs!$B$33,Inputs!$B$35,Inputs!$B$34)</f>
        <v>0</v>
      </c>
      <c r="DM68" s="10" t="n">
        <f aca="false">IF(DM22&lt;-Inputs!$B$33,Inputs!$B$35,Inputs!$B$34)</f>
        <v>0</v>
      </c>
      <c r="DN68" s="10" t="n">
        <f aca="false">IF(DN22&lt;-Inputs!$B$33,Inputs!$B$35,Inputs!$B$34)</f>
        <v>0</v>
      </c>
      <c r="DO68" s="10" t="n">
        <f aca="false">IF(DO22&lt;-Inputs!$B$33,Inputs!$B$35,Inputs!$B$34)</f>
        <v>0</v>
      </c>
      <c r="DP68" s="10" t="n">
        <f aca="false">IF(DP22&lt;-Inputs!$B$33,Inputs!$B$35,Inputs!$B$34)</f>
        <v>0</v>
      </c>
      <c r="DQ68" s="10" t="n">
        <f aca="false">IF(DQ22&lt;-Inputs!$B$33,Inputs!$B$35,Inputs!$B$34)</f>
        <v>0</v>
      </c>
      <c r="DR68" s="10" t="n">
        <f aca="false">IF(DR22&lt;-Inputs!$B$33,Inputs!$B$35,Inputs!$B$34)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12" min="2" style="0" width="16"/>
  </cols>
  <sheetData>
    <row r="1" customFormat="false" ht="31.5" hidden="false" customHeight="true" outlineLevel="0" collapsed="false">
      <c r="A1" s="1" t="s">
        <v>170</v>
      </c>
      <c r="B1" s="15" t="n">
        <f aca="false">Inputs!$B$34</f>
        <v>0</v>
      </c>
      <c r="C1" s="15" t="n">
        <f aca="false">B1+Inputs!$B$35</f>
        <v>1</v>
      </c>
      <c r="D1" s="15" t="n">
        <f aca="false">C1+Inputs!$B$35</f>
        <v>2</v>
      </c>
      <c r="E1" s="15" t="n">
        <f aca="false">D1+Inputs!$B$35</f>
        <v>3</v>
      </c>
      <c r="F1" s="15" t="n">
        <f aca="false">E1+Inputs!$B$35</f>
        <v>4</v>
      </c>
      <c r="G1" s="15" t="n">
        <f aca="false">F1+Inputs!$B$35</f>
        <v>5</v>
      </c>
      <c r="H1" s="15" t="n">
        <f aca="false">G1+Inputs!$B$35</f>
        <v>6</v>
      </c>
      <c r="I1" s="15" t="n">
        <f aca="false">H1+Inputs!$B$35</f>
        <v>7</v>
      </c>
      <c r="J1" s="15" t="n">
        <f aca="false">I1+Inputs!$B$35</f>
        <v>8</v>
      </c>
      <c r="K1" s="15" t="n">
        <f aca="false">J1+Inputs!$B$35</f>
        <v>9</v>
      </c>
      <c r="L1" s="15" t="n">
        <f aca="false">K1+Inputs!$B$35</f>
        <v>10</v>
      </c>
    </row>
    <row r="2" customFormat="false" ht="15" hidden="false" customHeight="false" outlineLevel="0" collapsed="false">
      <c r="A2" s="2" t="s">
        <v>171</v>
      </c>
      <c r="B2" s="5" t="n">
        <f aca="false">B1</f>
        <v>0</v>
      </c>
      <c r="C2" s="5" t="n">
        <f aca="false">C1</f>
        <v>1</v>
      </c>
      <c r="D2" s="5" t="n">
        <f aca="false">D1</f>
        <v>2</v>
      </c>
      <c r="E2" s="5" t="n">
        <f aca="false">E1</f>
        <v>3</v>
      </c>
      <c r="F2" s="5" t="n">
        <f aca="false">F1</f>
        <v>4</v>
      </c>
      <c r="G2" s="5" t="n">
        <f aca="false">G1</f>
        <v>5</v>
      </c>
      <c r="H2" s="5" t="n">
        <f aca="false">H1</f>
        <v>6</v>
      </c>
      <c r="I2" s="5" t="n">
        <f aca="false">I1</f>
        <v>7</v>
      </c>
      <c r="J2" s="5" t="n">
        <f aca="false">J1</f>
        <v>8</v>
      </c>
      <c r="K2" s="5" t="n">
        <f aca="false">K1</f>
        <v>9</v>
      </c>
      <c r="L2" s="5" t="n">
        <f aca="false">L1</f>
        <v>10</v>
      </c>
    </row>
    <row r="3" customFormat="false" ht="15" hidden="false" customHeight="false" outlineLevel="0" collapsed="false">
      <c r="A3" s="2" t="s">
        <v>172</v>
      </c>
      <c r="B3" s="6" t="n">
        <f aca="false">Ramp!B3</f>
        <v>0</v>
      </c>
      <c r="C3" s="6" t="n">
        <f aca="false">SUM(Ramp!C3:N3)</f>
        <v>155</v>
      </c>
      <c r="D3" s="6" t="n">
        <f aca="false">SUM(Ramp!O3:Z3)</f>
        <v>420</v>
      </c>
      <c r="E3" s="6" t="n">
        <f aca="false">SUM(Ramp!AA3:AL3)</f>
        <v>420</v>
      </c>
      <c r="F3" s="6" t="n">
        <f aca="false">SUM(Ramp!AM3:AX3)</f>
        <v>420</v>
      </c>
      <c r="G3" s="6" t="n">
        <f aca="false">SUM(Ramp!AY3:BJ3)</f>
        <v>420</v>
      </c>
      <c r="H3" s="6" t="n">
        <f aca="false">SUM(Ramp!BK3:BV3)</f>
        <v>420</v>
      </c>
      <c r="I3" s="6" t="n">
        <f aca="false">SUM(Ramp!BW3:CH3)</f>
        <v>420</v>
      </c>
      <c r="J3" s="6" t="n">
        <f aca="false">SUM(Ramp!CI3:CT3)</f>
        <v>420</v>
      </c>
      <c r="K3" s="6" t="n">
        <f aca="false">SUM(Ramp!CU3:DF3)</f>
        <v>420</v>
      </c>
      <c r="L3" s="6" t="n">
        <f aca="false">SUM(Ramp!DG3:DR3)</f>
        <v>420</v>
      </c>
    </row>
    <row r="4" customFormat="false" ht="15" hidden="false" customHeight="false" outlineLevel="0" collapsed="false">
      <c r="A4" s="2" t="s">
        <v>173</v>
      </c>
      <c r="B4" s="6" t="n">
        <f aca="false">Ramp!B4</f>
        <v>0</v>
      </c>
      <c r="C4" s="6" t="n">
        <f aca="false">SUM(Ramp!C4:N4)</f>
        <v>155</v>
      </c>
      <c r="D4" s="6" t="n">
        <f aca="false">SUM(Ramp!O4:Z4)</f>
        <v>420</v>
      </c>
      <c r="E4" s="6" t="n">
        <f aca="false">SUM(Ramp!AA4:AL4)</f>
        <v>420</v>
      </c>
      <c r="F4" s="6" t="n">
        <f aca="false">SUM(Ramp!AM4:AX4)</f>
        <v>420</v>
      </c>
      <c r="G4" s="6" t="n">
        <f aca="false">SUM(Ramp!AY4:BJ4)</f>
        <v>420</v>
      </c>
      <c r="H4" s="6" t="n">
        <f aca="false">SUM(Ramp!BK4:BV4)</f>
        <v>420</v>
      </c>
      <c r="I4" s="6" t="n">
        <f aca="false">SUM(Ramp!BW4:CH4)</f>
        <v>420</v>
      </c>
      <c r="J4" s="6" t="n">
        <f aca="false">SUM(Ramp!CI4:CT4)</f>
        <v>420</v>
      </c>
      <c r="K4" s="6" t="n">
        <f aca="false">SUM(Ramp!CU4:DF4)</f>
        <v>420</v>
      </c>
      <c r="L4" s="6" t="n">
        <f aca="false">SUM(Ramp!DG4:DR4)</f>
        <v>420</v>
      </c>
    </row>
    <row r="5" customFormat="false" ht="15" hidden="false" customHeight="false" outlineLevel="0" collapsed="false">
      <c r="A5" s="2" t="s">
        <v>174</v>
      </c>
      <c r="B5" s="6" t="n">
        <f aca="false">Ramp!B5</f>
        <v>0</v>
      </c>
      <c r="C5" s="6" t="n">
        <f aca="false">SUM(Ramp!C5:N5)</f>
        <v>0</v>
      </c>
      <c r="D5" s="6" t="n">
        <f aca="false">SUM(Ramp!O5:Z5)</f>
        <v>0</v>
      </c>
      <c r="E5" s="6" t="n">
        <f aca="false">SUM(Ramp!AA5:AL5)</f>
        <v>0</v>
      </c>
      <c r="F5" s="6" t="n">
        <f aca="false">SUM(Ramp!AM5:AX5)</f>
        <v>0</v>
      </c>
      <c r="G5" s="6" t="n">
        <f aca="false">SUM(Ramp!AY5:BJ5)</f>
        <v>0</v>
      </c>
      <c r="H5" s="6" t="n">
        <f aca="false">SUM(Ramp!BK5:BV5)</f>
        <v>0</v>
      </c>
      <c r="I5" s="6" t="n">
        <f aca="false">SUM(Ramp!BW5:CH5)</f>
        <v>0</v>
      </c>
      <c r="J5" s="6" t="n">
        <f aca="false">SUM(Ramp!CI5:CT5)</f>
        <v>0</v>
      </c>
      <c r="K5" s="6" t="n">
        <f aca="false">SUM(Ramp!CU5:DF5)</f>
        <v>0</v>
      </c>
      <c r="L5" s="6" t="n">
        <f aca="false">SUM(Ramp!DG5:DR5)</f>
        <v>0</v>
      </c>
    </row>
    <row r="6" customFormat="false" ht="15" hidden="false" customHeight="false" outlineLevel="0" collapsed="false">
      <c r="A6" s="2" t="s">
        <v>175</v>
      </c>
      <c r="B6" s="6" t="n">
        <f aca="false">Ramp!B6</f>
        <v>0</v>
      </c>
      <c r="C6" s="6" t="n">
        <f aca="false">SUM(Ramp!C6:N6)</f>
        <v>35.4285714285714</v>
      </c>
      <c r="D6" s="6" t="n">
        <f aca="false">SUM(Ramp!O6:Z6)</f>
        <v>96</v>
      </c>
      <c r="E6" s="6" t="n">
        <f aca="false">SUM(Ramp!AA6:AL6)</f>
        <v>96</v>
      </c>
      <c r="F6" s="6" t="n">
        <f aca="false">SUM(Ramp!AM6:AX6)</f>
        <v>96</v>
      </c>
      <c r="G6" s="6" t="n">
        <f aca="false">SUM(Ramp!AY6:BJ6)</f>
        <v>96</v>
      </c>
      <c r="H6" s="6" t="n">
        <f aca="false">SUM(Ramp!BK6:BV6)</f>
        <v>96</v>
      </c>
      <c r="I6" s="6" t="n">
        <f aca="false">SUM(Ramp!BW6:CH6)</f>
        <v>96</v>
      </c>
      <c r="J6" s="6" t="n">
        <f aca="false">SUM(Ramp!CI6:CT6)</f>
        <v>96</v>
      </c>
      <c r="K6" s="6" t="n">
        <f aca="false">SUM(Ramp!CU6:DF6)</f>
        <v>96</v>
      </c>
      <c r="L6" s="6" t="n">
        <f aca="false">SUM(Ramp!DG6:DR6)</f>
        <v>96</v>
      </c>
    </row>
    <row r="7" customFormat="false" ht="15" hidden="false" customHeight="false" outlineLevel="0" collapsed="false">
      <c r="A7" s="2" t="s">
        <v>176</v>
      </c>
      <c r="B7" s="6" t="n">
        <f aca="false">Ramp!B7</f>
        <v>0</v>
      </c>
      <c r="C7" s="6" t="n">
        <f aca="false">SUM(Ramp!C7:N7)</f>
        <v>13.2857142857143</v>
      </c>
      <c r="D7" s="6" t="n">
        <f aca="false">SUM(Ramp!O7:Z7)</f>
        <v>36</v>
      </c>
      <c r="E7" s="6" t="n">
        <f aca="false">SUM(Ramp!AA7:AL7)</f>
        <v>36</v>
      </c>
      <c r="F7" s="6" t="n">
        <f aca="false">SUM(Ramp!AM7:AX7)</f>
        <v>36</v>
      </c>
      <c r="G7" s="6" t="n">
        <f aca="false">SUM(Ramp!AY7:BJ7)</f>
        <v>36</v>
      </c>
      <c r="H7" s="6" t="n">
        <f aca="false">SUM(Ramp!BK7:BV7)</f>
        <v>36</v>
      </c>
      <c r="I7" s="6" t="n">
        <f aca="false">SUM(Ramp!BW7:CH7)</f>
        <v>36</v>
      </c>
      <c r="J7" s="6" t="n">
        <f aca="false">SUM(Ramp!CI7:CT7)</f>
        <v>36</v>
      </c>
      <c r="K7" s="6" t="n">
        <f aca="false">SUM(Ramp!CU7:DF7)</f>
        <v>36</v>
      </c>
      <c r="L7" s="6" t="n">
        <f aca="false">SUM(Ramp!DG7:DR7)</f>
        <v>36</v>
      </c>
    </row>
    <row r="8" customFormat="false" ht="15" hidden="false" customHeight="false" outlineLevel="0" collapsed="false">
      <c r="A8" s="2" t="s">
        <v>177</v>
      </c>
      <c r="B8" s="6" t="n">
        <f aca="false">Ramp!B8</f>
        <v>0</v>
      </c>
      <c r="C8" s="6" t="n">
        <f aca="false">SUM(Ramp!C8:N8)</f>
        <v>4.42857142857143</v>
      </c>
      <c r="D8" s="6" t="n">
        <f aca="false">SUM(Ramp!O8:Z8)</f>
        <v>12</v>
      </c>
      <c r="E8" s="6" t="n">
        <f aca="false">SUM(Ramp!AA8:AL8)</f>
        <v>12</v>
      </c>
      <c r="F8" s="6" t="n">
        <f aca="false">SUM(Ramp!AM8:AX8)</f>
        <v>12</v>
      </c>
      <c r="G8" s="6" t="n">
        <f aca="false">SUM(Ramp!AY8:BJ8)</f>
        <v>12</v>
      </c>
      <c r="H8" s="6" t="n">
        <f aca="false">SUM(Ramp!BK8:BV8)</f>
        <v>12</v>
      </c>
      <c r="I8" s="6" t="n">
        <f aca="false">SUM(Ramp!BW8:CH8)</f>
        <v>12</v>
      </c>
      <c r="J8" s="6" t="n">
        <f aca="false">SUM(Ramp!CI8:CT8)</f>
        <v>12</v>
      </c>
      <c r="K8" s="6" t="n">
        <f aca="false">SUM(Ramp!CU8:DF8)</f>
        <v>12</v>
      </c>
      <c r="L8" s="6" t="n">
        <f aca="false">SUM(Ramp!DG8:DR8)</f>
        <v>12</v>
      </c>
    </row>
    <row r="9" customFormat="false" ht="15" hidden="false" customHeight="false" outlineLevel="0" collapsed="false">
      <c r="A9" s="2" t="s">
        <v>178</v>
      </c>
      <c r="B9" s="6" t="n">
        <f aca="false">Ramp!B9</f>
        <v>0</v>
      </c>
      <c r="C9" s="6" t="n">
        <f aca="false">SUM(Ramp!C9:N9)</f>
        <v>19.9285714285714</v>
      </c>
      <c r="D9" s="6" t="n">
        <f aca="false">SUM(Ramp!O9:Z9)</f>
        <v>54</v>
      </c>
      <c r="E9" s="6" t="n">
        <f aca="false">SUM(Ramp!AA9:AL9)</f>
        <v>54</v>
      </c>
      <c r="F9" s="6" t="n">
        <f aca="false">SUM(Ramp!AM9:AX9)</f>
        <v>54</v>
      </c>
      <c r="G9" s="6" t="n">
        <f aca="false">SUM(Ramp!AY9:BJ9)</f>
        <v>54</v>
      </c>
      <c r="H9" s="6" t="n">
        <f aca="false">SUM(Ramp!BK9:BV9)</f>
        <v>54</v>
      </c>
      <c r="I9" s="6" t="n">
        <f aca="false">SUM(Ramp!BW9:CH9)</f>
        <v>54</v>
      </c>
      <c r="J9" s="6" t="n">
        <f aca="false">SUM(Ramp!CI9:CT9)</f>
        <v>54</v>
      </c>
      <c r="K9" s="6" t="n">
        <f aca="false">SUM(Ramp!CU9:DF9)</f>
        <v>54</v>
      </c>
      <c r="L9" s="6" t="n">
        <f aca="false">SUM(Ramp!DG9:DR9)</f>
        <v>54</v>
      </c>
    </row>
    <row r="10" customFormat="false" ht="15" hidden="false" customHeight="false" outlineLevel="0" collapsed="false">
      <c r="A10" s="2" t="s">
        <v>179</v>
      </c>
      <c r="B10" s="6" t="n">
        <f aca="false">Ramp!B10</f>
        <v>0</v>
      </c>
      <c r="C10" s="6" t="n">
        <f aca="false">SUM(Ramp!C10:N10)</f>
        <v>6.64285714285714</v>
      </c>
      <c r="D10" s="6" t="n">
        <f aca="false">SUM(Ramp!O10:Z10)</f>
        <v>18</v>
      </c>
      <c r="E10" s="6" t="n">
        <f aca="false">SUM(Ramp!AA10:AL10)</f>
        <v>18</v>
      </c>
      <c r="F10" s="6" t="n">
        <f aca="false">SUM(Ramp!AM10:AX10)</f>
        <v>18</v>
      </c>
      <c r="G10" s="6" t="n">
        <f aca="false">SUM(Ramp!AY10:BJ10)</f>
        <v>18</v>
      </c>
      <c r="H10" s="6" t="n">
        <f aca="false">SUM(Ramp!BK10:BV10)</f>
        <v>18</v>
      </c>
      <c r="I10" s="6" t="n">
        <f aca="false">SUM(Ramp!BW10:CH10)</f>
        <v>18</v>
      </c>
      <c r="J10" s="6" t="n">
        <f aca="false">SUM(Ramp!CI10:CT10)</f>
        <v>18</v>
      </c>
      <c r="K10" s="6" t="n">
        <f aca="false">SUM(Ramp!CU10:DF10)</f>
        <v>18</v>
      </c>
      <c r="L10" s="6" t="n">
        <f aca="false">SUM(Ramp!DG10:DR10)</f>
        <v>18</v>
      </c>
    </row>
    <row r="11" customFormat="false" ht="15" hidden="false" customHeight="false" outlineLevel="0" collapsed="false">
      <c r="A11" s="2" t="s">
        <v>180</v>
      </c>
      <c r="B11" s="6" t="n">
        <f aca="false">Ramp!B11</f>
        <v>0</v>
      </c>
      <c r="C11" s="6" t="n">
        <f aca="false">SUM(Ramp!C11:N11)</f>
        <v>22.1428571428571</v>
      </c>
      <c r="D11" s="6" t="n">
        <f aca="false">SUM(Ramp!O11:Z11)</f>
        <v>60</v>
      </c>
      <c r="E11" s="6" t="n">
        <f aca="false">SUM(Ramp!AA11:AL11)</f>
        <v>60</v>
      </c>
      <c r="F11" s="6" t="n">
        <f aca="false">SUM(Ramp!AM11:AX11)</f>
        <v>60</v>
      </c>
      <c r="G11" s="6" t="n">
        <f aca="false">SUM(Ramp!AY11:BJ11)</f>
        <v>60</v>
      </c>
      <c r="H11" s="6" t="n">
        <f aca="false">SUM(Ramp!BK11:BV11)</f>
        <v>60</v>
      </c>
      <c r="I11" s="6" t="n">
        <f aca="false">SUM(Ramp!BW11:CH11)</f>
        <v>60</v>
      </c>
      <c r="J11" s="6" t="n">
        <f aca="false">SUM(Ramp!CI11:CT11)</f>
        <v>60</v>
      </c>
      <c r="K11" s="6" t="n">
        <f aca="false">SUM(Ramp!CU11:DF11)</f>
        <v>60</v>
      </c>
      <c r="L11" s="6" t="n">
        <f aca="false">SUM(Ramp!DG11:DR11)</f>
        <v>60</v>
      </c>
    </row>
    <row r="12" customFormat="false" ht="15" hidden="false" customHeight="false" outlineLevel="0" collapsed="false">
      <c r="A12" s="2" t="s">
        <v>181</v>
      </c>
      <c r="B12" s="6" t="n">
        <f aca="false">Ramp!B12</f>
        <v>0</v>
      </c>
      <c r="C12" s="6" t="n">
        <f aca="false">SUM(Ramp!C12:N12)</f>
        <v>11.0714285714286</v>
      </c>
      <c r="D12" s="6" t="n">
        <f aca="false">SUM(Ramp!O12:Z12)</f>
        <v>30</v>
      </c>
      <c r="E12" s="6" t="n">
        <f aca="false">SUM(Ramp!AA12:AL12)</f>
        <v>30</v>
      </c>
      <c r="F12" s="6" t="n">
        <f aca="false">SUM(Ramp!AM12:AX12)</f>
        <v>30</v>
      </c>
      <c r="G12" s="6" t="n">
        <f aca="false">SUM(Ramp!AY12:BJ12)</f>
        <v>30</v>
      </c>
      <c r="H12" s="6" t="n">
        <f aca="false">SUM(Ramp!BK12:BV12)</f>
        <v>30</v>
      </c>
      <c r="I12" s="6" t="n">
        <f aca="false">SUM(Ramp!BW12:CH12)</f>
        <v>30</v>
      </c>
      <c r="J12" s="6" t="n">
        <f aca="false">SUM(Ramp!CI12:CT12)</f>
        <v>30</v>
      </c>
      <c r="K12" s="6" t="n">
        <f aca="false">SUM(Ramp!CU12:DF12)</f>
        <v>30</v>
      </c>
      <c r="L12" s="6" t="n">
        <f aca="false">SUM(Ramp!DG12:DR12)</f>
        <v>30</v>
      </c>
    </row>
    <row r="13" customFormat="false" ht="15" hidden="false" customHeight="false" outlineLevel="0" collapsed="false">
      <c r="A13" s="2" t="s">
        <v>182</v>
      </c>
      <c r="B13" s="6" t="n">
        <f aca="false">Ramp!B13</f>
        <v>0</v>
      </c>
      <c r="C13" s="6" t="n">
        <f aca="false">SUM(Ramp!C13:N13)</f>
        <v>6.64285714285714</v>
      </c>
      <c r="D13" s="6" t="n">
        <f aca="false">SUM(Ramp!O13:Z13)</f>
        <v>18</v>
      </c>
      <c r="E13" s="6" t="n">
        <f aca="false">SUM(Ramp!AA13:AL13)</f>
        <v>18</v>
      </c>
      <c r="F13" s="6" t="n">
        <f aca="false">SUM(Ramp!AM13:AX13)</f>
        <v>18</v>
      </c>
      <c r="G13" s="6" t="n">
        <f aca="false">SUM(Ramp!AY13:BJ13)</f>
        <v>18</v>
      </c>
      <c r="H13" s="6" t="n">
        <f aca="false">SUM(Ramp!BK13:BV13)</f>
        <v>18</v>
      </c>
      <c r="I13" s="6" t="n">
        <f aca="false">SUM(Ramp!BW13:CH13)</f>
        <v>18</v>
      </c>
      <c r="J13" s="6" t="n">
        <f aca="false">SUM(Ramp!CI13:CT13)</f>
        <v>18</v>
      </c>
      <c r="K13" s="6" t="n">
        <f aca="false">SUM(Ramp!CU13:DF13)</f>
        <v>18</v>
      </c>
      <c r="L13" s="6" t="n">
        <f aca="false">SUM(Ramp!DG13:DR13)</f>
        <v>18</v>
      </c>
    </row>
    <row r="14" customFormat="false" ht="15" hidden="false" customHeight="false" outlineLevel="0" collapsed="false">
      <c r="A14" s="2" t="s">
        <v>183</v>
      </c>
      <c r="B14" s="6" t="n">
        <f aca="false">Ramp!B14</f>
        <v>0</v>
      </c>
      <c r="C14" s="6" t="n">
        <f aca="false">SUM(Ramp!C14:N14)</f>
        <v>13.2857142857143</v>
      </c>
      <c r="D14" s="6" t="n">
        <f aca="false">SUM(Ramp!O14:Z14)</f>
        <v>36</v>
      </c>
      <c r="E14" s="6" t="n">
        <f aca="false">SUM(Ramp!AA14:AL14)</f>
        <v>36</v>
      </c>
      <c r="F14" s="6" t="n">
        <f aca="false">SUM(Ramp!AM14:AX14)</f>
        <v>36</v>
      </c>
      <c r="G14" s="6" t="n">
        <f aca="false">SUM(Ramp!AY14:BJ14)</f>
        <v>36</v>
      </c>
      <c r="H14" s="6" t="n">
        <f aca="false">SUM(Ramp!BK14:BV14)</f>
        <v>36</v>
      </c>
      <c r="I14" s="6" t="n">
        <f aca="false">SUM(Ramp!BW14:CH14)</f>
        <v>36</v>
      </c>
      <c r="J14" s="6" t="n">
        <f aca="false">SUM(Ramp!CI14:CT14)</f>
        <v>36</v>
      </c>
      <c r="K14" s="6" t="n">
        <f aca="false">SUM(Ramp!CU14:DF14)</f>
        <v>36</v>
      </c>
      <c r="L14" s="6" t="n">
        <f aca="false">SUM(Ramp!DG14:DR14)</f>
        <v>36</v>
      </c>
    </row>
    <row r="15" customFormat="false" ht="15" hidden="false" customHeight="false" outlineLevel="0" collapsed="false">
      <c r="A15" s="2" t="s">
        <v>184</v>
      </c>
      <c r="B15" s="6" t="n">
        <f aca="false">Ramp!B15</f>
        <v>0</v>
      </c>
      <c r="C15" s="6" t="n">
        <f aca="false">SUM(Ramp!C15:N15)</f>
        <v>4.42857142857143</v>
      </c>
      <c r="D15" s="6" t="n">
        <f aca="false">SUM(Ramp!O15:Z15)</f>
        <v>12</v>
      </c>
      <c r="E15" s="6" t="n">
        <f aca="false">SUM(Ramp!AA15:AL15)</f>
        <v>12</v>
      </c>
      <c r="F15" s="6" t="n">
        <f aca="false">SUM(Ramp!AM15:AX15)</f>
        <v>12</v>
      </c>
      <c r="G15" s="6" t="n">
        <f aca="false">SUM(Ramp!AY15:BJ15)</f>
        <v>12</v>
      </c>
      <c r="H15" s="6" t="n">
        <f aca="false">SUM(Ramp!BK15:BV15)</f>
        <v>12</v>
      </c>
      <c r="I15" s="6" t="n">
        <f aca="false">SUM(Ramp!BW15:CH15)</f>
        <v>12</v>
      </c>
      <c r="J15" s="6" t="n">
        <f aca="false">SUM(Ramp!CI15:CT15)</f>
        <v>12</v>
      </c>
      <c r="K15" s="6" t="n">
        <f aca="false">SUM(Ramp!CU15:DF15)</f>
        <v>12</v>
      </c>
      <c r="L15" s="6" t="n">
        <f aca="false">SUM(Ramp!DG15:DR15)</f>
        <v>12</v>
      </c>
    </row>
    <row r="16" customFormat="false" ht="15" hidden="false" customHeight="false" outlineLevel="0" collapsed="false">
      <c r="A16" s="2" t="s">
        <v>185</v>
      </c>
      <c r="B16" s="6" t="n">
        <f aca="false">Ramp!B16</f>
        <v>0</v>
      </c>
      <c r="C16" s="6" t="n">
        <f aca="false">SUM(Ramp!C16:N16)</f>
        <v>4.42857142857143</v>
      </c>
      <c r="D16" s="6" t="n">
        <f aca="false">SUM(Ramp!O16:Z16)</f>
        <v>12</v>
      </c>
      <c r="E16" s="6" t="n">
        <f aca="false">SUM(Ramp!AA16:AL16)</f>
        <v>12</v>
      </c>
      <c r="F16" s="6" t="n">
        <f aca="false">SUM(Ramp!AM16:AX16)</f>
        <v>12</v>
      </c>
      <c r="G16" s="6" t="n">
        <f aca="false">SUM(Ramp!AY16:BJ16)</f>
        <v>12</v>
      </c>
      <c r="H16" s="6" t="n">
        <f aca="false">SUM(Ramp!BK16:BV16)</f>
        <v>12</v>
      </c>
      <c r="I16" s="6" t="n">
        <f aca="false">SUM(Ramp!BW16:CH16)</f>
        <v>12</v>
      </c>
      <c r="J16" s="6" t="n">
        <f aca="false">SUM(Ramp!CI16:CT16)</f>
        <v>12</v>
      </c>
      <c r="K16" s="6" t="n">
        <f aca="false">SUM(Ramp!CU16:DF16)</f>
        <v>12</v>
      </c>
      <c r="L16" s="6" t="n">
        <f aca="false">SUM(Ramp!DG16:DR16)</f>
        <v>12</v>
      </c>
    </row>
    <row r="17" customFormat="false" ht="15" hidden="false" customHeight="false" outlineLevel="0" collapsed="false">
      <c r="A17" s="2" t="s">
        <v>186</v>
      </c>
      <c r="B17" s="6" t="n">
        <f aca="false">Ramp!B17</f>
        <v>0</v>
      </c>
      <c r="C17" s="6" t="n">
        <f aca="false">SUM(Ramp!C17:N17)</f>
        <v>8.85714285714286</v>
      </c>
      <c r="D17" s="6" t="n">
        <f aca="false">SUM(Ramp!O17:Z17)</f>
        <v>24</v>
      </c>
      <c r="E17" s="6" t="n">
        <f aca="false">SUM(Ramp!AA17:AL17)</f>
        <v>24</v>
      </c>
      <c r="F17" s="6" t="n">
        <f aca="false">SUM(Ramp!AM17:AX17)</f>
        <v>24</v>
      </c>
      <c r="G17" s="6" t="n">
        <f aca="false">SUM(Ramp!AY17:BJ17)</f>
        <v>24</v>
      </c>
      <c r="H17" s="6" t="n">
        <f aca="false">SUM(Ramp!BK17:BV17)</f>
        <v>24</v>
      </c>
      <c r="I17" s="6" t="n">
        <f aca="false">SUM(Ramp!BW17:CH17)</f>
        <v>24</v>
      </c>
      <c r="J17" s="6" t="n">
        <f aca="false">SUM(Ramp!CI17:CT17)</f>
        <v>24</v>
      </c>
      <c r="K17" s="6" t="n">
        <f aca="false">SUM(Ramp!CU17:DF17)</f>
        <v>24</v>
      </c>
      <c r="L17" s="6" t="n">
        <f aca="false">SUM(Ramp!DG17:DR17)</f>
        <v>24</v>
      </c>
    </row>
    <row r="18" customFormat="false" ht="15" hidden="false" customHeight="false" outlineLevel="0" collapsed="false">
      <c r="A18" s="2" t="s">
        <v>187</v>
      </c>
      <c r="B18" s="6" t="n">
        <f aca="false">Ramp!B18</f>
        <v>0</v>
      </c>
      <c r="C18" s="6" t="n">
        <f aca="false">SUM(Ramp!C18:N18)</f>
        <v>4.42857142857143</v>
      </c>
      <c r="D18" s="6" t="n">
        <f aca="false">SUM(Ramp!O18:Z18)</f>
        <v>12</v>
      </c>
      <c r="E18" s="6" t="n">
        <f aca="false">SUM(Ramp!AA18:AL18)</f>
        <v>12</v>
      </c>
      <c r="F18" s="6" t="n">
        <f aca="false">SUM(Ramp!AM18:AX18)</f>
        <v>12</v>
      </c>
      <c r="G18" s="6" t="n">
        <f aca="false">SUM(Ramp!AY18:BJ18)</f>
        <v>12</v>
      </c>
      <c r="H18" s="6" t="n">
        <f aca="false">SUM(Ramp!BK18:BV18)</f>
        <v>12</v>
      </c>
      <c r="I18" s="6" t="n">
        <f aca="false">SUM(Ramp!BW18:CH18)</f>
        <v>12</v>
      </c>
      <c r="J18" s="6" t="n">
        <f aca="false">SUM(Ramp!CI18:CT18)</f>
        <v>12</v>
      </c>
      <c r="K18" s="6" t="n">
        <f aca="false">SUM(Ramp!CU18:DF18)</f>
        <v>12</v>
      </c>
      <c r="L18" s="6" t="n">
        <f aca="false">SUM(Ramp!DG18:DR18)</f>
        <v>12</v>
      </c>
    </row>
    <row r="19" customFormat="false" ht="15" hidden="false" customHeight="false" outlineLevel="0" collapsed="false">
      <c r="A19" s="16" t="s">
        <v>188</v>
      </c>
      <c r="B19" s="17" t="n">
        <f aca="false">Ramp!B19</f>
        <v>0</v>
      </c>
      <c r="C19" s="17" t="n">
        <f aca="false">SUM(Ramp!C19:N19)</f>
        <v>155</v>
      </c>
      <c r="D19" s="17" t="n">
        <f aca="false">SUM(Ramp!O19:Z19)</f>
        <v>420</v>
      </c>
      <c r="E19" s="17" t="n">
        <f aca="false">SUM(Ramp!AA19:AL19)</f>
        <v>420</v>
      </c>
      <c r="F19" s="17" t="n">
        <f aca="false">SUM(Ramp!AM19:AX19)</f>
        <v>420</v>
      </c>
      <c r="G19" s="17" t="n">
        <f aca="false">SUM(Ramp!AY19:BJ19)</f>
        <v>420</v>
      </c>
      <c r="H19" s="17" t="n">
        <f aca="false">SUM(Ramp!BK19:BV19)</f>
        <v>420</v>
      </c>
      <c r="I19" s="17" t="n">
        <f aca="false">SUM(Ramp!BW19:CH19)</f>
        <v>420</v>
      </c>
      <c r="J19" s="17" t="n">
        <f aca="false">SUM(Ramp!CI19:CT19)</f>
        <v>420</v>
      </c>
      <c r="K19" s="17" t="n">
        <f aca="false">SUM(Ramp!CU19:DF19)</f>
        <v>420</v>
      </c>
      <c r="L19" s="17" t="n">
        <f aca="false">SUM(Ramp!DG19:DR19)</f>
        <v>420</v>
      </c>
    </row>
    <row r="20" customFormat="false" ht="15" hidden="false" customHeight="false" outlineLevel="0" collapsed="false">
      <c r="A20" s="2" t="s">
        <v>189</v>
      </c>
      <c r="B20" s="6" t="n">
        <f aca="false">Ramp!B20</f>
        <v>0</v>
      </c>
      <c r="C20" s="6" t="n">
        <f aca="false">Ramp!N20</f>
        <v>0</v>
      </c>
      <c r="D20" s="6" t="n">
        <f aca="false">Ramp!Z20</f>
        <v>0</v>
      </c>
      <c r="E20" s="6" t="n">
        <f aca="false">Ramp!AL20</f>
        <v>0</v>
      </c>
      <c r="F20" s="6" t="n">
        <f aca="false">Ramp!AX20</f>
        <v>0</v>
      </c>
      <c r="G20" s="6" t="n">
        <f aca="false">Ramp!BJ20</f>
        <v>0</v>
      </c>
      <c r="H20" s="6" t="n">
        <f aca="false">Ramp!BV20</f>
        <v>0</v>
      </c>
      <c r="I20" s="6" t="n">
        <f aca="false">Ramp!CH20</f>
        <v>0</v>
      </c>
      <c r="J20" s="6" t="n">
        <f aca="false">Ramp!CT20</f>
        <v>0</v>
      </c>
      <c r="K20" s="6" t="n">
        <f aca="false">Ramp!DF20</f>
        <v>0</v>
      </c>
      <c r="L20" s="6" t="n">
        <f aca="false">Ramp!DR20</f>
        <v>0</v>
      </c>
    </row>
    <row r="21" customFormat="false" ht="15" hidden="false" customHeight="false" outlineLevel="0" collapsed="false">
      <c r="A21" s="2" t="s">
        <v>190</v>
      </c>
      <c r="B21" s="6" t="n">
        <f aca="false">Ramp!B21</f>
        <v>0</v>
      </c>
      <c r="C21" s="6" t="n">
        <f aca="false">SUM(Ramp!C21:N21)</f>
        <v>0</v>
      </c>
      <c r="D21" s="6" t="n">
        <f aca="false">SUM(Ramp!O21:Z21)</f>
        <v>0</v>
      </c>
      <c r="E21" s="6" t="n">
        <f aca="false">SUM(Ramp!AA21:AL21)</f>
        <v>0</v>
      </c>
      <c r="F21" s="6" t="n">
        <f aca="false">SUM(Ramp!AM21:AX21)</f>
        <v>0</v>
      </c>
      <c r="G21" s="6" t="n">
        <f aca="false">SUM(Ramp!AY21:BJ21)</f>
        <v>0</v>
      </c>
      <c r="H21" s="6" t="n">
        <f aca="false">SUM(Ramp!BK21:BV21)</f>
        <v>0</v>
      </c>
      <c r="I21" s="6" t="n">
        <f aca="false">SUM(Ramp!BW21:CH21)</f>
        <v>0</v>
      </c>
      <c r="J21" s="6" t="n">
        <f aca="false">SUM(Ramp!CI21:CT21)</f>
        <v>0</v>
      </c>
      <c r="K21" s="6" t="n">
        <f aca="false">SUM(Ramp!CU21:DF21)</f>
        <v>0</v>
      </c>
      <c r="L21" s="6" t="n">
        <f aca="false">SUM(Ramp!DG21:DR21)</f>
        <v>0</v>
      </c>
    </row>
    <row r="22" customFormat="false" ht="15" hidden="false" customHeight="false" outlineLevel="0" collapsed="false">
      <c r="A22" s="2" t="s">
        <v>191</v>
      </c>
      <c r="B22" s="6" t="n">
        <f aca="false">Ramp!B22</f>
        <v>0</v>
      </c>
      <c r="C22" s="6" t="n">
        <f aca="false">SUM(Ramp!C22:N22)</f>
        <v>155</v>
      </c>
      <c r="D22" s="6" t="n">
        <f aca="false">SUM(Ramp!O22:Z22)</f>
        <v>420</v>
      </c>
      <c r="E22" s="6" t="n">
        <f aca="false">SUM(Ramp!AA22:AL22)</f>
        <v>420</v>
      </c>
      <c r="F22" s="6" t="n">
        <f aca="false">SUM(Ramp!AM22:AX22)</f>
        <v>420</v>
      </c>
      <c r="G22" s="6" t="n">
        <f aca="false">SUM(Ramp!AY22:BJ22)</f>
        <v>420</v>
      </c>
      <c r="H22" s="6" t="n">
        <f aca="false">SUM(Ramp!BK22:BV22)</f>
        <v>420</v>
      </c>
      <c r="I22" s="6" t="n">
        <f aca="false">SUM(Ramp!BW22:CH22)</f>
        <v>420</v>
      </c>
      <c r="J22" s="6" t="n">
        <f aca="false">SUM(Ramp!CI22:CT22)</f>
        <v>420</v>
      </c>
      <c r="K22" s="6" t="n">
        <f aca="false">SUM(Ramp!CU22:DF22)</f>
        <v>420</v>
      </c>
      <c r="L22" s="6" t="n">
        <f aca="false">SUM(Ramp!DG22:DR22)</f>
        <v>420</v>
      </c>
    </row>
    <row r="23" customFormat="false" ht="15" hidden="false" customHeight="false" outlineLevel="0" collapsed="false">
      <c r="A23" s="2" t="s">
        <v>192</v>
      </c>
      <c r="B23" s="6" t="n">
        <f aca="false">Ramp!B23</f>
        <v>0</v>
      </c>
      <c r="C23" s="6" t="n">
        <f aca="false">SUM(Ramp!C23:N23)</f>
        <v>62</v>
      </c>
      <c r="D23" s="6" t="n">
        <f aca="false">SUM(Ramp!O23:Z23)</f>
        <v>168</v>
      </c>
      <c r="E23" s="6" t="n">
        <f aca="false">SUM(Ramp!AA23:AL23)</f>
        <v>168</v>
      </c>
      <c r="F23" s="6" t="n">
        <f aca="false">SUM(Ramp!AM23:AX23)</f>
        <v>168</v>
      </c>
      <c r="G23" s="6" t="n">
        <f aca="false">SUM(Ramp!AY23:BJ23)</f>
        <v>168</v>
      </c>
      <c r="H23" s="6" t="n">
        <f aca="false">SUM(Ramp!BK23:BV23)</f>
        <v>168</v>
      </c>
      <c r="I23" s="6" t="n">
        <f aca="false">SUM(Ramp!BW23:CH23)</f>
        <v>168</v>
      </c>
      <c r="J23" s="6" t="n">
        <f aca="false">SUM(Ramp!CI23:CT23)</f>
        <v>168</v>
      </c>
      <c r="K23" s="6" t="n">
        <f aca="false">SUM(Ramp!CU23:DF23)</f>
        <v>168</v>
      </c>
      <c r="L23" s="6" t="n">
        <f aca="false">SUM(Ramp!DG23:DR23)</f>
        <v>168</v>
      </c>
    </row>
    <row r="24" customFormat="false" ht="15" hidden="false" customHeight="false" outlineLevel="0" collapsed="false">
      <c r="A24" s="2" t="s">
        <v>193</v>
      </c>
      <c r="B24" s="6" t="n">
        <f aca="false">Ramp!B24</f>
        <v>0</v>
      </c>
      <c r="C24" s="6" t="n">
        <f aca="false">SUM(Ramp!C24:N24)</f>
        <v>15.5</v>
      </c>
      <c r="D24" s="6" t="n">
        <f aca="false">SUM(Ramp!O24:Z24)</f>
        <v>42</v>
      </c>
      <c r="E24" s="6" t="n">
        <f aca="false">SUM(Ramp!AA24:AL24)</f>
        <v>42</v>
      </c>
      <c r="F24" s="6" t="n">
        <f aca="false">SUM(Ramp!AM24:AX24)</f>
        <v>42</v>
      </c>
      <c r="G24" s="6" t="n">
        <f aca="false">SUM(Ramp!AY24:BJ24)</f>
        <v>42</v>
      </c>
      <c r="H24" s="6" t="n">
        <f aca="false">SUM(Ramp!BK24:BV24)</f>
        <v>42</v>
      </c>
      <c r="I24" s="6" t="n">
        <f aca="false">SUM(Ramp!BW24:CH24)</f>
        <v>42</v>
      </c>
      <c r="J24" s="6" t="n">
        <f aca="false">SUM(Ramp!CI24:CT24)</f>
        <v>42</v>
      </c>
      <c r="K24" s="6" t="n">
        <f aca="false">SUM(Ramp!CU24:DF24)</f>
        <v>42</v>
      </c>
      <c r="L24" s="6" t="n">
        <f aca="false">SUM(Ramp!DG24:DR24)</f>
        <v>42</v>
      </c>
    </row>
    <row r="25" customFormat="false" ht="15" hidden="false" customHeight="false" outlineLevel="0" collapsed="false">
      <c r="A25" s="2" t="s">
        <v>194</v>
      </c>
      <c r="B25" s="6" t="n">
        <f aca="false">Ramp!B25</f>
        <v>0</v>
      </c>
      <c r="C25" s="6" t="n">
        <f aca="false">SUM(Ramp!C25:N25)</f>
        <v>77.5</v>
      </c>
      <c r="D25" s="6" t="n">
        <f aca="false">SUM(Ramp!O25:Z25)</f>
        <v>210</v>
      </c>
      <c r="E25" s="6" t="n">
        <f aca="false">SUM(Ramp!AA25:AL25)</f>
        <v>210</v>
      </c>
      <c r="F25" s="6" t="n">
        <f aca="false">SUM(Ramp!AM25:AX25)</f>
        <v>210</v>
      </c>
      <c r="G25" s="6" t="n">
        <f aca="false">SUM(Ramp!AY25:BJ25)</f>
        <v>210</v>
      </c>
      <c r="H25" s="6" t="n">
        <f aca="false">SUM(Ramp!BK25:BV25)</f>
        <v>210</v>
      </c>
      <c r="I25" s="6" t="n">
        <f aca="false">SUM(Ramp!BW25:CH25)</f>
        <v>210</v>
      </c>
      <c r="J25" s="6" t="n">
        <f aca="false">SUM(Ramp!CI25:CT25)</f>
        <v>210</v>
      </c>
      <c r="K25" s="6" t="n">
        <f aca="false">SUM(Ramp!CU25:DF25)</f>
        <v>210</v>
      </c>
      <c r="L25" s="6" t="n">
        <f aca="false">SUM(Ramp!DG25:DR25)</f>
        <v>210</v>
      </c>
    </row>
    <row r="26" customFormat="false" ht="15" hidden="false" customHeight="false" outlineLevel="0" collapsed="false">
      <c r="A26" s="2" t="s">
        <v>195</v>
      </c>
      <c r="B26" s="6" t="n">
        <f aca="false">Ramp!B26</f>
        <v>0</v>
      </c>
      <c r="C26" s="6" t="n">
        <f aca="false">SUM(Ramp!C26:N26)</f>
        <v>31</v>
      </c>
      <c r="D26" s="6" t="n">
        <f aca="false">SUM(Ramp!O26:Z26)</f>
        <v>84</v>
      </c>
      <c r="E26" s="6" t="n">
        <f aca="false">SUM(Ramp!AA26:AL26)</f>
        <v>84</v>
      </c>
      <c r="F26" s="6" t="n">
        <f aca="false">SUM(Ramp!AM26:AX26)</f>
        <v>84</v>
      </c>
      <c r="G26" s="6" t="n">
        <f aca="false">SUM(Ramp!AY26:BJ26)</f>
        <v>84</v>
      </c>
      <c r="H26" s="6" t="n">
        <f aca="false">SUM(Ramp!BK26:BV26)</f>
        <v>84</v>
      </c>
      <c r="I26" s="6" t="n">
        <f aca="false">SUM(Ramp!BW26:CH26)</f>
        <v>84</v>
      </c>
      <c r="J26" s="6" t="n">
        <f aca="false">SUM(Ramp!CI26:CT26)</f>
        <v>84</v>
      </c>
      <c r="K26" s="6" t="n">
        <f aca="false">SUM(Ramp!CU26:DF26)</f>
        <v>84</v>
      </c>
      <c r="L26" s="6" t="n">
        <f aca="false">SUM(Ramp!DG26:DR26)</f>
        <v>84</v>
      </c>
    </row>
    <row r="27" customFormat="false" ht="15" hidden="false" customHeight="false" outlineLevel="0" collapsed="false">
      <c r="A27" s="2" t="s">
        <v>196</v>
      </c>
      <c r="B27" s="6" t="n">
        <f aca="false">Ramp!B27</f>
        <v>0</v>
      </c>
      <c r="C27" s="6" t="n">
        <f aca="false">SUM(Ramp!C27:N27)</f>
        <v>46.5</v>
      </c>
      <c r="D27" s="6" t="n">
        <f aca="false">SUM(Ramp!O27:Z27)</f>
        <v>126</v>
      </c>
      <c r="E27" s="6" t="n">
        <f aca="false">SUM(Ramp!AA27:AL27)</f>
        <v>126</v>
      </c>
      <c r="F27" s="6" t="n">
        <f aca="false">SUM(Ramp!AM27:AX27)</f>
        <v>126</v>
      </c>
      <c r="G27" s="6" t="n">
        <f aca="false">SUM(Ramp!AY27:BJ27)</f>
        <v>126</v>
      </c>
      <c r="H27" s="6" t="n">
        <f aca="false">SUM(Ramp!BK27:BV27)</f>
        <v>126</v>
      </c>
      <c r="I27" s="6" t="n">
        <f aca="false">SUM(Ramp!BW27:CH27)</f>
        <v>126</v>
      </c>
      <c r="J27" s="6" t="n">
        <f aca="false">SUM(Ramp!CI27:CT27)</f>
        <v>126</v>
      </c>
      <c r="K27" s="6" t="n">
        <f aca="false">SUM(Ramp!CU27:DF27)</f>
        <v>126</v>
      </c>
      <c r="L27" s="6" t="n">
        <f aca="false">SUM(Ramp!DG27:DR27)</f>
        <v>126</v>
      </c>
    </row>
    <row r="28" customFormat="false" ht="15" hidden="false" customHeight="false" outlineLevel="0" collapsed="false">
      <c r="A28" s="2" t="s">
        <v>197</v>
      </c>
      <c r="B28" s="6" t="n">
        <f aca="false">Ramp!B28</f>
        <v>0</v>
      </c>
      <c r="C28" s="6" t="n">
        <f aca="false">SUM(Ramp!C28:N28)</f>
        <v>4.8</v>
      </c>
      <c r="D28" s="6" t="n">
        <f aca="false">SUM(Ramp!O28:Z28)</f>
        <v>4.8</v>
      </c>
      <c r="E28" s="6" t="n">
        <f aca="false">SUM(Ramp!AA28:AL28)</f>
        <v>4.8</v>
      </c>
      <c r="F28" s="6" t="n">
        <f aca="false">SUM(Ramp!AM28:AX28)</f>
        <v>4.8</v>
      </c>
      <c r="G28" s="6" t="n">
        <f aca="false">SUM(Ramp!AY28:BJ28)</f>
        <v>4.8</v>
      </c>
      <c r="H28" s="6" t="n">
        <f aca="false">SUM(Ramp!BK28:BV28)</f>
        <v>4.8</v>
      </c>
      <c r="I28" s="6" t="n">
        <f aca="false">SUM(Ramp!BW28:CH28)</f>
        <v>4.8</v>
      </c>
      <c r="J28" s="6" t="n">
        <f aca="false">SUM(Ramp!CI28:CT28)</f>
        <v>4.8</v>
      </c>
      <c r="K28" s="6" t="n">
        <f aca="false">SUM(Ramp!CU28:DF28)</f>
        <v>4.8</v>
      </c>
      <c r="L28" s="6" t="n">
        <f aca="false">SUM(Ramp!DG28:DR28)</f>
        <v>4.8</v>
      </c>
    </row>
    <row r="29" customFormat="false" ht="15" hidden="false" customHeight="false" outlineLevel="0" collapsed="false">
      <c r="A29" s="2" t="s">
        <v>198</v>
      </c>
      <c r="B29" s="6" t="n">
        <f aca="false">Ramp!B29</f>
        <v>0</v>
      </c>
      <c r="C29" s="6" t="n">
        <f aca="false">SUM(Ramp!C29:N29)</f>
        <v>1.8</v>
      </c>
      <c r="D29" s="6" t="n">
        <f aca="false">SUM(Ramp!O29:Z29)</f>
        <v>1.8</v>
      </c>
      <c r="E29" s="6" t="n">
        <f aca="false">SUM(Ramp!AA29:AL29)</f>
        <v>1.8</v>
      </c>
      <c r="F29" s="6" t="n">
        <f aca="false">SUM(Ramp!AM29:AX29)</f>
        <v>1.8</v>
      </c>
      <c r="G29" s="6" t="n">
        <f aca="false">SUM(Ramp!AY29:BJ29)</f>
        <v>1.8</v>
      </c>
      <c r="H29" s="6" t="n">
        <f aca="false">SUM(Ramp!BK29:BV29)</f>
        <v>1.8</v>
      </c>
      <c r="I29" s="6" t="n">
        <f aca="false">SUM(Ramp!BW29:CH29)</f>
        <v>1.8</v>
      </c>
      <c r="J29" s="6" t="n">
        <f aca="false">SUM(Ramp!CI29:CT29)</f>
        <v>1.8</v>
      </c>
      <c r="K29" s="6" t="n">
        <f aca="false">SUM(Ramp!CU29:DF29)</f>
        <v>1.8</v>
      </c>
      <c r="L29" s="6" t="n">
        <f aca="false">SUM(Ramp!DG29:DR29)</f>
        <v>1.8</v>
      </c>
    </row>
    <row r="30" customFormat="false" ht="15" hidden="false" customHeight="false" outlineLevel="0" collapsed="false">
      <c r="A30" s="2" t="s">
        <v>199</v>
      </c>
      <c r="B30" s="6" t="n">
        <f aca="false">Ramp!B30</f>
        <v>0</v>
      </c>
      <c r="C30" s="6" t="n">
        <f aca="false">SUM(Ramp!C30:N30)</f>
        <v>12.4</v>
      </c>
      <c r="D30" s="6" t="n">
        <f aca="false">SUM(Ramp!O30:Z30)</f>
        <v>33.6</v>
      </c>
      <c r="E30" s="6" t="n">
        <f aca="false">SUM(Ramp!AA30:AL30)</f>
        <v>33.6</v>
      </c>
      <c r="F30" s="6" t="n">
        <f aca="false">SUM(Ramp!AM30:AX30)</f>
        <v>33.6</v>
      </c>
      <c r="G30" s="6" t="n">
        <f aca="false">SUM(Ramp!AY30:BJ30)</f>
        <v>33.6</v>
      </c>
      <c r="H30" s="6" t="n">
        <f aca="false">SUM(Ramp!BK30:BV30)</f>
        <v>33.6</v>
      </c>
      <c r="I30" s="6" t="n">
        <f aca="false">SUM(Ramp!BW30:CH30)</f>
        <v>33.6</v>
      </c>
      <c r="J30" s="6" t="n">
        <f aca="false">SUM(Ramp!CI30:CT30)</f>
        <v>33.6</v>
      </c>
      <c r="K30" s="6" t="n">
        <f aca="false">SUM(Ramp!CU30:DF30)</f>
        <v>33.6</v>
      </c>
      <c r="L30" s="6" t="n">
        <f aca="false">SUM(Ramp!DG30:DR30)</f>
        <v>33.6</v>
      </c>
    </row>
    <row r="31" customFormat="false" ht="15" hidden="false" customHeight="false" outlineLevel="0" collapsed="false">
      <c r="A31" s="2" t="s">
        <v>200</v>
      </c>
      <c r="B31" s="6" t="n">
        <f aca="false">Ramp!B31</f>
        <v>0</v>
      </c>
      <c r="C31" s="6" t="n">
        <f aca="false">SUM(Ramp!C31:N31)</f>
        <v>19</v>
      </c>
      <c r="D31" s="6" t="n">
        <f aca="false">SUM(Ramp!O31:Z31)</f>
        <v>40.2</v>
      </c>
      <c r="E31" s="6" t="n">
        <f aca="false">SUM(Ramp!AA31:AL31)</f>
        <v>40.2</v>
      </c>
      <c r="F31" s="6" t="n">
        <f aca="false">SUM(Ramp!AM31:AX31)</f>
        <v>40.2</v>
      </c>
      <c r="G31" s="6" t="n">
        <f aca="false">SUM(Ramp!AY31:BJ31)</f>
        <v>40.2</v>
      </c>
      <c r="H31" s="6" t="n">
        <f aca="false">SUM(Ramp!BK31:BV31)</f>
        <v>40.2</v>
      </c>
      <c r="I31" s="6" t="n">
        <f aca="false">SUM(Ramp!BW31:CH31)</f>
        <v>40.2</v>
      </c>
      <c r="J31" s="6" t="n">
        <f aca="false">SUM(Ramp!CI31:CT31)</f>
        <v>40.2</v>
      </c>
      <c r="K31" s="6" t="n">
        <f aca="false">SUM(Ramp!CU31:DF31)</f>
        <v>40.2</v>
      </c>
      <c r="L31" s="6" t="n">
        <f aca="false">SUM(Ramp!DG31:DR31)</f>
        <v>40.2</v>
      </c>
    </row>
    <row r="32" customFormat="false" ht="15" hidden="false" customHeight="false" outlineLevel="0" collapsed="false">
      <c r="A32" s="2" t="s">
        <v>201</v>
      </c>
      <c r="B32" s="6" t="n">
        <f aca="false">Ramp!B32</f>
        <v>0</v>
      </c>
      <c r="C32" s="6" t="n">
        <f aca="false">SUM(Ramp!C32:N32)</f>
        <v>7</v>
      </c>
      <c r="D32" s="6" t="n">
        <f aca="false">SUM(Ramp!O32:Z32)</f>
        <v>0</v>
      </c>
      <c r="E32" s="6" t="n">
        <f aca="false">SUM(Ramp!AA32:AL32)</f>
        <v>0</v>
      </c>
      <c r="F32" s="6" t="n">
        <f aca="false">SUM(Ramp!AM32:AX32)</f>
        <v>0</v>
      </c>
      <c r="G32" s="6" t="n">
        <f aca="false">SUM(Ramp!AY32:BJ32)</f>
        <v>0</v>
      </c>
      <c r="H32" s="6" t="n">
        <f aca="false">SUM(Ramp!BK32:BV32)</f>
        <v>0</v>
      </c>
      <c r="I32" s="6" t="n">
        <f aca="false">SUM(Ramp!BW32:CH32)</f>
        <v>0</v>
      </c>
      <c r="J32" s="6" t="n">
        <f aca="false">SUM(Ramp!CI32:CT32)</f>
        <v>0</v>
      </c>
      <c r="K32" s="6" t="n">
        <f aca="false">SUM(Ramp!CU32:DF32)</f>
        <v>0</v>
      </c>
      <c r="L32" s="6" t="n">
        <f aca="false">SUM(Ramp!DG32:DR32)</f>
        <v>0</v>
      </c>
    </row>
    <row r="33" customFormat="false" ht="15" hidden="false" customHeight="false" outlineLevel="0" collapsed="false">
      <c r="A33" s="2" t="s">
        <v>202</v>
      </c>
      <c r="B33" s="6" t="n">
        <f aca="false">Ramp!B33</f>
        <v>0</v>
      </c>
      <c r="C33" s="6" t="n">
        <f aca="false">SUM(Ramp!C33:N33)</f>
        <v>26</v>
      </c>
      <c r="D33" s="6" t="n">
        <f aca="false">SUM(Ramp!O33:Z33)</f>
        <v>40.2</v>
      </c>
      <c r="E33" s="6" t="n">
        <f aca="false">SUM(Ramp!AA33:AL33)</f>
        <v>40.2</v>
      </c>
      <c r="F33" s="6" t="n">
        <f aca="false">SUM(Ramp!AM33:AX33)</f>
        <v>40.2</v>
      </c>
      <c r="G33" s="6" t="n">
        <f aca="false">SUM(Ramp!AY33:BJ33)</f>
        <v>40.2</v>
      </c>
      <c r="H33" s="6" t="n">
        <f aca="false">SUM(Ramp!BK33:BV33)</f>
        <v>40.2</v>
      </c>
      <c r="I33" s="6" t="n">
        <f aca="false">SUM(Ramp!BW33:CH33)</f>
        <v>40.2</v>
      </c>
      <c r="J33" s="6" t="n">
        <f aca="false">SUM(Ramp!CI33:CT33)</f>
        <v>40.2</v>
      </c>
      <c r="K33" s="6" t="n">
        <f aca="false">SUM(Ramp!CU33:DF33)</f>
        <v>40.2</v>
      </c>
      <c r="L33" s="6" t="n">
        <f aca="false">SUM(Ramp!DG33:DR33)</f>
        <v>40.2</v>
      </c>
    </row>
    <row r="34" customFormat="false" ht="15" hidden="false" customHeight="false" outlineLevel="0" collapsed="false">
      <c r="A34" s="2" t="s">
        <v>203</v>
      </c>
      <c r="B34" s="6" t="n">
        <f aca="false">Ramp!B34</f>
        <v>0</v>
      </c>
      <c r="C34" s="6" t="n">
        <f aca="false">SUM(Ramp!C34:N34)</f>
        <v>5</v>
      </c>
      <c r="D34" s="6" t="n">
        <f aca="false">SUM(Ramp!O34:Z34)</f>
        <v>43.8</v>
      </c>
      <c r="E34" s="6" t="n">
        <f aca="false">SUM(Ramp!AA34:AL34)</f>
        <v>43.8</v>
      </c>
      <c r="F34" s="6" t="n">
        <f aca="false">SUM(Ramp!AM34:AX34)</f>
        <v>43.8</v>
      </c>
      <c r="G34" s="6" t="n">
        <f aca="false">SUM(Ramp!AY34:BJ34)</f>
        <v>43.8</v>
      </c>
      <c r="H34" s="6" t="n">
        <f aca="false">SUM(Ramp!BK34:BV34)</f>
        <v>43.8</v>
      </c>
      <c r="I34" s="6" t="n">
        <f aca="false">SUM(Ramp!BW34:CH34)</f>
        <v>43.8</v>
      </c>
      <c r="J34" s="6" t="n">
        <f aca="false">SUM(Ramp!CI34:CT34)</f>
        <v>43.8</v>
      </c>
      <c r="K34" s="6" t="n">
        <f aca="false">SUM(Ramp!CU34:DF34)</f>
        <v>43.8</v>
      </c>
      <c r="L34" s="6" t="n">
        <f aca="false">SUM(Ramp!DG34:DR34)</f>
        <v>43.8</v>
      </c>
    </row>
    <row r="35" customFormat="false" ht="15" hidden="false" customHeight="false" outlineLevel="0" collapsed="false">
      <c r="A35" s="16" t="s">
        <v>204</v>
      </c>
      <c r="B35" s="17" t="n">
        <f aca="false">Ramp!B35</f>
        <v>0</v>
      </c>
      <c r="C35" s="17" t="n">
        <f aca="false">SUM(Ramp!C35:N35)</f>
        <v>67</v>
      </c>
      <c r="D35" s="17" t="n">
        <f aca="false">SUM(Ramp!O35:Z35)</f>
        <v>211.8</v>
      </c>
      <c r="E35" s="17" t="n">
        <f aca="false">SUM(Ramp!AA35:AL35)</f>
        <v>211.8</v>
      </c>
      <c r="F35" s="17" t="n">
        <f aca="false">SUM(Ramp!AM35:AX35)</f>
        <v>211.8</v>
      </c>
      <c r="G35" s="17" t="n">
        <f aca="false">SUM(Ramp!AY35:BJ35)</f>
        <v>211.8</v>
      </c>
      <c r="H35" s="17" t="n">
        <f aca="false">SUM(Ramp!BK35:BV35)</f>
        <v>211.8</v>
      </c>
      <c r="I35" s="17" t="n">
        <f aca="false">SUM(Ramp!BW35:CH35)</f>
        <v>211.8</v>
      </c>
      <c r="J35" s="17" t="n">
        <f aca="false">SUM(Ramp!CI35:CT35)</f>
        <v>211.8</v>
      </c>
      <c r="K35" s="17" t="n">
        <f aca="false">SUM(Ramp!CU35:DF35)</f>
        <v>211.8</v>
      </c>
      <c r="L35" s="17" t="n">
        <f aca="false">SUM(Ramp!DG35:DR35)</f>
        <v>211.8</v>
      </c>
    </row>
    <row r="36" customFormat="false" ht="15" hidden="false" customHeight="false" outlineLevel="0" collapsed="false">
      <c r="A36" s="2" t="s">
        <v>205</v>
      </c>
      <c r="B36" s="6" t="n">
        <f aca="false">Ramp!B36</f>
        <v>0</v>
      </c>
      <c r="C36" s="6" t="n">
        <f aca="false">SUM(Ramp!C36:N36)</f>
        <v>43</v>
      </c>
      <c r="D36" s="6" t="n">
        <f aca="false">SUM(Ramp!O36:Z36)</f>
        <v>0</v>
      </c>
      <c r="E36" s="6" t="n">
        <f aca="false">SUM(Ramp!AA36:AL36)</f>
        <v>0</v>
      </c>
      <c r="F36" s="6" t="n">
        <f aca="false">SUM(Ramp!AM36:AX36)</f>
        <v>0</v>
      </c>
      <c r="G36" s="6" t="n">
        <f aca="false">SUM(Ramp!AY36:BJ36)</f>
        <v>0</v>
      </c>
      <c r="H36" s="6" t="n">
        <f aca="false">SUM(Ramp!BK36:BV36)</f>
        <v>0</v>
      </c>
      <c r="I36" s="6" t="n">
        <f aca="false">SUM(Ramp!BW36:CH36)</f>
        <v>0</v>
      </c>
      <c r="J36" s="6" t="n">
        <f aca="false">SUM(Ramp!CI36:CT36)</f>
        <v>0</v>
      </c>
      <c r="K36" s="6" t="n">
        <f aca="false">SUM(Ramp!CU36:DF36)</f>
        <v>0</v>
      </c>
      <c r="L36" s="6" t="n">
        <f aca="false">SUM(Ramp!DG36:DR36)</f>
        <v>0</v>
      </c>
    </row>
    <row r="37" customFormat="false" ht="15" hidden="false" customHeight="false" outlineLevel="0" collapsed="false">
      <c r="A37" s="2" t="s">
        <v>206</v>
      </c>
      <c r="B37" s="6" t="n">
        <f aca="false">Ramp!B37</f>
        <v>0</v>
      </c>
      <c r="C37" s="6" t="n">
        <f aca="false">SUM(Ramp!C37:N37)</f>
        <v>0</v>
      </c>
      <c r="D37" s="6" t="n">
        <f aca="false">SUM(Ramp!O37:Z37)</f>
        <v>4.2</v>
      </c>
      <c r="E37" s="6" t="n">
        <f aca="false">SUM(Ramp!AA37:AL37)</f>
        <v>4.2</v>
      </c>
      <c r="F37" s="6" t="n">
        <f aca="false">SUM(Ramp!AM37:AX37)</f>
        <v>4.2</v>
      </c>
      <c r="G37" s="6" t="n">
        <f aca="false">SUM(Ramp!AY37:BJ37)</f>
        <v>4.2</v>
      </c>
      <c r="H37" s="6" t="n">
        <f aca="false">SUM(Ramp!BK37:BV37)</f>
        <v>4.2</v>
      </c>
      <c r="I37" s="6" t="n">
        <f aca="false">SUM(Ramp!BW37:CH37)</f>
        <v>4.2</v>
      </c>
      <c r="J37" s="6" t="n">
        <f aca="false">SUM(Ramp!CI37:CT37)</f>
        <v>4.2</v>
      </c>
      <c r="K37" s="6" t="n">
        <f aca="false">SUM(Ramp!CU37:DF37)</f>
        <v>4.2</v>
      </c>
      <c r="L37" s="6" t="n">
        <f aca="false">SUM(Ramp!DG37:DR37)</f>
        <v>4.2</v>
      </c>
    </row>
    <row r="38" customFormat="false" ht="15" hidden="false" customHeight="false" outlineLevel="0" collapsed="false">
      <c r="A38" s="2" t="s">
        <v>207</v>
      </c>
      <c r="B38" s="6" t="n">
        <f aca="false">Ramp!B38</f>
        <v>0</v>
      </c>
      <c r="C38" s="6" t="n">
        <f aca="false">SUM(Ramp!C38:N38)</f>
        <v>43</v>
      </c>
      <c r="D38" s="6" t="n">
        <f aca="false">SUM(Ramp!O38:Z38)</f>
        <v>4.2</v>
      </c>
      <c r="E38" s="6" t="n">
        <f aca="false">SUM(Ramp!AA38:AL38)</f>
        <v>4.2</v>
      </c>
      <c r="F38" s="6" t="n">
        <f aca="false">SUM(Ramp!AM38:AX38)</f>
        <v>4.2</v>
      </c>
      <c r="G38" s="6" t="n">
        <f aca="false">SUM(Ramp!AY38:BJ38)</f>
        <v>4.2</v>
      </c>
      <c r="H38" s="6" t="n">
        <f aca="false">SUM(Ramp!BK38:BV38)</f>
        <v>4.2</v>
      </c>
      <c r="I38" s="6" t="n">
        <f aca="false">SUM(Ramp!BW38:CH38)</f>
        <v>4.2</v>
      </c>
      <c r="J38" s="6" t="n">
        <f aca="false">SUM(Ramp!CI38:CT38)</f>
        <v>4.2</v>
      </c>
      <c r="K38" s="6" t="n">
        <f aca="false">SUM(Ramp!CU38:DF38)</f>
        <v>4.2</v>
      </c>
      <c r="L38" s="6" t="n">
        <f aca="false">SUM(Ramp!DG38:DR38)</f>
        <v>4.2</v>
      </c>
    </row>
    <row r="39" customFormat="false" ht="15" hidden="false" customHeight="false" outlineLevel="0" collapsed="false">
      <c r="A39" s="2" t="s">
        <v>40</v>
      </c>
      <c r="B39" s="6" t="n">
        <f aca="false">Ramp!B39</f>
        <v>0</v>
      </c>
      <c r="C39" s="6" t="n">
        <f aca="false">SUM(Ramp!C39:N39)</f>
        <v>4.65833333333333</v>
      </c>
      <c r="D39" s="6" t="n">
        <f aca="false">SUM(Ramp!O39:Z39)</f>
        <v>9.055</v>
      </c>
      <c r="E39" s="6" t="n">
        <f aca="false">SUM(Ramp!AA39:AL39)</f>
        <v>9.895</v>
      </c>
      <c r="F39" s="6" t="n">
        <f aca="false">SUM(Ramp!AM39:AX39)</f>
        <v>10.735</v>
      </c>
      <c r="G39" s="6" t="n">
        <f aca="false">SUM(Ramp!AY39:BJ39)</f>
        <v>11.575</v>
      </c>
      <c r="H39" s="6" t="n">
        <f aca="false">SUM(Ramp!BK39:BV39)</f>
        <v>7.75666666666667</v>
      </c>
      <c r="I39" s="6" t="n">
        <f aca="false">SUM(Ramp!BW39:CH39)</f>
        <v>4.2</v>
      </c>
      <c r="J39" s="6" t="n">
        <f aca="false">SUM(Ramp!CI39:CT39)</f>
        <v>4.2</v>
      </c>
      <c r="K39" s="6" t="n">
        <f aca="false">SUM(Ramp!CU39:DF39)</f>
        <v>4.2</v>
      </c>
      <c r="L39" s="6" t="n">
        <f aca="false">SUM(Ramp!DG39:DR39)</f>
        <v>4.2</v>
      </c>
    </row>
    <row r="40" customFormat="false" ht="15" hidden="false" customHeight="false" outlineLevel="0" collapsed="false">
      <c r="A40" s="2" t="s">
        <v>208</v>
      </c>
      <c r="B40" s="6" t="n">
        <f aca="false">Ramp!B40</f>
        <v>0</v>
      </c>
      <c r="C40" s="6" t="n">
        <f aca="false">SUM(Ramp!C40:N40)</f>
        <v>62.3416666666667</v>
      </c>
      <c r="D40" s="6" t="n">
        <f aca="false">SUM(Ramp!O40:Z40)</f>
        <v>202.745</v>
      </c>
      <c r="E40" s="6" t="n">
        <f aca="false">SUM(Ramp!AA40:AL40)</f>
        <v>201.905</v>
      </c>
      <c r="F40" s="6" t="n">
        <f aca="false">SUM(Ramp!AM40:AX40)</f>
        <v>201.065</v>
      </c>
      <c r="G40" s="6" t="n">
        <f aca="false">SUM(Ramp!AY40:BJ40)</f>
        <v>200.225</v>
      </c>
      <c r="H40" s="6" t="n">
        <f aca="false">SUM(Ramp!BK40:BV40)</f>
        <v>204.043333333333</v>
      </c>
      <c r="I40" s="6" t="n">
        <f aca="false">SUM(Ramp!BW40:CH40)</f>
        <v>207.6</v>
      </c>
      <c r="J40" s="6" t="n">
        <f aca="false">SUM(Ramp!CI40:CT40)</f>
        <v>207.6</v>
      </c>
      <c r="K40" s="6" t="n">
        <f aca="false">SUM(Ramp!CU40:DF40)</f>
        <v>207.6</v>
      </c>
      <c r="L40" s="6" t="n">
        <f aca="false">SUM(Ramp!DG40:DR40)</f>
        <v>207.6</v>
      </c>
    </row>
    <row r="41" customFormat="false" ht="15" hidden="false" customHeight="false" outlineLevel="0" collapsed="false">
      <c r="A41" s="2" t="s">
        <v>209</v>
      </c>
      <c r="B41" s="6" t="n">
        <f aca="false">Ramp!B41</f>
        <v>0</v>
      </c>
      <c r="C41" s="6" t="n">
        <f aca="false">SUM(Ramp!C41:N41)</f>
        <v>20.67125</v>
      </c>
      <c r="D41" s="6" t="n">
        <f aca="false">SUM(Ramp!O41:Z41)</f>
        <v>60.8235</v>
      </c>
      <c r="E41" s="6" t="n">
        <f aca="false">SUM(Ramp!AA41:AL41)</f>
        <v>60.5715</v>
      </c>
      <c r="F41" s="6" t="n">
        <f aca="false">SUM(Ramp!AM41:AX41)</f>
        <v>60.3195</v>
      </c>
      <c r="G41" s="6" t="n">
        <f aca="false">SUM(Ramp!AY41:BJ41)</f>
        <v>60.0675</v>
      </c>
      <c r="H41" s="6" t="n">
        <f aca="false">SUM(Ramp!BK41:BV41)</f>
        <v>61.213</v>
      </c>
      <c r="I41" s="6" t="n">
        <f aca="false">SUM(Ramp!BW41:CH41)</f>
        <v>62.28</v>
      </c>
      <c r="J41" s="6" t="n">
        <f aca="false">SUM(Ramp!CI41:CT41)</f>
        <v>62.28</v>
      </c>
      <c r="K41" s="6" t="n">
        <f aca="false">SUM(Ramp!CU41:DF41)</f>
        <v>62.28</v>
      </c>
      <c r="L41" s="6" t="n">
        <f aca="false">SUM(Ramp!DG41:DR41)</f>
        <v>62.28</v>
      </c>
    </row>
    <row r="42" customFormat="false" ht="15" hidden="false" customHeight="false" outlineLevel="0" collapsed="false">
      <c r="A42" s="16" t="s">
        <v>210</v>
      </c>
      <c r="B42" s="17" t="n">
        <f aca="false">Ramp!B42</f>
        <v>0</v>
      </c>
      <c r="C42" s="17" t="n">
        <f aca="false">SUM(Ramp!C42:N42)</f>
        <v>41.6704166666667</v>
      </c>
      <c r="D42" s="17" t="n">
        <f aca="false">SUM(Ramp!O42:Z42)</f>
        <v>141.9215</v>
      </c>
      <c r="E42" s="17" t="n">
        <f aca="false">SUM(Ramp!AA42:AL42)</f>
        <v>141.3335</v>
      </c>
      <c r="F42" s="17" t="n">
        <f aca="false">SUM(Ramp!AM42:AX42)</f>
        <v>140.7455</v>
      </c>
      <c r="G42" s="17" t="n">
        <f aca="false">SUM(Ramp!AY42:BJ42)</f>
        <v>140.1575</v>
      </c>
      <c r="H42" s="17" t="n">
        <f aca="false">SUM(Ramp!BK42:BV42)</f>
        <v>142.830333333333</v>
      </c>
      <c r="I42" s="17" t="n">
        <f aca="false">SUM(Ramp!BW42:CH42)</f>
        <v>145.32</v>
      </c>
      <c r="J42" s="17" t="n">
        <f aca="false">SUM(Ramp!CI42:CT42)</f>
        <v>145.32</v>
      </c>
      <c r="K42" s="17" t="n">
        <f aca="false">SUM(Ramp!CU42:DF42)</f>
        <v>145.32</v>
      </c>
      <c r="L42" s="17" t="n">
        <f aca="false">SUM(Ramp!DG42:DR42)</f>
        <v>145.32</v>
      </c>
    </row>
    <row r="43" customFormat="false" ht="15" hidden="false" customHeight="false" outlineLevel="0" collapsed="false">
      <c r="A43" s="2" t="s">
        <v>211</v>
      </c>
      <c r="B43" s="6" t="n">
        <f aca="false">Ramp!B43</f>
        <v>0</v>
      </c>
      <c r="C43" s="6" t="n">
        <f aca="false">Ramp!N43</f>
        <v>0</v>
      </c>
      <c r="D43" s="6" t="n">
        <f aca="false">Ramp!Z43</f>
        <v>0</v>
      </c>
      <c r="E43" s="6" t="n">
        <f aca="false">Ramp!AL43</f>
        <v>0</v>
      </c>
      <c r="F43" s="6" t="n">
        <f aca="false">Ramp!AX43</f>
        <v>0</v>
      </c>
      <c r="G43" s="6" t="n">
        <f aca="false">Ramp!BJ43</f>
        <v>0</v>
      </c>
      <c r="H43" s="6" t="n">
        <f aca="false">Ramp!BV43</f>
        <v>0</v>
      </c>
      <c r="I43" s="6" t="n">
        <f aca="false">Ramp!CH43</f>
        <v>0</v>
      </c>
      <c r="J43" s="6" t="n">
        <f aca="false">Ramp!CT43</f>
        <v>0</v>
      </c>
      <c r="K43" s="6" t="n">
        <f aca="false">Ramp!DF43</f>
        <v>0</v>
      </c>
      <c r="L43" s="6" t="n">
        <f aca="false">Ramp!DR43</f>
        <v>0</v>
      </c>
    </row>
    <row r="44" customFormat="false" ht="15" hidden="false" customHeight="false" outlineLevel="0" collapsed="false">
      <c r="A44" s="2" t="s">
        <v>212</v>
      </c>
      <c r="B44" s="6" t="n">
        <f aca="false">Ramp!B44</f>
        <v>0</v>
      </c>
      <c r="C44" s="6" t="n">
        <f aca="false">SUM(Ramp!C44:N44)</f>
        <v>0</v>
      </c>
      <c r="D44" s="6" t="n">
        <f aca="false">SUM(Ramp!O44:Z44)</f>
        <v>0</v>
      </c>
      <c r="E44" s="6" t="n">
        <f aca="false">SUM(Ramp!AA44:AL44)</f>
        <v>0</v>
      </c>
      <c r="F44" s="6" t="n">
        <f aca="false">SUM(Ramp!AM44:AX44)</f>
        <v>0</v>
      </c>
      <c r="G44" s="6" t="n">
        <f aca="false">SUM(Ramp!AY44:BJ44)</f>
        <v>0</v>
      </c>
      <c r="H44" s="6" t="n">
        <f aca="false">SUM(Ramp!BK44:BV44)</f>
        <v>0</v>
      </c>
      <c r="I44" s="6" t="n">
        <f aca="false">SUM(Ramp!BW44:CH44)</f>
        <v>0</v>
      </c>
      <c r="J44" s="6" t="n">
        <f aca="false">SUM(Ramp!CI44:CT44)</f>
        <v>0</v>
      </c>
      <c r="K44" s="6" t="n">
        <f aca="false">SUM(Ramp!CU44:DF44)</f>
        <v>0</v>
      </c>
      <c r="L44" s="6" t="n">
        <f aca="false">SUM(Ramp!DG44:DR44)</f>
        <v>0</v>
      </c>
    </row>
    <row r="45" customFormat="false" ht="15" hidden="false" customHeight="false" outlineLevel="0" collapsed="false">
      <c r="A45" s="16" t="s">
        <v>213</v>
      </c>
      <c r="B45" s="17" t="n">
        <f aca="false">Ramp!B45</f>
        <v>0</v>
      </c>
      <c r="C45" s="17" t="n">
        <f aca="false">SUM(Ramp!C45:N45)</f>
        <v>46.32875</v>
      </c>
      <c r="D45" s="17" t="n">
        <f aca="false">SUM(Ramp!O45:Z45)</f>
        <v>150.9765</v>
      </c>
      <c r="E45" s="17" t="n">
        <f aca="false">SUM(Ramp!AA45:AL45)</f>
        <v>151.2285</v>
      </c>
      <c r="F45" s="17" t="n">
        <f aca="false">SUM(Ramp!AM45:AX45)</f>
        <v>151.4805</v>
      </c>
      <c r="G45" s="17" t="n">
        <f aca="false">SUM(Ramp!AY45:BJ45)</f>
        <v>151.7325</v>
      </c>
      <c r="H45" s="17" t="n">
        <f aca="false">SUM(Ramp!BK45:BV45)</f>
        <v>150.587</v>
      </c>
      <c r="I45" s="17" t="n">
        <f aca="false">SUM(Ramp!BW45:CH45)</f>
        <v>149.52</v>
      </c>
      <c r="J45" s="17" t="n">
        <f aca="false">SUM(Ramp!CI45:CT45)</f>
        <v>149.52</v>
      </c>
      <c r="K45" s="17" t="n">
        <f aca="false">SUM(Ramp!CU45:DF45)</f>
        <v>149.52</v>
      </c>
      <c r="L45" s="17" t="n">
        <f aca="false">SUM(Ramp!DG45:DR45)</f>
        <v>149.52</v>
      </c>
    </row>
    <row r="46" customFormat="false" ht="15" hidden="false" customHeight="false" outlineLevel="0" collapsed="false">
      <c r="A46" s="2" t="s">
        <v>214</v>
      </c>
      <c r="B46" s="6" t="n">
        <f aca="false">Ramp!B46</f>
        <v>-0</v>
      </c>
      <c r="C46" s="6" t="n">
        <f aca="false">SUM(Ramp!C46:N46)</f>
        <v>-43</v>
      </c>
      <c r="D46" s="6" t="n">
        <f aca="false">SUM(Ramp!O46:Z46)</f>
        <v>-4.2</v>
      </c>
      <c r="E46" s="6" t="n">
        <f aca="false">SUM(Ramp!AA46:AL46)</f>
        <v>-4.2</v>
      </c>
      <c r="F46" s="6" t="n">
        <f aca="false">SUM(Ramp!AM46:AX46)</f>
        <v>-4.2</v>
      </c>
      <c r="G46" s="6" t="n">
        <f aca="false">SUM(Ramp!AY46:BJ46)</f>
        <v>-4.2</v>
      </c>
      <c r="H46" s="6" t="n">
        <f aca="false">SUM(Ramp!BK46:BV46)</f>
        <v>-4.2</v>
      </c>
      <c r="I46" s="6" t="n">
        <f aca="false">SUM(Ramp!BW46:CH46)</f>
        <v>-4.2</v>
      </c>
      <c r="J46" s="6" t="n">
        <f aca="false">SUM(Ramp!CI46:CT46)</f>
        <v>-4.2</v>
      </c>
      <c r="K46" s="6" t="n">
        <f aca="false">SUM(Ramp!CU46:DF46)</f>
        <v>-4.2</v>
      </c>
      <c r="L46" s="6" t="n">
        <f aca="false">SUM(Ramp!DG46:DR46)</f>
        <v>-4.2</v>
      </c>
    </row>
    <row r="47" customFormat="false" ht="15" hidden="false" customHeight="false" outlineLevel="0" collapsed="false">
      <c r="A47" s="2" t="s">
        <v>215</v>
      </c>
      <c r="B47" s="6" t="n">
        <f aca="false">Ramp!B47</f>
        <v>25</v>
      </c>
      <c r="C47" s="6" t="n">
        <f aca="false">SUM(Ramp!C47:N47)</f>
        <v>25</v>
      </c>
      <c r="D47" s="6" t="n">
        <f aca="false">SUM(Ramp!O47:Z47)</f>
        <v>0</v>
      </c>
      <c r="E47" s="6" t="n">
        <f aca="false">SUM(Ramp!AA47:AL47)</f>
        <v>0</v>
      </c>
      <c r="F47" s="6" t="n">
        <f aca="false">SUM(Ramp!AM47:AX47)</f>
        <v>0</v>
      </c>
      <c r="G47" s="6" t="n">
        <f aca="false">SUM(Ramp!AY47:BJ47)</f>
        <v>0</v>
      </c>
      <c r="H47" s="6" t="n">
        <f aca="false">SUM(Ramp!BK47:BV47)</f>
        <v>0</v>
      </c>
      <c r="I47" s="6" t="n">
        <f aca="false">SUM(Ramp!BW47:CH47)</f>
        <v>0</v>
      </c>
      <c r="J47" s="6" t="n">
        <f aca="false">SUM(Ramp!CI47:CT47)</f>
        <v>0</v>
      </c>
      <c r="K47" s="6" t="n">
        <f aca="false">SUM(Ramp!CU47:DF47)</f>
        <v>0</v>
      </c>
      <c r="L47" s="6" t="n">
        <f aca="false">SUM(Ramp!DG47:DR47)</f>
        <v>0</v>
      </c>
    </row>
    <row r="48" customFormat="false" ht="15" hidden="false" customHeight="false" outlineLevel="0" collapsed="false">
      <c r="A48" s="2" t="s">
        <v>216</v>
      </c>
      <c r="B48" s="6" t="n">
        <f aca="false">Ramp!B48</f>
        <v>0</v>
      </c>
      <c r="C48" s="6" t="n">
        <f aca="false">SUM(Ramp!C48:N48)</f>
        <v>62</v>
      </c>
      <c r="D48" s="6" t="n">
        <f aca="false">SUM(Ramp!O48:Z48)</f>
        <v>168</v>
      </c>
      <c r="E48" s="6" t="n">
        <f aca="false">SUM(Ramp!AA48:AL48)</f>
        <v>168</v>
      </c>
      <c r="F48" s="6" t="n">
        <f aca="false">SUM(Ramp!AM48:AX48)</f>
        <v>168</v>
      </c>
      <c r="G48" s="6" t="n">
        <f aca="false">SUM(Ramp!AY48:BJ48)</f>
        <v>168</v>
      </c>
      <c r="H48" s="6" t="n">
        <f aca="false">SUM(Ramp!BK48:BV48)</f>
        <v>168</v>
      </c>
      <c r="I48" s="6" t="n">
        <f aca="false">SUM(Ramp!BW48:CH48)</f>
        <v>168</v>
      </c>
      <c r="J48" s="6" t="n">
        <f aca="false">SUM(Ramp!CI48:CT48)</f>
        <v>168</v>
      </c>
      <c r="K48" s="6" t="n">
        <f aca="false">SUM(Ramp!CU48:DF48)</f>
        <v>168</v>
      </c>
      <c r="L48" s="6" t="n">
        <f aca="false">SUM(Ramp!DG48:DR48)</f>
        <v>168</v>
      </c>
    </row>
    <row r="49" customFormat="false" ht="15" hidden="false" customHeight="false" outlineLevel="0" collapsed="false">
      <c r="A49" s="2" t="s">
        <v>217</v>
      </c>
      <c r="B49" s="6" t="n">
        <f aca="false">Ramp!B49</f>
        <v>25</v>
      </c>
      <c r="C49" s="6" t="n">
        <f aca="false">SUM(Ramp!C49:N49)</f>
        <v>-37</v>
      </c>
      <c r="D49" s="6" t="n">
        <f aca="false">SUM(Ramp!O49:Z49)</f>
        <v>-168</v>
      </c>
      <c r="E49" s="6" t="n">
        <f aca="false">SUM(Ramp!AA49:AL49)</f>
        <v>-168</v>
      </c>
      <c r="F49" s="6" t="n">
        <f aca="false">SUM(Ramp!AM49:AX49)</f>
        <v>-168</v>
      </c>
      <c r="G49" s="6" t="n">
        <f aca="false">SUM(Ramp!AY49:BJ49)</f>
        <v>-168</v>
      </c>
      <c r="H49" s="6" t="n">
        <f aca="false">SUM(Ramp!BK49:BV49)</f>
        <v>-168</v>
      </c>
      <c r="I49" s="6" t="n">
        <f aca="false">SUM(Ramp!BW49:CH49)</f>
        <v>-168</v>
      </c>
      <c r="J49" s="6" t="n">
        <f aca="false">SUM(Ramp!CI49:CT49)</f>
        <v>-168</v>
      </c>
      <c r="K49" s="6" t="n">
        <f aca="false">SUM(Ramp!CU49:DF49)</f>
        <v>-168</v>
      </c>
      <c r="L49" s="6" t="n">
        <f aca="false">SUM(Ramp!DG49:DR49)</f>
        <v>-168</v>
      </c>
    </row>
    <row r="50" customFormat="false" ht="15" hidden="false" customHeight="false" outlineLevel="0" collapsed="false">
      <c r="A50" s="2" t="s">
        <v>218</v>
      </c>
      <c r="B50" s="6" t="n">
        <f aca="false">Ramp!B50</f>
        <v>25</v>
      </c>
      <c r="C50" s="6" t="n">
        <f aca="false">SUM(Ramp!C50:N50)</f>
        <v>-33.67125</v>
      </c>
      <c r="D50" s="6" t="n">
        <f aca="false">SUM(Ramp!O50:Z50)</f>
        <v>-21.2235</v>
      </c>
      <c r="E50" s="6" t="n">
        <f aca="false">SUM(Ramp!AA50:AL50)</f>
        <v>-20.9715</v>
      </c>
      <c r="F50" s="6" t="n">
        <f aca="false">SUM(Ramp!AM50:AX50)</f>
        <v>-20.7195</v>
      </c>
      <c r="G50" s="6" t="n">
        <f aca="false">SUM(Ramp!AY50:BJ50)</f>
        <v>-20.4675</v>
      </c>
      <c r="H50" s="6" t="n">
        <f aca="false">SUM(Ramp!BK50:BV50)</f>
        <v>-21.613</v>
      </c>
      <c r="I50" s="6" t="n">
        <f aca="false">SUM(Ramp!BW50:CH50)</f>
        <v>-22.68</v>
      </c>
      <c r="J50" s="6" t="n">
        <f aca="false">SUM(Ramp!CI50:CT50)</f>
        <v>-22.68</v>
      </c>
      <c r="K50" s="6" t="n">
        <f aca="false">SUM(Ramp!CU50:DF50)</f>
        <v>-22.68</v>
      </c>
      <c r="L50" s="6" t="n">
        <f aca="false">SUM(Ramp!DG50:DR50)</f>
        <v>-22.68</v>
      </c>
    </row>
    <row r="51" customFormat="false" ht="15" hidden="false" customHeight="false" outlineLevel="0" collapsed="false">
      <c r="A51" s="2" t="s">
        <v>219</v>
      </c>
      <c r="B51" s="6" t="n">
        <f aca="false">Ramp!B51</f>
        <v>0</v>
      </c>
      <c r="C51" s="6" t="n">
        <f aca="false">Ramp!C51</f>
        <v>25</v>
      </c>
      <c r="D51" s="6" t="n">
        <f aca="false">Ramp!O51</f>
        <v>-8.67125</v>
      </c>
      <c r="E51" s="6" t="n">
        <f aca="false">Ramp!AA51</f>
        <v>-29.89475</v>
      </c>
      <c r="F51" s="6" t="n">
        <f aca="false">Ramp!AM51</f>
        <v>-50.86625</v>
      </c>
      <c r="G51" s="6" t="n">
        <f aca="false">Ramp!AY51</f>
        <v>-71.58575</v>
      </c>
      <c r="H51" s="6" t="n">
        <f aca="false">Ramp!BK51</f>
        <v>-92.05325</v>
      </c>
      <c r="I51" s="6" t="n">
        <f aca="false">Ramp!BW51</f>
        <v>-113.66625</v>
      </c>
      <c r="J51" s="6" t="n">
        <f aca="false">Ramp!CI51</f>
        <v>-136.34625</v>
      </c>
      <c r="K51" s="6" t="n">
        <f aca="false">Ramp!CU51</f>
        <v>-159.02625</v>
      </c>
      <c r="L51" s="6" t="n">
        <f aca="false">Ramp!DG51</f>
        <v>-181.70625</v>
      </c>
    </row>
    <row r="52" customFormat="false" ht="15" hidden="false" customHeight="false" outlineLevel="0" collapsed="false">
      <c r="A52" s="16" t="s">
        <v>220</v>
      </c>
      <c r="B52" s="17" t="n">
        <f aca="false">Ramp!B52</f>
        <v>25</v>
      </c>
      <c r="C52" s="17" t="n">
        <f aca="false">Ramp!N52</f>
        <v>-8.67125</v>
      </c>
      <c r="D52" s="17" t="n">
        <f aca="false">Ramp!Z52</f>
        <v>-29.89475</v>
      </c>
      <c r="E52" s="17" t="n">
        <f aca="false">Ramp!AL52</f>
        <v>-50.86625</v>
      </c>
      <c r="F52" s="17" t="n">
        <f aca="false">Ramp!AX52</f>
        <v>-71.58575</v>
      </c>
      <c r="G52" s="17" t="n">
        <f aca="false">Ramp!BJ52</f>
        <v>-92.05325</v>
      </c>
      <c r="H52" s="17" t="n">
        <f aca="false">Ramp!BV52</f>
        <v>-113.66625</v>
      </c>
      <c r="I52" s="17" t="n">
        <f aca="false">Ramp!CH52</f>
        <v>-136.34625</v>
      </c>
      <c r="J52" s="17" t="n">
        <f aca="false">Ramp!CT52</f>
        <v>-159.02625</v>
      </c>
      <c r="K52" s="17" t="n">
        <f aca="false">Ramp!DF52</f>
        <v>-181.70625</v>
      </c>
      <c r="L52" s="17" t="n">
        <f aca="false">Ramp!DR52</f>
        <v>-204.38625</v>
      </c>
    </row>
    <row r="53" customFormat="false" ht="15" hidden="false" customHeight="false" outlineLevel="0" collapsed="false">
      <c r="A53" s="16" t="s">
        <v>221</v>
      </c>
      <c r="B53" s="17" t="n">
        <f aca="false">Ramp!B53</f>
        <v>0</v>
      </c>
      <c r="C53" s="17" t="n">
        <f aca="false">Ramp!N53</f>
        <v>8.67125</v>
      </c>
      <c r="D53" s="17" t="n">
        <f aca="false">Ramp!Z53</f>
        <v>29.89475</v>
      </c>
      <c r="E53" s="17" t="n">
        <f aca="false">Ramp!AL53</f>
        <v>50.86625</v>
      </c>
      <c r="F53" s="17" t="n">
        <f aca="false">Ramp!AX53</f>
        <v>71.58575</v>
      </c>
      <c r="G53" s="17" t="n">
        <f aca="false">Ramp!BJ53</f>
        <v>92.05325</v>
      </c>
      <c r="H53" s="17" t="n">
        <f aca="false">Ramp!BV53</f>
        <v>113.66625</v>
      </c>
      <c r="I53" s="17" t="n">
        <f aca="false">Ramp!CH53</f>
        <v>136.34625</v>
      </c>
      <c r="J53" s="17" t="n">
        <f aca="false">Ramp!CT53</f>
        <v>159.02625</v>
      </c>
      <c r="K53" s="17" t="n">
        <f aca="false">Ramp!DF53</f>
        <v>181.70625</v>
      </c>
      <c r="L53" s="17" t="n">
        <f aca="false">Ramp!DR53</f>
        <v>204.38625</v>
      </c>
    </row>
    <row r="54" customFormat="false" ht="15" hidden="false" customHeight="false" outlineLevel="0" collapsed="false">
      <c r="A54" s="2" t="s">
        <v>222</v>
      </c>
      <c r="B54" s="6" t="n">
        <f aca="false">Ramp!B54</f>
        <v>0</v>
      </c>
      <c r="C54" s="6" t="n">
        <f aca="false">Ramp!N54</f>
        <v>38.3416666666667</v>
      </c>
      <c r="D54" s="6" t="n">
        <f aca="false">Ramp!Z54</f>
        <v>33.4866666666667</v>
      </c>
      <c r="E54" s="6" t="n">
        <f aca="false">Ramp!AL54</f>
        <v>27.7916666666667</v>
      </c>
      <c r="F54" s="6" t="n">
        <f aca="false">Ramp!AX54</f>
        <v>21.2566666666667</v>
      </c>
      <c r="G54" s="6" t="n">
        <f aca="false">Ramp!BJ54</f>
        <v>13.8816666666667</v>
      </c>
      <c r="H54" s="6" t="n">
        <f aca="false">Ramp!BV54</f>
        <v>10.3250000000001</v>
      </c>
      <c r="I54" s="6" t="n">
        <f aca="false">Ramp!CH54</f>
        <v>10.3250000000001</v>
      </c>
      <c r="J54" s="6" t="n">
        <f aca="false">Ramp!CT54</f>
        <v>10.3250000000001</v>
      </c>
      <c r="K54" s="6" t="n">
        <f aca="false">Ramp!DF54</f>
        <v>10.3250000000001</v>
      </c>
      <c r="L54" s="6" t="n">
        <f aca="false">Ramp!DR54</f>
        <v>10.3250000000001</v>
      </c>
    </row>
    <row r="55" customFormat="false" ht="15" hidden="false" customHeight="false" outlineLevel="0" collapsed="false">
      <c r="A55" s="2" t="s">
        <v>223</v>
      </c>
      <c r="B55" s="6" t="n">
        <f aca="false">Ramp!B55</f>
        <v>25</v>
      </c>
      <c r="C55" s="6" t="n">
        <f aca="false">Ramp!N55</f>
        <v>50</v>
      </c>
      <c r="D55" s="6" t="n">
        <f aca="false">Ramp!Z55</f>
        <v>50</v>
      </c>
      <c r="E55" s="6" t="n">
        <f aca="false">Ramp!AL55</f>
        <v>50</v>
      </c>
      <c r="F55" s="6" t="n">
        <f aca="false">Ramp!AX55</f>
        <v>50</v>
      </c>
      <c r="G55" s="6" t="n">
        <f aca="false">Ramp!BJ55</f>
        <v>50</v>
      </c>
      <c r="H55" s="6" t="n">
        <f aca="false">Ramp!BV55</f>
        <v>50</v>
      </c>
      <c r="I55" s="6" t="n">
        <f aca="false">Ramp!CH55</f>
        <v>50</v>
      </c>
      <c r="J55" s="6" t="n">
        <f aca="false">Ramp!CT55</f>
        <v>50</v>
      </c>
      <c r="K55" s="6" t="n">
        <f aca="false">Ramp!DF55</f>
        <v>50</v>
      </c>
      <c r="L55" s="6" t="n">
        <f aca="false">Ramp!DR55</f>
        <v>50</v>
      </c>
    </row>
    <row r="56" customFormat="false" ht="15" hidden="false" customHeight="false" outlineLevel="0" collapsed="false">
      <c r="A56" s="2" t="s">
        <v>224</v>
      </c>
      <c r="B56" s="6" t="n">
        <f aca="false">Ramp!B56</f>
        <v>0</v>
      </c>
      <c r="C56" s="6" t="n">
        <f aca="false">Ramp!N56</f>
        <v>-20.3295833333333</v>
      </c>
      <c r="D56" s="6" t="n">
        <f aca="false">Ramp!Z56</f>
        <v>-46.4080833333333</v>
      </c>
      <c r="E56" s="6" t="n">
        <f aca="false">Ramp!AL56</f>
        <v>-73.0745833333334</v>
      </c>
      <c r="F56" s="6" t="n">
        <f aca="false">Ramp!AX56</f>
        <v>-100.329083333333</v>
      </c>
      <c r="G56" s="6" t="n">
        <f aca="false">Ramp!BJ56</f>
        <v>-128.171583333333</v>
      </c>
      <c r="H56" s="6" t="n">
        <f aca="false">Ramp!BV56</f>
        <v>-153.34125</v>
      </c>
      <c r="I56" s="6" t="n">
        <f aca="false">Ramp!CH56</f>
        <v>-176.02125</v>
      </c>
      <c r="J56" s="6" t="n">
        <f aca="false">Ramp!CT56</f>
        <v>-198.70125</v>
      </c>
      <c r="K56" s="6" t="n">
        <f aca="false">Ramp!DF56</f>
        <v>-221.38125</v>
      </c>
      <c r="L56" s="6" t="n">
        <f aca="false">Ramp!DR56</f>
        <v>-244.061249999999</v>
      </c>
    </row>
    <row r="57" customFormat="false" ht="15" hidden="false" customHeight="false" outlineLevel="0" collapsed="false">
      <c r="A57" s="2" t="s">
        <v>225</v>
      </c>
      <c r="B57" s="6" t="n">
        <f aca="false">Ramp!B57</f>
        <v>25</v>
      </c>
      <c r="C57" s="6" t="n">
        <f aca="false">Ramp!N57</f>
        <v>29.6704166666667</v>
      </c>
      <c r="D57" s="6" t="n">
        <f aca="false">Ramp!Z57</f>
        <v>3.59191666666669</v>
      </c>
      <c r="E57" s="6" t="n">
        <f aca="false">Ramp!AL57</f>
        <v>-23.0745833333333</v>
      </c>
      <c r="F57" s="6" t="n">
        <f aca="false">Ramp!AX57</f>
        <v>-50.3290833333333</v>
      </c>
      <c r="G57" s="6" t="n">
        <f aca="false">Ramp!BJ57</f>
        <v>-78.1715833333333</v>
      </c>
      <c r="H57" s="6" t="n">
        <f aca="false">Ramp!BV57</f>
        <v>-103.34125</v>
      </c>
      <c r="I57" s="6" t="n">
        <f aca="false">Ramp!CH57</f>
        <v>-126.02125</v>
      </c>
      <c r="J57" s="6" t="n">
        <f aca="false">Ramp!CT57</f>
        <v>-148.70125</v>
      </c>
      <c r="K57" s="6" t="n">
        <f aca="false">Ramp!DF57</f>
        <v>-171.38125</v>
      </c>
      <c r="L57" s="6" t="n">
        <f aca="false">Ramp!DR57</f>
        <v>-194.061249999999</v>
      </c>
    </row>
    <row r="58" customFormat="false" ht="15" hidden="false" customHeight="false" outlineLevel="0" collapsed="false">
      <c r="A58" s="2" t="s">
        <v>226</v>
      </c>
      <c r="B58" s="6" t="n">
        <f aca="false">Ramp!B58</f>
        <v>25</v>
      </c>
      <c r="C58" s="6" t="n">
        <f aca="false">Ramp!N58</f>
        <v>29.6704166666667</v>
      </c>
      <c r="D58" s="6" t="n">
        <f aca="false">Ramp!Z58</f>
        <v>3.59191666666666</v>
      </c>
      <c r="E58" s="6" t="n">
        <f aca="false">Ramp!AL58</f>
        <v>-23.0745833333334</v>
      </c>
      <c r="F58" s="6" t="n">
        <f aca="false">Ramp!AX58</f>
        <v>-50.3290833333334</v>
      </c>
      <c r="G58" s="6" t="n">
        <f aca="false">Ramp!BJ58</f>
        <v>-78.1715833333334</v>
      </c>
      <c r="H58" s="6" t="n">
        <f aca="false">Ramp!BV58</f>
        <v>-103.34125</v>
      </c>
      <c r="I58" s="6" t="n">
        <f aca="false">Ramp!CH58</f>
        <v>-126.02125</v>
      </c>
      <c r="J58" s="6" t="n">
        <f aca="false">Ramp!CT58</f>
        <v>-148.70125</v>
      </c>
      <c r="K58" s="6" t="n">
        <f aca="false">Ramp!DF58</f>
        <v>-171.38125</v>
      </c>
      <c r="L58" s="6" t="n">
        <f aca="false">Ramp!DR58</f>
        <v>-194.061249999999</v>
      </c>
    </row>
    <row r="59" customFormat="false" ht="15" hidden="false" customHeight="false" outlineLevel="0" collapsed="false">
      <c r="A59" s="16" t="s">
        <v>227</v>
      </c>
      <c r="B59" s="17" t="n">
        <f aca="false">Ramp!B59</f>
        <v>0</v>
      </c>
      <c r="C59" s="17" t="n">
        <f aca="false">SUM(Ramp!C59:N59)</f>
        <v>0</v>
      </c>
      <c r="D59" s="17" t="n">
        <f aca="false">SUM(Ramp!O59:Z59)</f>
        <v>8.5265128291212E-014</v>
      </c>
      <c r="E59" s="17" t="n">
        <f aca="false">SUM(Ramp!AA59:AL59)</f>
        <v>3.01980662698043E-013</v>
      </c>
      <c r="F59" s="17" t="n">
        <f aca="false">SUM(Ramp!AM59:AX59)</f>
        <v>0</v>
      </c>
      <c r="G59" s="17" t="n">
        <f aca="false">SUM(Ramp!AY59:BJ59)</f>
        <v>0</v>
      </c>
      <c r="H59" s="17" t="n">
        <f aca="false">SUM(Ramp!BK59:BV59)</f>
        <v>0</v>
      </c>
      <c r="I59" s="17" t="n">
        <f aca="false">SUM(Ramp!BW59:CH59)</f>
        <v>0</v>
      </c>
      <c r="J59" s="17" t="n">
        <f aca="false">SUM(Ramp!CI59:CT59)</f>
        <v>0</v>
      </c>
      <c r="K59" s="17" t="n">
        <f aca="false">SUM(Ramp!CU59:DF59)</f>
        <v>0</v>
      </c>
      <c r="L59" s="17" t="n">
        <f aca="false">SUM(Ramp!DG59:DR59)</f>
        <v>0</v>
      </c>
    </row>
    <row r="60" customFormat="false" ht="15" hidden="false" customHeight="false" outlineLevel="0" collapsed="false">
      <c r="A60" s="2" t="s">
        <v>228</v>
      </c>
      <c r="B60" s="6" t="n">
        <f aca="false">Ramp!B60</f>
        <v>0</v>
      </c>
      <c r="C60" s="6" t="n">
        <f aca="false">SUM(Ramp!C60:N60)</f>
        <v>0</v>
      </c>
      <c r="D60" s="6" t="n">
        <f aca="false">SUM(Ramp!O60:Z60)</f>
        <v>0</v>
      </c>
      <c r="E60" s="6" t="n">
        <f aca="false">SUM(Ramp!AA60:AL60)</f>
        <v>0</v>
      </c>
      <c r="F60" s="6" t="n">
        <f aca="false">SUM(Ramp!AM60:AX60)</f>
        <v>0</v>
      </c>
      <c r="G60" s="6" t="n">
        <f aca="false">SUM(Ramp!AY60:BJ60)</f>
        <v>-1.4210854715202E-014</v>
      </c>
      <c r="H60" s="6" t="n">
        <f aca="false">SUM(Ramp!BK60:BV60)</f>
        <v>7.105427357601E-015</v>
      </c>
      <c r="I60" s="6" t="n">
        <f aca="false">SUM(Ramp!BW60:CH60)</f>
        <v>2.8421709430404E-014</v>
      </c>
      <c r="J60" s="6" t="n">
        <f aca="false">SUM(Ramp!CI60:CT60)</f>
        <v>1.70530256582424E-013</v>
      </c>
      <c r="K60" s="6" t="n">
        <f aca="false">SUM(Ramp!CU60:DF60)</f>
        <v>1.70530256582424E-013</v>
      </c>
      <c r="L60" s="6" t="n">
        <f aca="false">SUM(Ramp!DG60:DR60)</f>
        <v>1.70530256582424E-013</v>
      </c>
    </row>
    <row r="61" customFormat="false" ht="15" hidden="false" customHeight="false" outlineLevel="0" collapsed="false">
      <c r="A61" s="2" t="s">
        <v>229</v>
      </c>
      <c r="B61" s="6" t="n">
        <f aca="false">Ramp!B61</f>
        <v>0</v>
      </c>
      <c r="C61" s="6" t="n">
        <f aca="false">SUM(Ramp!C61:N61)</f>
        <v>0</v>
      </c>
      <c r="D61" s="6" t="n">
        <f aca="false">SUM(Ramp!O61:Z61)</f>
        <v>0</v>
      </c>
      <c r="E61" s="6" t="n">
        <f aca="false">SUM(Ramp!AA61:AL61)</f>
        <v>0</v>
      </c>
      <c r="F61" s="6" t="n">
        <f aca="false">SUM(Ramp!AM61:AX61)</f>
        <v>0</v>
      </c>
      <c r="G61" s="6" t="n">
        <f aca="false">SUM(Ramp!AY61:BJ61)</f>
        <v>0</v>
      </c>
      <c r="H61" s="6" t="n">
        <f aca="false">SUM(Ramp!BK61:BV61)</f>
        <v>0</v>
      </c>
      <c r="I61" s="6" t="n">
        <f aca="false">SUM(Ramp!BW61:CH61)</f>
        <v>0</v>
      </c>
      <c r="J61" s="6" t="n">
        <f aca="false">SUM(Ramp!CI61:CT61)</f>
        <v>0</v>
      </c>
      <c r="K61" s="6" t="n">
        <f aca="false">SUM(Ramp!CU61:DF61)</f>
        <v>0</v>
      </c>
      <c r="L61" s="6" t="n">
        <f aca="false">SUM(Ramp!DG61:DR61)</f>
        <v>0</v>
      </c>
    </row>
    <row r="62" customFormat="false" ht="15" hidden="false" customHeight="false" outlineLevel="0" collapsed="false">
      <c r="A62" s="16" t="s">
        <v>230</v>
      </c>
      <c r="B62" s="17" t="n">
        <f aca="false">Ramp!B62</f>
        <v>-25</v>
      </c>
      <c r="C62" s="17" t="n">
        <f aca="false">SUM(Ramp!C62:N62)</f>
        <v>-9.5</v>
      </c>
      <c r="D62" s="17" t="n">
        <f aca="false">SUM(Ramp!O62:Z62)</f>
        <v>42</v>
      </c>
      <c r="E62" s="17" t="n">
        <f aca="false">SUM(Ramp!AA62:AL62)</f>
        <v>42</v>
      </c>
      <c r="F62" s="17" t="n">
        <f aca="false">SUM(Ramp!AM62:AX62)</f>
        <v>42</v>
      </c>
      <c r="G62" s="17" t="n">
        <f aca="false">SUM(Ramp!AY62:BJ62)</f>
        <v>42</v>
      </c>
      <c r="H62" s="17" t="n">
        <f aca="false">SUM(Ramp!BK62:BV62)</f>
        <v>42</v>
      </c>
      <c r="I62" s="17" t="n">
        <f aca="false">SUM(Ramp!BW62:CH62)</f>
        <v>42</v>
      </c>
      <c r="J62" s="17" t="n">
        <f aca="false">SUM(Ramp!CI62:CT62)</f>
        <v>42</v>
      </c>
      <c r="K62" s="17" t="n">
        <f aca="false">SUM(Ramp!CU62:DF62)</f>
        <v>42</v>
      </c>
      <c r="L62" s="17" t="n">
        <f aca="false">SUM(Ramp!DG62:DR62)</f>
        <v>42</v>
      </c>
    </row>
    <row r="63" customFormat="false" ht="15" hidden="false" customHeight="false" outlineLevel="0" collapsed="false">
      <c r="A63" s="2" t="s">
        <v>231</v>
      </c>
      <c r="B63" s="6" t="n">
        <f aca="false">Ramp!B63</f>
        <v>-25</v>
      </c>
      <c r="C63" s="6" t="n">
        <f aca="false">Ramp!N63</f>
        <v>-34.5</v>
      </c>
      <c r="D63" s="6" t="n">
        <f aca="false">Ramp!Z63</f>
        <v>7.5</v>
      </c>
      <c r="E63" s="6" t="n">
        <f aca="false">Ramp!AL63</f>
        <v>49.5</v>
      </c>
      <c r="F63" s="6" t="n">
        <f aca="false">Ramp!AX63</f>
        <v>91.5</v>
      </c>
      <c r="G63" s="6" t="n">
        <f aca="false">Ramp!BJ63</f>
        <v>133.5</v>
      </c>
      <c r="H63" s="6" t="n">
        <f aca="false">Ramp!BV63</f>
        <v>175.5</v>
      </c>
      <c r="I63" s="6" t="n">
        <f aca="false">Ramp!CH63</f>
        <v>217.5</v>
      </c>
      <c r="J63" s="6" t="n">
        <f aca="false">Ramp!CT63</f>
        <v>259.5</v>
      </c>
      <c r="K63" s="6" t="n">
        <f aca="false">Ramp!DF63</f>
        <v>301.5</v>
      </c>
      <c r="L63" s="6" t="n">
        <f aca="false">Ramp!DR63</f>
        <v>343.5</v>
      </c>
    </row>
    <row r="64" customFormat="false" ht="15" hidden="false" customHeight="false" outlineLevel="0" collapsed="false">
      <c r="A64" s="2" t="s">
        <v>232</v>
      </c>
      <c r="B64" s="6" t="n">
        <f aca="false">Ramp!B64</f>
        <v>0</v>
      </c>
      <c r="C64" s="6" t="n">
        <f aca="false">Ramp!N64</f>
        <v>15.5</v>
      </c>
      <c r="D64" s="6" t="n">
        <f aca="false">Ramp!Z64</f>
        <v>57.5</v>
      </c>
      <c r="E64" s="6" t="n">
        <f aca="false">Ramp!AL64</f>
        <v>99.5</v>
      </c>
      <c r="F64" s="6" t="n">
        <f aca="false">Ramp!AX64</f>
        <v>141.5</v>
      </c>
      <c r="G64" s="6" t="n">
        <f aca="false">Ramp!BJ64</f>
        <v>183.5</v>
      </c>
      <c r="H64" s="6" t="n">
        <f aca="false">Ramp!BV64</f>
        <v>225.5</v>
      </c>
      <c r="I64" s="6" t="n">
        <f aca="false">Ramp!CH64</f>
        <v>267.5</v>
      </c>
      <c r="J64" s="6" t="n">
        <f aca="false">Ramp!CT64</f>
        <v>309.5</v>
      </c>
      <c r="K64" s="6" t="n">
        <f aca="false">Ramp!DF64</f>
        <v>351.5</v>
      </c>
      <c r="L64" s="6" t="n">
        <f aca="false">Ramp!DR64</f>
        <v>393.5</v>
      </c>
    </row>
    <row r="65" customFormat="false" ht="15" hidden="false" customHeight="false" outlineLevel="0" collapsed="false">
      <c r="A65" s="2" t="s">
        <v>233</v>
      </c>
      <c r="B65" s="6" t="n">
        <f aca="false">Ramp!B65</f>
        <v>0</v>
      </c>
      <c r="C65" s="6" t="n">
        <f aca="false">SUM(Ramp!C65:N65)</f>
        <v>15.5</v>
      </c>
      <c r="D65" s="6" t="n">
        <f aca="false">SUM(Ramp!O65:Z65)</f>
        <v>42</v>
      </c>
      <c r="E65" s="6" t="n">
        <f aca="false">SUM(Ramp!AA65:AL65)</f>
        <v>42</v>
      </c>
      <c r="F65" s="6" t="n">
        <f aca="false">SUM(Ramp!AM65:AX65)</f>
        <v>42</v>
      </c>
      <c r="G65" s="6" t="n">
        <f aca="false">SUM(Ramp!AY65:BJ65)</f>
        <v>42</v>
      </c>
      <c r="H65" s="6" t="n">
        <f aca="false">SUM(Ramp!BK65:BV65)</f>
        <v>42</v>
      </c>
      <c r="I65" s="6" t="n">
        <f aca="false">SUM(Ramp!BW65:CH65)</f>
        <v>42</v>
      </c>
      <c r="J65" s="6" t="n">
        <f aca="false">SUM(Ramp!CI65:CT65)</f>
        <v>42</v>
      </c>
      <c r="K65" s="6" t="n">
        <f aca="false">SUM(Ramp!CU65:DF65)</f>
        <v>42</v>
      </c>
      <c r="L65" s="6" t="n">
        <f aca="false">SUM(Ramp!DG65:DR65)</f>
        <v>42</v>
      </c>
    </row>
    <row r="66" customFormat="false" ht="15" hidden="false" customHeight="false" outlineLevel="0" collapsed="false">
      <c r="A66" s="2" t="s">
        <v>234</v>
      </c>
      <c r="B66" s="6" t="n">
        <f aca="false">Ramp!B66</f>
        <v>0</v>
      </c>
      <c r="C66" s="6" t="n">
        <f aca="false">SUM(Ramp!C66:N66)</f>
        <v>0</v>
      </c>
      <c r="D66" s="6" t="n">
        <f aca="false">SUM(Ramp!O66:Z66)</f>
        <v>0</v>
      </c>
      <c r="E66" s="6" t="n">
        <f aca="false">SUM(Ramp!AA66:AL66)</f>
        <v>0</v>
      </c>
      <c r="F66" s="6" t="n">
        <f aca="false">SUM(Ramp!AM66:AX66)</f>
        <v>0</v>
      </c>
      <c r="G66" s="6" t="n">
        <f aca="false">SUM(Ramp!AY66:BJ66)</f>
        <v>0</v>
      </c>
      <c r="H66" s="6" t="n">
        <f aca="false">SUM(Ramp!BK66:BV66)</f>
        <v>0</v>
      </c>
      <c r="I66" s="6" t="n">
        <f aca="false">SUM(Ramp!BW66:CH66)</f>
        <v>0</v>
      </c>
      <c r="J66" s="6" t="n">
        <f aca="false">SUM(Ramp!CI66:CT66)</f>
        <v>0</v>
      </c>
      <c r="K66" s="6" t="n">
        <f aca="false">SUM(Ramp!CU66:DF66)</f>
        <v>0</v>
      </c>
      <c r="L66" s="6" t="n">
        <f aca="false">SUM(Ramp!DG66:DR66)</f>
        <v>0</v>
      </c>
    </row>
    <row r="67" customFormat="false" ht="15" hidden="false" customHeight="false" outlineLevel="0" collapsed="false">
      <c r="A67" s="16" t="s">
        <v>235</v>
      </c>
      <c r="B67" s="17" t="n">
        <f aca="false">Ramp!B67</f>
        <v>-50</v>
      </c>
      <c r="C67" s="17" t="n">
        <f aca="false">Ramp!N67</f>
        <v>-34.5</v>
      </c>
      <c r="D67" s="17" t="n">
        <f aca="false">Ramp!Z67</f>
        <v>7.5</v>
      </c>
      <c r="E67" s="17" t="n">
        <f aca="false">Ramp!AL67</f>
        <v>49.5</v>
      </c>
      <c r="F67" s="17" t="n">
        <f aca="false">Ramp!AX67</f>
        <v>91.5</v>
      </c>
      <c r="G67" s="17" t="n">
        <f aca="false">Ramp!BJ67</f>
        <v>133.5</v>
      </c>
      <c r="H67" s="17" t="n">
        <f aca="false">Ramp!BV67</f>
        <v>175.5</v>
      </c>
      <c r="I67" s="17" t="n">
        <f aca="false">Ramp!CH67</f>
        <v>217.5</v>
      </c>
      <c r="J67" s="17" t="n">
        <f aca="false">Ramp!CT67</f>
        <v>259.5</v>
      </c>
      <c r="K67" s="17" t="n">
        <f aca="false">Ramp!DF67</f>
        <v>301.5</v>
      </c>
      <c r="L67" s="17" t="n">
        <f aca="false">Ramp!DR67</f>
        <v>343.5</v>
      </c>
    </row>
    <row r="68" customFormat="false" ht="15" hidden="false" customHeight="false" outlineLevel="0" collapsed="false">
      <c r="A68" s="2" t="s">
        <v>236</v>
      </c>
      <c r="B68" s="6" t="n">
        <f aca="false">Ramp!B68</f>
        <v>0</v>
      </c>
      <c r="C68" s="6" t="n">
        <f aca="false">SUM(Ramp!C68:N68)</f>
        <v>0</v>
      </c>
      <c r="D68" s="6" t="n">
        <f aca="false">SUM(Ramp!O68:Z68)</f>
        <v>0</v>
      </c>
      <c r="E68" s="6" t="n">
        <f aca="false">SUM(Ramp!AA68:AL68)</f>
        <v>0</v>
      </c>
      <c r="F68" s="6" t="n">
        <f aca="false">SUM(Ramp!AM68:AX68)</f>
        <v>0</v>
      </c>
      <c r="G68" s="6" t="n">
        <f aca="false">SUM(Ramp!AY68:BJ68)</f>
        <v>0</v>
      </c>
      <c r="H68" s="6" t="n">
        <f aca="false">SUM(Ramp!BK68:BV68)</f>
        <v>0</v>
      </c>
      <c r="I68" s="6" t="n">
        <f aca="false">SUM(Ramp!BW68:CH68)</f>
        <v>0</v>
      </c>
      <c r="J68" s="6" t="n">
        <f aca="false">SUM(Ramp!CI68:CT68)</f>
        <v>0</v>
      </c>
      <c r="K68" s="6" t="n">
        <f aca="false">SUM(Ramp!CU68:DF68)</f>
        <v>0</v>
      </c>
      <c r="L68" s="6" t="n">
        <f aca="false">SUM(Ramp!DG68:DR68)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R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122" min="2" style="0" width="16"/>
  </cols>
  <sheetData>
    <row r="1" customFormat="false" ht="31.5" hidden="false" customHeight="true" outlineLevel="0" collapsed="false">
      <c r="A1" s="7" t="s">
        <v>170</v>
      </c>
      <c r="B1" s="8" t="n">
        <f aca="false">Inputs!$B$34</f>
        <v>0</v>
      </c>
      <c r="C1" s="8" t="n">
        <f aca="false">B1+Inputs!$B$35</f>
        <v>1</v>
      </c>
      <c r="D1" s="8" t="n">
        <f aca="false">C1+Inputs!$B$35</f>
        <v>2</v>
      </c>
      <c r="E1" s="8" t="n">
        <f aca="false">D1+Inputs!$B$35</f>
        <v>3</v>
      </c>
      <c r="F1" s="8" t="n">
        <f aca="false">E1+Inputs!$B$35</f>
        <v>4</v>
      </c>
      <c r="G1" s="8" t="n">
        <f aca="false">F1+Inputs!$B$35</f>
        <v>5</v>
      </c>
      <c r="H1" s="8" t="n">
        <f aca="false">G1+Inputs!$B$35</f>
        <v>6</v>
      </c>
      <c r="I1" s="8" t="n">
        <f aca="false">H1+Inputs!$B$35</f>
        <v>7</v>
      </c>
      <c r="J1" s="8" t="n">
        <f aca="false">I1+Inputs!$B$35</f>
        <v>8</v>
      </c>
      <c r="K1" s="8" t="n">
        <f aca="false">J1+Inputs!$B$35</f>
        <v>9</v>
      </c>
      <c r="L1" s="8" t="n">
        <f aca="false">K1+Inputs!$B$35</f>
        <v>10</v>
      </c>
      <c r="M1" s="8" t="n">
        <f aca="false">L1+Inputs!$B$35</f>
        <v>11</v>
      </c>
      <c r="N1" s="8" t="n">
        <f aca="false">M1+Inputs!$B$35</f>
        <v>12</v>
      </c>
      <c r="O1" s="8" t="n">
        <f aca="false">N1+Inputs!$B$35</f>
        <v>13</v>
      </c>
      <c r="P1" s="8" t="n">
        <f aca="false">O1+Inputs!$B$35</f>
        <v>14</v>
      </c>
      <c r="Q1" s="8" t="n">
        <f aca="false">P1+Inputs!$B$35</f>
        <v>15</v>
      </c>
      <c r="R1" s="8" t="n">
        <f aca="false">Q1+Inputs!$B$35</f>
        <v>16</v>
      </c>
      <c r="S1" s="8" t="n">
        <f aca="false">R1+Inputs!$B$35</f>
        <v>17</v>
      </c>
      <c r="T1" s="8" t="n">
        <f aca="false">S1+Inputs!$B$35</f>
        <v>18</v>
      </c>
      <c r="U1" s="8" t="n">
        <f aca="false">T1+Inputs!$B$35</f>
        <v>19</v>
      </c>
      <c r="V1" s="8" t="n">
        <f aca="false">U1+Inputs!$B$35</f>
        <v>20</v>
      </c>
      <c r="W1" s="8" t="n">
        <f aca="false">V1+Inputs!$B$35</f>
        <v>21</v>
      </c>
      <c r="X1" s="8" t="n">
        <f aca="false">W1+Inputs!$B$35</f>
        <v>22</v>
      </c>
      <c r="Y1" s="8" t="n">
        <f aca="false">X1+Inputs!$B$35</f>
        <v>23</v>
      </c>
      <c r="Z1" s="8" t="n">
        <f aca="false">Y1+Inputs!$B$35</f>
        <v>24</v>
      </c>
      <c r="AA1" s="8" t="n">
        <f aca="false">Z1+Inputs!$B$35</f>
        <v>25</v>
      </c>
      <c r="AB1" s="8" t="n">
        <f aca="false">AA1+Inputs!$B$35</f>
        <v>26</v>
      </c>
      <c r="AC1" s="8" t="n">
        <f aca="false">AB1+Inputs!$B$35</f>
        <v>27</v>
      </c>
      <c r="AD1" s="8" t="n">
        <f aca="false">AC1+Inputs!$B$35</f>
        <v>28</v>
      </c>
      <c r="AE1" s="8" t="n">
        <f aca="false">AD1+Inputs!$B$35</f>
        <v>29</v>
      </c>
      <c r="AF1" s="8" t="n">
        <f aca="false">AE1+Inputs!$B$35</f>
        <v>30</v>
      </c>
      <c r="AG1" s="8" t="n">
        <f aca="false">AF1+Inputs!$B$35</f>
        <v>31</v>
      </c>
      <c r="AH1" s="8" t="n">
        <f aca="false">AG1+Inputs!$B$35</f>
        <v>32</v>
      </c>
      <c r="AI1" s="8" t="n">
        <f aca="false">AH1+Inputs!$B$35</f>
        <v>33</v>
      </c>
      <c r="AJ1" s="8" t="n">
        <f aca="false">AI1+Inputs!$B$35</f>
        <v>34</v>
      </c>
      <c r="AK1" s="8" t="n">
        <f aca="false">AJ1+Inputs!$B$35</f>
        <v>35</v>
      </c>
      <c r="AL1" s="8" t="n">
        <f aca="false">AK1+Inputs!$B$35</f>
        <v>36</v>
      </c>
      <c r="AM1" s="8" t="n">
        <f aca="false">AL1+Inputs!$B$35</f>
        <v>37</v>
      </c>
      <c r="AN1" s="8" t="n">
        <f aca="false">AM1+Inputs!$B$35</f>
        <v>38</v>
      </c>
      <c r="AO1" s="8" t="n">
        <f aca="false">AN1+Inputs!$B$35</f>
        <v>39</v>
      </c>
      <c r="AP1" s="8" t="n">
        <f aca="false">AO1+Inputs!$B$35</f>
        <v>40</v>
      </c>
      <c r="AQ1" s="8" t="n">
        <f aca="false">AP1+Inputs!$B$35</f>
        <v>41</v>
      </c>
      <c r="AR1" s="8" t="n">
        <f aca="false">AQ1+Inputs!$B$35</f>
        <v>42</v>
      </c>
      <c r="AS1" s="8" t="n">
        <f aca="false">AR1+Inputs!$B$35</f>
        <v>43</v>
      </c>
      <c r="AT1" s="8" t="n">
        <f aca="false">AS1+Inputs!$B$35</f>
        <v>44</v>
      </c>
      <c r="AU1" s="8" t="n">
        <f aca="false">AT1+Inputs!$B$35</f>
        <v>45</v>
      </c>
      <c r="AV1" s="8" t="n">
        <f aca="false">AU1+Inputs!$B$35</f>
        <v>46</v>
      </c>
      <c r="AW1" s="8" t="n">
        <f aca="false">AV1+Inputs!$B$35</f>
        <v>47</v>
      </c>
      <c r="AX1" s="8" t="n">
        <f aca="false">AW1+Inputs!$B$35</f>
        <v>48</v>
      </c>
      <c r="AY1" s="8" t="n">
        <f aca="false">AX1+Inputs!$B$35</f>
        <v>49</v>
      </c>
      <c r="AZ1" s="8" t="n">
        <f aca="false">AY1+Inputs!$B$35</f>
        <v>50</v>
      </c>
      <c r="BA1" s="8" t="n">
        <f aca="false">AZ1+Inputs!$B$35</f>
        <v>51</v>
      </c>
      <c r="BB1" s="8" t="n">
        <f aca="false">BA1+Inputs!$B$35</f>
        <v>52</v>
      </c>
      <c r="BC1" s="8" t="n">
        <f aca="false">BB1+Inputs!$B$35</f>
        <v>53</v>
      </c>
      <c r="BD1" s="8" t="n">
        <f aca="false">BC1+Inputs!$B$35</f>
        <v>54</v>
      </c>
      <c r="BE1" s="8" t="n">
        <f aca="false">BD1+Inputs!$B$35</f>
        <v>55</v>
      </c>
      <c r="BF1" s="8" t="n">
        <f aca="false">BE1+Inputs!$B$35</f>
        <v>56</v>
      </c>
      <c r="BG1" s="8" t="n">
        <f aca="false">BF1+Inputs!$B$35</f>
        <v>57</v>
      </c>
      <c r="BH1" s="8" t="n">
        <f aca="false">BG1+Inputs!$B$35</f>
        <v>58</v>
      </c>
      <c r="BI1" s="8" t="n">
        <f aca="false">BH1+Inputs!$B$35</f>
        <v>59</v>
      </c>
      <c r="BJ1" s="8" t="n">
        <f aca="false">BI1+Inputs!$B$35</f>
        <v>60</v>
      </c>
      <c r="BK1" s="8" t="n">
        <f aca="false">BJ1+Inputs!$B$35</f>
        <v>61</v>
      </c>
      <c r="BL1" s="8" t="n">
        <f aca="false">BK1+Inputs!$B$35</f>
        <v>62</v>
      </c>
      <c r="BM1" s="8" t="n">
        <f aca="false">BL1+Inputs!$B$35</f>
        <v>63</v>
      </c>
      <c r="BN1" s="8" t="n">
        <f aca="false">BM1+Inputs!$B$35</f>
        <v>64</v>
      </c>
      <c r="BO1" s="8" t="n">
        <f aca="false">BN1+Inputs!$B$35</f>
        <v>65</v>
      </c>
      <c r="BP1" s="8" t="n">
        <f aca="false">BO1+Inputs!$B$35</f>
        <v>66</v>
      </c>
      <c r="BQ1" s="8" t="n">
        <f aca="false">BP1+Inputs!$B$35</f>
        <v>67</v>
      </c>
      <c r="BR1" s="8" t="n">
        <f aca="false">BQ1+Inputs!$B$35</f>
        <v>68</v>
      </c>
      <c r="BS1" s="8" t="n">
        <f aca="false">BR1+Inputs!$B$35</f>
        <v>69</v>
      </c>
      <c r="BT1" s="8" t="n">
        <f aca="false">BS1+Inputs!$B$35</f>
        <v>70</v>
      </c>
      <c r="BU1" s="8" t="n">
        <f aca="false">BT1+Inputs!$B$35</f>
        <v>71</v>
      </c>
      <c r="BV1" s="8" t="n">
        <f aca="false">BU1+Inputs!$B$35</f>
        <v>72</v>
      </c>
      <c r="BW1" s="8" t="n">
        <f aca="false">BV1+Inputs!$B$35</f>
        <v>73</v>
      </c>
      <c r="BX1" s="8" t="n">
        <f aca="false">BW1+Inputs!$B$35</f>
        <v>74</v>
      </c>
      <c r="BY1" s="8" t="n">
        <f aca="false">BX1+Inputs!$B$35</f>
        <v>75</v>
      </c>
      <c r="BZ1" s="8" t="n">
        <f aca="false">BY1+Inputs!$B$35</f>
        <v>76</v>
      </c>
      <c r="CA1" s="8" t="n">
        <f aca="false">BZ1+Inputs!$B$35</f>
        <v>77</v>
      </c>
      <c r="CB1" s="8" t="n">
        <f aca="false">CA1+Inputs!$B$35</f>
        <v>78</v>
      </c>
      <c r="CC1" s="8" t="n">
        <f aca="false">CB1+Inputs!$B$35</f>
        <v>79</v>
      </c>
      <c r="CD1" s="8" t="n">
        <f aca="false">CC1+Inputs!$B$35</f>
        <v>80</v>
      </c>
      <c r="CE1" s="8" t="n">
        <f aca="false">CD1+Inputs!$B$35</f>
        <v>81</v>
      </c>
      <c r="CF1" s="8" t="n">
        <f aca="false">CE1+Inputs!$B$35</f>
        <v>82</v>
      </c>
      <c r="CG1" s="8" t="n">
        <f aca="false">CF1+Inputs!$B$35</f>
        <v>83</v>
      </c>
      <c r="CH1" s="8" t="n">
        <f aca="false">CG1+Inputs!$B$35</f>
        <v>84</v>
      </c>
      <c r="CI1" s="8" t="n">
        <f aca="false">CH1+Inputs!$B$35</f>
        <v>85</v>
      </c>
      <c r="CJ1" s="8" t="n">
        <f aca="false">CI1+Inputs!$B$35</f>
        <v>86</v>
      </c>
      <c r="CK1" s="8" t="n">
        <f aca="false">CJ1+Inputs!$B$35</f>
        <v>87</v>
      </c>
      <c r="CL1" s="8" t="n">
        <f aca="false">CK1+Inputs!$B$35</f>
        <v>88</v>
      </c>
      <c r="CM1" s="8" t="n">
        <f aca="false">CL1+Inputs!$B$35</f>
        <v>89</v>
      </c>
      <c r="CN1" s="8" t="n">
        <f aca="false">CM1+Inputs!$B$35</f>
        <v>90</v>
      </c>
      <c r="CO1" s="8" t="n">
        <f aca="false">CN1+Inputs!$B$35</f>
        <v>91</v>
      </c>
      <c r="CP1" s="8" t="n">
        <f aca="false">CO1+Inputs!$B$35</f>
        <v>92</v>
      </c>
      <c r="CQ1" s="8" t="n">
        <f aca="false">CP1+Inputs!$B$35</f>
        <v>93</v>
      </c>
      <c r="CR1" s="8" t="n">
        <f aca="false">CQ1+Inputs!$B$35</f>
        <v>94</v>
      </c>
      <c r="CS1" s="8" t="n">
        <f aca="false">CR1+Inputs!$B$35</f>
        <v>95</v>
      </c>
      <c r="CT1" s="8" t="n">
        <f aca="false">CS1+Inputs!$B$35</f>
        <v>96</v>
      </c>
      <c r="CU1" s="8" t="n">
        <f aca="false">CT1+Inputs!$B$35</f>
        <v>97</v>
      </c>
      <c r="CV1" s="8" t="n">
        <f aca="false">CU1+Inputs!$B$35</f>
        <v>98</v>
      </c>
      <c r="CW1" s="8" t="n">
        <f aca="false">CV1+Inputs!$B$35</f>
        <v>99</v>
      </c>
      <c r="CX1" s="8" t="n">
        <f aca="false">CW1+Inputs!$B$35</f>
        <v>100</v>
      </c>
      <c r="CY1" s="8" t="n">
        <f aca="false">CX1+Inputs!$B$35</f>
        <v>101</v>
      </c>
      <c r="CZ1" s="8" t="n">
        <f aca="false">CY1+Inputs!$B$35</f>
        <v>102</v>
      </c>
      <c r="DA1" s="8" t="n">
        <f aca="false">CZ1+Inputs!$B$35</f>
        <v>103</v>
      </c>
      <c r="DB1" s="8" t="n">
        <f aca="false">DA1+Inputs!$B$35</f>
        <v>104</v>
      </c>
      <c r="DC1" s="8" t="n">
        <f aca="false">DB1+Inputs!$B$35</f>
        <v>105</v>
      </c>
      <c r="DD1" s="8" t="n">
        <f aca="false">DC1+Inputs!$B$35</f>
        <v>106</v>
      </c>
      <c r="DE1" s="8" t="n">
        <f aca="false">DD1+Inputs!$B$35</f>
        <v>107</v>
      </c>
      <c r="DF1" s="8" t="n">
        <f aca="false">DE1+Inputs!$B$35</f>
        <v>108</v>
      </c>
      <c r="DG1" s="8" t="n">
        <f aca="false">DF1+Inputs!$B$35</f>
        <v>109</v>
      </c>
      <c r="DH1" s="8" t="n">
        <f aca="false">DG1+Inputs!$B$35</f>
        <v>110</v>
      </c>
      <c r="DI1" s="8" t="n">
        <f aca="false">DH1+Inputs!$B$35</f>
        <v>111</v>
      </c>
      <c r="DJ1" s="8" t="n">
        <f aca="false">DI1+Inputs!$B$35</f>
        <v>112</v>
      </c>
      <c r="DK1" s="8" t="n">
        <f aca="false">DJ1+Inputs!$B$35</f>
        <v>113</v>
      </c>
      <c r="DL1" s="8" t="n">
        <f aca="false">DK1+Inputs!$B$35</f>
        <v>114</v>
      </c>
      <c r="DM1" s="8" t="n">
        <f aca="false">DL1+Inputs!$B$35</f>
        <v>115</v>
      </c>
      <c r="DN1" s="8" t="n">
        <f aca="false">DM1+Inputs!$B$35</f>
        <v>116</v>
      </c>
      <c r="DO1" s="8" t="n">
        <f aca="false">DN1+Inputs!$B$35</f>
        <v>117</v>
      </c>
      <c r="DP1" s="8" t="n">
        <f aca="false">DO1+Inputs!$B$35</f>
        <v>118</v>
      </c>
      <c r="DQ1" s="8" t="n">
        <f aca="false">DP1+Inputs!$B$35</f>
        <v>119</v>
      </c>
      <c r="DR1" s="8" t="n">
        <f aca="false">DQ1+Inputs!$B$35</f>
        <v>120</v>
      </c>
    </row>
    <row r="2" customFormat="false" ht="15" hidden="false" customHeight="false" outlineLevel="0" collapsed="false">
      <c r="A2" s="9" t="s">
        <v>171</v>
      </c>
      <c r="B2" s="10" t="n">
        <f aca="false">ROUNDUP(B$1/Inputs!$B$2,Inputs!$B$34)</f>
        <v>0</v>
      </c>
      <c r="C2" s="10" t="n">
        <f aca="false">ROUNDUP(C$1/Inputs!$B$2,Inputs!$B$34)</f>
        <v>1</v>
      </c>
      <c r="D2" s="10" t="n">
        <f aca="false">ROUNDUP(D$1/Inputs!$B$2,Inputs!$B$34)</f>
        <v>1</v>
      </c>
      <c r="E2" s="10" t="n">
        <f aca="false">ROUNDUP(E$1/Inputs!$B$2,Inputs!$B$34)</f>
        <v>1</v>
      </c>
      <c r="F2" s="10" t="n">
        <f aca="false">ROUNDUP(F$1/Inputs!$B$2,Inputs!$B$34)</f>
        <v>1</v>
      </c>
      <c r="G2" s="10" t="n">
        <f aca="false">ROUNDUP(G$1/Inputs!$B$2,Inputs!$B$34)</f>
        <v>1</v>
      </c>
      <c r="H2" s="10" t="n">
        <f aca="false">ROUNDUP(H$1/Inputs!$B$2,Inputs!$B$34)</f>
        <v>1</v>
      </c>
      <c r="I2" s="10" t="n">
        <f aca="false">ROUNDUP(I$1/Inputs!$B$2,Inputs!$B$34)</f>
        <v>1</v>
      </c>
      <c r="J2" s="10" t="n">
        <f aca="false">ROUNDUP(J$1/Inputs!$B$2,Inputs!$B$34)</f>
        <v>1</v>
      </c>
      <c r="K2" s="10" t="n">
        <f aca="false">ROUNDUP(K$1/Inputs!$B$2,Inputs!$B$34)</f>
        <v>1</v>
      </c>
      <c r="L2" s="10" t="n">
        <f aca="false">ROUNDUP(L$1/Inputs!$B$2,Inputs!$B$34)</f>
        <v>1</v>
      </c>
      <c r="M2" s="10" t="n">
        <f aca="false">ROUNDUP(M$1/Inputs!$B$2,Inputs!$B$34)</f>
        <v>1</v>
      </c>
      <c r="N2" s="10" t="n">
        <f aca="false">ROUNDUP(N$1/Inputs!$B$2,Inputs!$B$34)</f>
        <v>1</v>
      </c>
      <c r="O2" s="10" t="n">
        <f aca="false">ROUNDUP(O$1/Inputs!$B$2,Inputs!$B$34)</f>
        <v>2</v>
      </c>
      <c r="P2" s="10" t="n">
        <f aca="false">ROUNDUP(P$1/Inputs!$B$2,Inputs!$B$34)</f>
        <v>2</v>
      </c>
      <c r="Q2" s="10" t="n">
        <f aca="false">ROUNDUP(Q$1/Inputs!$B$2,Inputs!$B$34)</f>
        <v>2</v>
      </c>
      <c r="R2" s="10" t="n">
        <f aca="false">ROUNDUP(R$1/Inputs!$B$2,Inputs!$B$34)</f>
        <v>2</v>
      </c>
      <c r="S2" s="10" t="n">
        <f aca="false">ROUNDUP(S$1/Inputs!$B$2,Inputs!$B$34)</f>
        <v>2</v>
      </c>
      <c r="T2" s="10" t="n">
        <f aca="false">ROUNDUP(T$1/Inputs!$B$2,Inputs!$B$34)</f>
        <v>2</v>
      </c>
      <c r="U2" s="10" t="n">
        <f aca="false">ROUNDUP(U$1/Inputs!$B$2,Inputs!$B$34)</f>
        <v>2</v>
      </c>
      <c r="V2" s="10" t="n">
        <f aca="false">ROUNDUP(V$1/Inputs!$B$2,Inputs!$B$34)</f>
        <v>2</v>
      </c>
      <c r="W2" s="10" t="n">
        <f aca="false">ROUNDUP(W$1/Inputs!$B$2,Inputs!$B$34)</f>
        <v>2</v>
      </c>
      <c r="X2" s="10" t="n">
        <f aca="false">ROUNDUP(X$1/Inputs!$B$2,Inputs!$B$34)</f>
        <v>2</v>
      </c>
      <c r="Y2" s="10" t="n">
        <f aca="false">ROUNDUP(Y$1/Inputs!$B$2,Inputs!$B$34)</f>
        <v>2</v>
      </c>
      <c r="Z2" s="10" t="n">
        <f aca="false">ROUNDUP(Z$1/Inputs!$B$2,Inputs!$B$34)</f>
        <v>2</v>
      </c>
      <c r="AA2" s="10" t="n">
        <f aca="false">ROUNDUP(AA$1/Inputs!$B$2,Inputs!$B$34)</f>
        <v>3</v>
      </c>
      <c r="AB2" s="10" t="n">
        <f aca="false">ROUNDUP(AB$1/Inputs!$B$2,Inputs!$B$34)</f>
        <v>3</v>
      </c>
      <c r="AC2" s="10" t="n">
        <f aca="false">ROUNDUP(AC$1/Inputs!$B$2,Inputs!$B$34)</f>
        <v>3</v>
      </c>
      <c r="AD2" s="10" t="n">
        <f aca="false">ROUNDUP(AD$1/Inputs!$B$2,Inputs!$B$34)</f>
        <v>3</v>
      </c>
      <c r="AE2" s="10" t="n">
        <f aca="false">ROUNDUP(AE$1/Inputs!$B$2,Inputs!$B$34)</f>
        <v>3</v>
      </c>
      <c r="AF2" s="10" t="n">
        <f aca="false">ROUNDUP(AF$1/Inputs!$B$2,Inputs!$B$34)</f>
        <v>3</v>
      </c>
      <c r="AG2" s="10" t="n">
        <f aca="false">ROUNDUP(AG$1/Inputs!$B$2,Inputs!$B$34)</f>
        <v>3</v>
      </c>
      <c r="AH2" s="10" t="n">
        <f aca="false">ROUNDUP(AH$1/Inputs!$B$2,Inputs!$B$34)</f>
        <v>3</v>
      </c>
      <c r="AI2" s="10" t="n">
        <f aca="false">ROUNDUP(AI$1/Inputs!$B$2,Inputs!$B$34)</f>
        <v>3</v>
      </c>
      <c r="AJ2" s="10" t="n">
        <f aca="false">ROUNDUP(AJ$1/Inputs!$B$2,Inputs!$B$34)</f>
        <v>3</v>
      </c>
      <c r="AK2" s="10" t="n">
        <f aca="false">ROUNDUP(AK$1/Inputs!$B$2,Inputs!$B$34)</f>
        <v>3</v>
      </c>
      <c r="AL2" s="10" t="n">
        <f aca="false">ROUNDUP(AL$1/Inputs!$B$2,Inputs!$B$34)</f>
        <v>3</v>
      </c>
      <c r="AM2" s="10" t="n">
        <f aca="false">ROUNDUP(AM$1/Inputs!$B$2,Inputs!$B$34)</f>
        <v>4</v>
      </c>
      <c r="AN2" s="10" t="n">
        <f aca="false">ROUNDUP(AN$1/Inputs!$B$2,Inputs!$B$34)</f>
        <v>4</v>
      </c>
      <c r="AO2" s="10" t="n">
        <f aca="false">ROUNDUP(AO$1/Inputs!$B$2,Inputs!$B$34)</f>
        <v>4</v>
      </c>
      <c r="AP2" s="10" t="n">
        <f aca="false">ROUNDUP(AP$1/Inputs!$B$2,Inputs!$B$34)</f>
        <v>4</v>
      </c>
      <c r="AQ2" s="10" t="n">
        <f aca="false">ROUNDUP(AQ$1/Inputs!$B$2,Inputs!$B$34)</f>
        <v>4</v>
      </c>
      <c r="AR2" s="10" t="n">
        <f aca="false">ROUNDUP(AR$1/Inputs!$B$2,Inputs!$B$34)</f>
        <v>4</v>
      </c>
      <c r="AS2" s="10" t="n">
        <f aca="false">ROUNDUP(AS$1/Inputs!$B$2,Inputs!$B$34)</f>
        <v>4</v>
      </c>
      <c r="AT2" s="10" t="n">
        <f aca="false">ROUNDUP(AT$1/Inputs!$B$2,Inputs!$B$34)</f>
        <v>4</v>
      </c>
      <c r="AU2" s="10" t="n">
        <f aca="false">ROUNDUP(AU$1/Inputs!$B$2,Inputs!$B$34)</f>
        <v>4</v>
      </c>
      <c r="AV2" s="10" t="n">
        <f aca="false">ROUNDUP(AV$1/Inputs!$B$2,Inputs!$B$34)</f>
        <v>4</v>
      </c>
      <c r="AW2" s="10" t="n">
        <f aca="false">ROUNDUP(AW$1/Inputs!$B$2,Inputs!$B$34)</f>
        <v>4</v>
      </c>
      <c r="AX2" s="10" t="n">
        <f aca="false">ROUNDUP(AX$1/Inputs!$B$2,Inputs!$B$34)</f>
        <v>4</v>
      </c>
      <c r="AY2" s="10" t="n">
        <f aca="false">ROUNDUP(AY$1/Inputs!$B$2,Inputs!$B$34)</f>
        <v>5</v>
      </c>
      <c r="AZ2" s="10" t="n">
        <f aca="false">ROUNDUP(AZ$1/Inputs!$B$2,Inputs!$B$34)</f>
        <v>5</v>
      </c>
      <c r="BA2" s="10" t="n">
        <f aca="false">ROUNDUP(BA$1/Inputs!$B$2,Inputs!$B$34)</f>
        <v>5</v>
      </c>
      <c r="BB2" s="10" t="n">
        <f aca="false">ROUNDUP(BB$1/Inputs!$B$2,Inputs!$B$34)</f>
        <v>5</v>
      </c>
      <c r="BC2" s="10" t="n">
        <f aca="false">ROUNDUP(BC$1/Inputs!$B$2,Inputs!$B$34)</f>
        <v>5</v>
      </c>
      <c r="BD2" s="10" t="n">
        <f aca="false">ROUNDUP(BD$1/Inputs!$B$2,Inputs!$B$34)</f>
        <v>5</v>
      </c>
      <c r="BE2" s="10" t="n">
        <f aca="false">ROUNDUP(BE$1/Inputs!$B$2,Inputs!$B$34)</f>
        <v>5</v>
      </c>
      <c r="BF2" s="10" t="n">
        <f aca="false">ROUNDUP(BF$1/Inputs!$B$2,Inputs!$B$34)</f>
        <v>5</v>
      </c>
      <c r="BG2" s="10" t="n">
        <f aca="false">ROUNDUP(BG$1/Inputs!$B$2,Inputs!$B$34)</f>
        <v>5</v>
      </c>
      <c r="BH2" s="10" t="n">
        <f aca="false">ROUNDUP(BH$1/Inputs!$B$2,Inputs!$B$34)</f>
        <v>5</v>
      </c>
      <c r="BI2" s="10" t="n">
        <f aca="false">ROUNDUP(BI$1/Inputs!$B$2,Inputs!$B$34)</f>
        <v>5</v>
      </c>
      <c r="BJ2" s="10" t="n">
        <f aca="false">ROUNDUP(BJ$1/Inputs!$B$2,Inputs!$B$34)</f>
        <v>5</v>
      </c>
      <c r="BK2" s="10" t="n">
        <f aca="false">ROUNDUP(BK$1/Inputs!$B$2,Inputs!$B$34)</f>
        <v>6</v>
      </c>
      <c r="BL2" s="10" t="n">
        <f aca="false">ROUNDUP(BL$1/Inputs!$B$2,Inputs!$B$34)</f>
        <v>6</v>
      </c>
      <c r="BM2" s="10" t="n">
        <f aca="false">ROUNDUP(BM$1/Inputs!$B$2,Inputs!$B$34)</f>
        <v>6</v>
      </c>
      <c r="BN2" s="10" t="n">
        <f aca="false">ROUNDUP(BN$1/Inputs!$B$2,Inputs!$B$34)</f>
        <v>6</v>
      </c>
      <c r="BO2" s="10" t="n">
        <f aca="false">ROUNDUP(BO$1/Inputs!$B$2,Inputs!$B$34)</f>
        <v>6</v>
      </c>
      <c r="BP2" s="10" t="n">
        <f aca="false">ROUNDUP(BP$1/Inputs!$B$2,Inputs!$B$34)</f>
        <v>6</v>
      </c>
      <c r="BQ2" s="10" t="n">
        <f aca="false">ROUNDUP(BQ$1/Inputs!$B$2,Inputs!$B$34)</f>
        <v>6</v>
      </c>
      <c r="BR2" s="10" t="n">
        <f aca="false">ROUNDUP(BR$1/Inputs!$B$2,Inputs!$B$34)</f>
        <v>6</v>
      </c>
      <c r="BS2" s="10" t="n">
        <f aca="false">ROUNDUP(BS$1/Inputs!$B$2,Inputs!$B$34)</f>
        <v>6</v>
      </c>
      <c r="BT2" s="10" t="n">
        <f aca="false">ROUNDUP(BT$1/Inputs!$B$2,Inputs!$B$34)</f>
        <v>6</v>
      </c>
      <c r="BU2" s="10" t="n">
        <f aca="false">ROUNDUP(BU$1/Inputs!$B$2,Inputs!$B$34)</f>
        <v>6</v>
      </c>
      <c r="BV2" s="10" t="n">
        <f aca="false">ROUNDUP(BV$1/Inputs!$B$2,Inputs!$B$34)</f>
        <v>6</v>
      </c>
      <c r="BW2" s="10" t="n">
        <f aca="false">ROUNDUP(BW$1/Inputs!$B$2,Inputs!$B$34)</f>
        <v>7</v>
      </c>
      <c r="BX2" s="10" t="n">
        <f aca="false">ROUNDUP(BX$1/Inputs!$B$2,Inputs!$B$34)</f>
        <v>7</v>
      </c>
      <c r="BY2" s="10" t="n">
        <f aca="false">ROUNDUP(BY$1/Inputs!$B$2,Inputs!$B$34)</f>
        <v>7</v>
      </c>
      <c r="BZ2" s="10" t="n">
        <f aca="false">ROUNDUP(BZ$1/Inputs!$B$2,Inputs!$B$34)</f>
        <v>7</v>
      </c>
      <c r="CA2" s="10" t="n">
        <f aca="false">ROUNDUP(CA$1/Inputs!$B$2,Inputs!$B$34)</f>
        <v>7</v>
      </c>
      <c r="CB2" s="10" t="n">
        <f aca="false">ROUNDUP(CB$1/Inputs!$B$2,Inputs!$B$34)</f>
        <v>7</v>
      </c>
      <c r="CC2" s="10" t="n">
        <f aca="false">ROUNDUP(CC$1/Inputs!$B$2,Inputs!$B$34)</f>
        <v>7</v>
      </c>
      <c r="CD2" s="10" t="n">
        <f aca="false">ROUNDUP(CD$1/Inputs!$B$2,Inputs!$B$34)</f>
        <v>7</v>
      </c>
      <c r="CE2" s="10" t="n">
        <f aca="false">ROUNDUP(CE$1/Inputs!$B$2,Inputs!$B$34)</f>
        <v>7</v>
      </c>
      <c r="CF2" s="10" t="n">
        <f aca="false">ROUNDUP(CF$1/Inputs!$B$2,Inputs!$B$34)</f>
        <v>7</v>
      </c>
      <c r="CG2" s="10" t="n">
        <f aca="false">ROUNDUP(CG$1/Inputs!$B$2,Inputs!$B$34)</f>
        <v>7</v>
      </c>
      <c r="CH2" s="10" t="n">
        <f aca="false">ROUNDUP(CH$1/Inputs!$B$2,Inputs!$B$34)</f>
        <v>7</v>
      </c>
      <c r="CI2" s="10" t="n">
        <f aca="false">ROUNDUP(CI$1/Inputs!$B$2,Inputs!$B$34)</f>
        <v>8</v>
      </c>
      <c r="CJ2" s="10" t="n">
        <f aca="false">ROUNDUP(CJ$1/Inputs!$B$2,Inputs!$B$34)</f>
        <v>8</v>
      </c>
      <c r="CK2" s="10" t="n">
        <f aca="false">ROUNDUP(CK$1/Inputs!$B$2,Inputs!$B$34)</f>
        <v>8</v>
      </c>
      <c r="CL2" s="10" t="n">
        <f aca="false">ROUNDUP(CL$1/Inputs!$B$2,Inputs!$B$34)</f>
        <v>8</v>
      </c>
      <c r="CM2" s="10" t="n">
        <f aca="false">ROUNDUP(CM$1/Inputs!$B$2,Inputs!$B$34)</f>
        <v>8</v>
      </c>
      <c r="CN2" s="10" t="n">
        <f aca="false">ROUNDUP(CN$1/Inputs!$B$2,Inputs!$B$34)</f>
        <v>8</v>
      </c>
      <c r="CO2" s="10" t="n">
        <f aca="false">ROUNDUP(CO$1/Inputs!$B$2,Inputs!$B$34)</f>
        <v>8</v>
      </c>
      <c r="CP2" s="10" t="n">
        <f aca="false">ROUNDUP(CP$1/Inputs!$B$2,Inputs!$B$34)</f>
        <v>8</v>
      </c>
      <c r="CQ2" s="10" t="n">
        <f aca="false">ROUNDUP(CQ$1/Inputs!$B$2,Inputs!$B$34)</f>
        <v>8</v>
      </c>
      <c r="CR2" s="10" t="n">
        <f aca="false">ROUNDUP(CR$1/Inputs!$B$2,Inputs!$B$34)</f>
        <v>8</v>
      </c>
      <c r="CS2" s="10" t="n">
        <f aca="false">ROUNDUP(CS$1/Inputs!$B$2,Inputs!$B$34)</f>
        <v>8</v>
      </c>
      <c r="CT2" s="10" t="n">
        <f aca="false">ROUNDUP(CT$1/Inputs!$B$2,Inputs!$B$34)</f>
        <v>8</v>
      </c>
      <c r="CU2" s="10" t="n">
        <f aca="false">ROUNDUP(CU$1/Inputs!$B$2,Inputs!$B$34)</f>
        <v>9</v>
      </c>
      <c r="CV2" s="10" t="n">
        <f aca="false">ROUNDUP(CV$1/Inputs!$B$2,Inputs!$B$34)</f>
        <v>9</v>
      </c>
      <c r="CW2" s="10" t="n">
        <f aca="false">ROUNDUP(CW$1/Inputs!$B$2,Inputs!$B$34)</f>
        <v>9</v>
      </c>
      <c r="CX2" s="10" t="n">
        <f aca="false">ROUNDUP(CX$1/Inputs!$B$2,Inputs!$B$34)</f>
        <v>9</v>
      </c>
      <c r="CY2" s="10" t="n">
        <f aca="false">ROUNDUP(CY$1/Inputs!$B$2,Inputs!$B$34)</f>
        <v>9</v>
      </c>
      <c r="CZ2" s="10" t="n">
        <f aca="false">ROUNDUP(CZ$1/Inputs!$B$2,Inputs!$B$34)</f>
        <v>9</v>
      </c>
      <c r="DA2" s="10" t="n">
        <f aca="false">ROUNDUP(DA$1/Inputs!$B$2,Inputs!$B$34)</f>
        <v>9</v>
      </c>
      <c r="DB2" s="10" t="n">
        <f aca="false">ROUNDUP(DB$1/Inputs!$B$2,Inputs!$B$34)</f>
        <v>9</v>
      </c>
      <c r="DC2" s="10" t="n">
        <f aca="false">ROUNDUP(DC$1/Inputs!$B$2,Inputs!$B$34)</f>
        <v>9</v>
      </c>
      <c r="DD2" s="10" t="n">
        <f aca="false">ROUNDUP(DD$1/Inputs!$B$2,Inputs!$B$34)</f>
        <v>9</v>
      </c>
      <c r="DE2" s="10" t="n">
        <f aca="false">ROUNDUP(DE$1/Inputs!$B$2,Inputs!$B$34)</f>
        <v>9</v>
      </c>
      <c r="DF2" s="10" t="n">
        <f aca="false">ROUNDUP(DF$1/Inputs!$B$2,Inputs!$B$34)</f>
        <v>9</v>
      </c>
      <c r="DG2" s="10" t="n">
        <f aca="false">ROUNDUP(DG$1/Inputs!$B$2,Inputs!$B$34)</f>
        <v>10</v>
      </c>
      <c r="DH2" s="10" t="n">
        <f aca="false">ROUNDUP(DH$1/Inputs!$B$2,Inputs!$B$34)</f>
        <v>10</v>
      </c>
      <c r="DI2" s="10" t="n">
        <f aca="false">ROUNDUP(DI$1/Inputs!$B$2,Inputs!$B$34)</f>
        <v>10</v>
      </c>
      <c r="DJ2" s="10" t="n">
        <f aca="false">ROUNDUP(DJ$1/Inputs!$B$2,Inputs!$B$34)</f>
        <v>10</v>
      </c>
      <c r="DK2" s="10" t="n">
        <f aca="false">ROUNDUP(DK$1/Inputs!$B$2,Inputs!$B$34)</f>
        <v>10</v>
      </c>
      <c r="DL2" s="10" t="n">
        <f aca="false">ROUNDUP(DL$1/Inputs!$B$2,Inputs!$B$34)</f>
        <v>10</v>
      </c>
      <c r="DM2" s="10" t="n">
        <f aca="false">ROUNDUP(DM$1/Inputs!$B$2,Inputs!$B$34)</f>
        <v>10</v>
      </c>
      <c r="DN2" s="10" t="n">
        <f aca="false">ROUNDUP(DN$1/Inputs!$B$2,Inputs!$B$34)</f>
        <v>10</v>
      </c>
      <c r="DO2" s="10" t="n">
        <f aca="false">ROUNDUP(DO$1/Inputs!$B$2,Inputs!$B$34)</f>
        <v>10</v>
      </c>
      <c r="DP2" s="10" t="n">
        <f aca="false">ROUNDUP(DP$1/Inputs!$B$2,Inputs!$B$34)</f>
        <v>10</v>
      </c>
      <c r="DQ2" s="10" t="n">
        <f aca="false">ROUNDUP(DQ$1/Inputs!$B$2,Inputs!$B$34)</f>
        <v>10</v>
      </c>
      <c r="DR2" s="10" t="n">
        <f aca="false">ROUNDUP(DR$1/Inputs!$B$2,Inputs!$B$34)</f>
        <v>10</v>
      </c>
    </row>
    <row r="3" customFormat="false" ht="15" hidden="false" customHeight="false" outlineLevel="0" collapsed="false">
      <c r="A3" s="9" t="s">
        <v>172</v>
      </c>
      <c r="B3" s="10" t="n">
        <f aca="false">IF(B$1=Inputs!$B$34,Inputs!$B$34,(IF((B$1-Inputs!$B$31)&lt;Inputs!$B$25,Inputs!$B$34,IF((B$1-Inputs!$B$31)&lt;Inputs!$B$26,Inputs!$B$28,IF((B$1-Inputs!$B$31)&lt;Inputs!$B$27,Inputs!$B$29,Streams!$E$15))))*Inputs!$B$30)</f>
        <v>0</v>
      </c>
      <c r="C3" s="10" t="n">
        <f aca="false">IF(C$1=Inputs!$B$34,Inputs!$B$34,(IF((C$1-Inputs!$B$31)&lt;Inputs!$B$25,Inputs!$B$34,IF((C$1-Inputs!$B$31)&lt;Inputs!$B$26,Inputs!$B$28,IF((C$1-Inputs!$B$31)&lt;Inputs!$B$27,Inputs!$B$29,Streams!$E$15))))*Inputs!$B$30)</f>
        <v>0</v>
      </c>
      <c r="D3" s="10" t="n">
        <f aca="false">IF(D$1=Inputs!$B$34,Inputs!$B$34,(IF((D$1-Inputs!$B$31)&lt;Inputs!$B$25,Inputs!$B$34,IF((D$1-Inputs!$B$31)&lt;Inputs!$B$26,Inputs!$B$28,IF((D$1-Inputs!$B$31)&lt;Inputs!$B$27,Inputs!$B$29,Streams!$E$15))))*Inputs!$B$30)</f>
        <v>0</v>
      </c>
      <c r="E3" s="10" t="n">
        <f aca="false">IF(E$1=Inputs!$B$34,Inputs!$B$34,(IF((E$1-Inputs!$B$31)&lt;Inputs!$B$25,Inputs!$B$34,IF((E$1-Inputs!$B$31)&lt;Inputs!$B$26,Inputs!$B$28,IF((E$1-Inputs!$B$31)&lt;Inputs!$B$27,Inputs!$B$29,Streams!$E$15))))*Inputs!$B$30)</f>
        <v>0</v>
      </c>
      <c r="F3" s="10" t="n">
        <f aca="false">IF(F$1=Inputs!$B$34,Inputs!$B$34,(IF((F$1-Inputs!$B$31)&lt;Inputs!$B$25,Inputs!$B$34,IF((F$1-Inputs!$B$31)&lt;Inputs!$B$26,Inputs!$B$28,IF((F$1-Inputs!$B$31)&lt;Inputs!$B$27,Inputs!$B$29,Streams!$E$15))))*Inputs!$B$30)</f>
        <v>0</v>
      </c>
      <c r="G3" s="10" t="n">
        <f aca="false">IF(G$1=Inputs!$B$34,Inputs!$B$34,(IF((G$1-Inputs!$B$31)&lt;Inputs!$B$25,Inputs!$B$34,IF((G$1-Inputs!$B$31)&lt;Inputs!$B$26,Inputs!$B$28,IF((G$1-Inputs!$B$31)&lt;Inputs!$B$27,Inputs!$B$29,Streams!$E$15))))*Inputs!$B$30)</f>
        <v>0</v>
      </c>
      <c r="H3" s="10" t="n">
        <f aca="false">IF(H$1=Inputs!$B$34,Inputs!$B$34,(IF((H$1-Inputs!$B$31)&lt;Inputs!$B$25,Inputs!$B$34,IF((H$1-Inputs!$B$31)&lt;Inputs!$B$26,Inputs!$B$28,IF((H$1-Inputs!$B$31)&lt;Inputs!$B$27,Inputs!$B$29,Streams!$E$15))))*Inputs!$B$30)</f>
        <v>0</v>
      </c>
      <c r="I3" s="10" t="n">
        <f aca="false">IF(I$1=Inputs!$B$34,Inputs!$B$34,(IF((I$1-Inputs!$B$31)&lt;Inputs!$B$25,Inputs!$B$34,IF((I$1-Inputs!$B$31)&lt;Inputs!$B$26,Inputs!$B$28,IF((I$1-Inputs!$B$31)&lt;Inputs!$B$27,Inputs!$B$29,Streams!$E$15))))*Inputs!$B$30)</f>
        <v>0</v>
      </c>
      <c r="J3" s="10" t="n">
        <f aca="false">IF(J$1=Inputs!$B$34,Inputs!$B$34,(IF((J$1-Inputs!$B$31)&lt;Inputs!$B$25,Inputs!$B$34,IF((J$1-Inputs!$B$31)&lt;Inputs!$B$26,Inputs!$B$28,IF((J$1-Inputs!$B$31)&lt;Inputs!$B$27,Inputs!$B$29,Streams!$E$15))))*Inputs!$B$30)</f>
        <v>0</v>
      </c>
      <c r="K3" s="10" t="n">
        <f aca="false">IF(K$1=Inputs!$B$34,Inputs!$B$34,(IF((K$1-Inputs!$B$31)&lt;Inputs!$B$25,Inputs!$B$34,IF((K$1-Inputs!$B$31)&lt;Inputs!$B$26,Inputs!$B$28,IF((K$1-Inputs!$B$31)&lt;Inputs!$B$27,Inputs!$B$29,Streams!$E$15))))*Inputs!$B$30)</f>
        <v>9</v>
      </c>
      <c r="L3" s="10" t="n">
        <f aca="false">IF(L$1=Inputs!$B$34,Inputs!$B$34,(IF((L$1-Inputs!$B$31)&lt;Inputs!$B$25,Inputs!$B$34,IF((L$1-Inputs!$B$31)&lt;Inputs!$B$26,Inputs!$B$28,IF((L$1-Inputs!$B$31)&lt;Inputs!$B$27,Inputs!$B$29,Streams!$E$15))))*Inputs!$B$30)</f>
        <v>9</v>
      </c>
      <c r="M3" s="10" t="n">
        <f aca="false">IF(M$1=Inputs!$B$34,Inputs!$B$34,(IF((M$1-Inputs!$B$31)&lt;Inputs!$B$25,Inputs!$B$34,IF((M$1-Inputs!$B$31)&lt;Inputs!$B$26,Inputs!$B$28,IF((M$1-Inputs!$B$31)&lt;Inputs!$B$27,Inputs!$B$29,Streams!$E$15))))*Inputs!$B$30)</f>
        <v>9</v>
      </c>
      <c r="N3" s="10" t="n">
        <f aca="false">IF(N$1=Inputs!$B$34,Inputs!$B$34,(IF((N$1-Inputs!$B$31)&lt;Inputs!$B$25,Inputs!$B$34,IF((N$1-Inputs!$B$31)&lt;Inputs!$B$26,Inputs!$B$28,IF((N$1-Inputs!$B$31)&lt;Inputs!$B$27,Inputs!$B$29,Streams!$E$15))))*Inputs!$B$30)</f>
        <v>15</v>
      </c>
      <c r="O3" s="10" t="n">
        <f aca="false">IF(O$1=Inputs!$B$34,Inputs!$B$34,(IF((O$1-Inputs!$B$31)&lt;Inputs!$B$25,Inputs!$B$34,IF((O$1-Inputs!$B$31)&lt;Inputs!$B$26,Inputs!$B$28,IF((O$1-Inputs!$B$31)&lt;Inputs!$B$27,Inputs!$B$29,Streams!$E$15))))*Inputs!$B$30)</f>
        <v>15</v>
      </c>
      <c r="P3" s="10" t="n">
        <f aca="false">IF(P$1=Inputs!$B$34,Inputs!$B$34,(IF((P$1-Inputs!$B$31)&lt;Inputs!$B$25,Inputs!$B$34,IF((P$1-Inputs!$B$31)&lt;Inputs!$B$26,Inputs!$B$28,IF((P$1-Inputs!$B$31)&lt;Inputs!$B$27,Inputs!$B$29,Streams!$E$15))))*Inputs!$B$30)</f>
        <v>15</v>
      </c>
      <c r="Q3" s="10" t="n">
        <f aca="false">IF(Q$1=Inputs!$B$34,Inputs!$B$34,(IF((Q$1-Inputs!$B$31)&lt;Inputs!$B$25,Inputs!$B$34,IF((Q$1-Inputs!$B$31)&lt;Inputs!$B$26,Inputs!$B$28,IF((Q$1-Inputs!$B$31)&lt;Inputs!$B$27,Inputs!$B$29,Streams!$E$15))))*Inputs!$B$30)</f>
        <v>21</v>
      </c>
      <c r="R3" s="10" t="n">
        <f aca="false">IF(R$1=Inputs!$B$34,Inputs!$B$34,(IF((R$1-Inputs!$B$31)&lt;Inputs!$B$25,Inputs!$B$34,IF((R$1-Inputs!$B$31)&lt;Inputs!$B$26,Inputs!$B$28,IF((R$1-Inputs!$B$31)&lt;Inputs!$B$27,Inputs!$B$29,Streams!$E$15))))*Inputs!$B$30)</f>
        <v>21</v>
      </c>
      <c r="S3" s="10" t="n">
        <f aca="false">IF(S$1=Inputs!$B$34,Inputs!$B$34,(IF((S$1-Inputs!$B$31)&lt;Inputs!$B$25,Inputs!$B$34,IF((S$1-Inputs!$B$31)&lt;Inputs!$B$26,Inputs!$B$28,IF((S$1-Inputs!$B$31)&lt;Inputs!$B$27,Inputs!$B$29,Streams!$E$15))))*Inputs!$B$30)</f>
        <v>21</v>
      </c>
      <c r="T3" s="10" t="n">
        <f aca="false">IF(T$1=Inputs!$B$34,Inputs!$B$34,(IF((T$1-Inputs!$B$31)&lt;Inputs!$B$25,Inputs!$B$34,IF((T$1-Inputs!$B$31)&lt;Inputs!$B$26,Inputs!$B$28,IF((T$1-Inputs!$B$31)&lt;Inputs!$B$27,Inputs!$B$29,Streams!$E$15))))*Inputs!$B$30)</f>
        <v>21</v>
      </c>
      <c r="U3" s="10" t="n">
        <f aca="false">IF(U$1=Inputs!$B$34,Inputs!$B$34,(IF((U$1-Inputs!$B$31)&lt;Inputs!$B$25,Inputs!$B$34,IF((U$1-Inputs!$B$31)&lt;Inputs!$B$26,Inputs!$B$28,IF((U$1-Inputs!$B$31)&lt;Inputs!$B$27,Inputs!$B$29,Streams!$E$15))))*Inputs!$B$30)</f>
        <v>21</v>
      </c>
      <c r="V3" s="10" t="n">
        <f aca="false">IF(V$1=Inputs!$B$34,Inputs!$B$34,(IF((V$1-Inputs!$B$31)&lt;Inputs!$B$25,Inputs!$B$34,IF((V$1-Inputs!$B$31)&lt;Inputs!$B$26,Inputs!$B$28,IF((V$1-Inputs!$B$31)&lt;Inputs!$B$27,Inputs!$B$29,Streams!$E$15))))*Inputs!$B$30)</f>
        <v>21</v>
      </c>
      <c r="W3" s="10" t="n">
        <f aca="false">IF(W$1=Inputs!$B$34,Inputs!$B$34,(IF((W$1-Inputs!$B$31)&lt;Inputs!$B$25,Inputs!$B$34,IF((W$1-Inputs!$B$31)&lt;Inputs!$B$26,Inputs!$B$28,IF((W$1-Inputs!$B$31)&lt;Inputs!$B$27,Inputs!$B$29,Streams!$E$15))))*Inputs!$B$30)</f>
        <v>21</v>
      </c>
      <c r="X3" s="10" t="n">
        <f aca="false">IF(X$1=Inputs!$B$34,Inputs!$B$34,(IF((X$1-Inputs!$B$31)&lt;Inputs!$B$25,Inputs!$B$34,IF((X$1-Inputs!$B$31)&lt;Inputs!$B$26,Inputs!$B$28,IF((X$1-Inputs!$B$31)&lt;Inputs!$B$27,Inputs!$B$29,Streams!$E$15))))*Inputs!$B$30)</f>
        <v>21</v>
      </c>
      <c r="Y3" s="10" t="n">
        <f aca="false">IF(Y$1=Inputs!$B$34,Inputs!$B$34,(IF((Y$1-Inputs!$B$31)&lt;Inputs!$B$25,Inputs!$B$34,IF((Y$1-Inputs!$B$31)&lt;Inputs!$B$26,Inputs!$B$28,IF((Y$1-Inputs!$B$31)&lt;Inputs!$B$27,Inputs!$B$29,Streams!$E$15))))*Inputs!$B$30)</f>
        <v>21</v>
      </c>
      <c r="Z3" s="10" t="n">
        <f aca="false">IF(Z$1=Inputs!$B$34,Inputs!$B$34,(IF((Z$1-Inputs!$B$31)&lt;Inputs!$B$25,Inputs!$B$34,IF((Z$1-Inputs!$B$31)&lt;Inputs!$B$26,Inputs!$B$28,IF((Z$1-Inputs!$B$31)&lt;Inputs!$B$27,Inputs!$B$29,Streams!$E$15))))*Inputs!$B$30)</f>
        <v>21</v>
      </c>
      <c r="AA3" s="10" t="n">
        <f aca="false">IF(AA$1=Inputs!$B$34,Inputs!$B$34,(IF((AA$1-Inputs!$B$31)&lt;Inputs!$B$25,Inputs!$B$34,IF((AA$1-Inputs!$B$31)&lt;Inputs!$B$26,Inputs!$B$28,IF((AA$1-Inputs!$B$31)&lt;Inputs!$B$27,Inputs!$B$29,Streams!$E$15))))*Inputs!$B$30)</f>
        <v>21</v>
      </c>
      <c r="AB3" s="10" t="n">
        <f aca="false">IF(AB$1=Inputs!$B$34,Inputs!$B$34,(IF((AB$1-Inputs!$B$31)&lt;Inputs!$B$25,Inputs!$B$34,IF((AB$1-Inputs!$B$31)&lt;Inputs!$B$26,Inputs!$B$28,IF((AB$1-Inputs!$B$31)&lt;Inputs!$B$27,Inputs!$B$29,Streams!$E$15))))*Inputs!$B$30)</f>
        <v>21</v>
      </c>
      <c r="AC3" s="10" t="n">
        <f aca="false">IF(AC$1=Inputs!$B$34,Inputs!$B$34,(IF((AC$1-Inputs!$B$31)&lt;Inputs!$B$25,Inputs!$B$34,IF((AC$1-Inputs!$B$31)&lt;Inputs!$B$26,Inputs!$B$28,IF((AC$1-Inputs!$B$31)&lt;Inputs!$B$27,Inputs!$B$29,Streams!$E$15))))*Inputs!$B$30)</f>
        <v>21</v>
      </c>
      <c r="AD3" s="10" t="n">
        <f aca="false">IF(AD$1=Inputs!$B$34,Inputs!$B$34,(IF((AD$1-Inputs!$B$31)&lt;Inputs!$B$25,Inputs!$B$34,IF((AD$1-Inputs!$B$31)&lt;Inputs!$B$26,Inputs!$B$28,IF((AD$1-Inputs!$B$31)&lt;Inputs!$B$27,Inputs!$B$29,Streams!$E$15))))*Inputs!$B$30)</f>
        <v>21</v>
      </c>
      <c r="AE3" s="10" t="n">
        <f aca="false">IF(AE$1=Inputs!$B$34,Inputs!$B$34,(IF((AE$1-Inputs!$B$31)&lt;Inputs!$B$25,Inputs!$B$34,IF((AE$1-Inputs!$B$31)&lt;Inputs!$B$26,Inputs!$B$28,IF((AE$1-Inputs!$B$31)&lt;Inputs!$B$27,Inputs!$B$29,Streams!$E$15))))*Inputs!$B$30)</f>
        <v>21</v>
      </c>
      <c r="AF3" s="10" t="n">
        <f aca="false">IF(AF$1=Inputs!$B$34,Inputs!$B$34,(IF((AF$1-Inputs!$B$31)&lt;Inputs!$B$25,Inputs!$B$34,IF((AF$1-Inputs!$B$31)&lt;Inputs!$B$26,Inputs!$B$28,IF((AF$1-Inputs!$B$31)&lt;Inputs!$B$27,Inputs!$B$29,Streams!$E$15))))*Inputs!$B$30)</f>
        <v>21</v>
      </c>
      <c r="AG3" s="10" t="n">
        <f aca="false">IF(AG$1=Inputs!$B$34,Inputs!$B$34,(IF((AG$1-Inputs!$B$31)&lt;Inputs!$B$25,Inputs!$B$34,IF((AG$1-Inputs!$B$31)&lt;Inputs!$B$26,Inputs!$B$28,IF((AG$1-Inputs!$B$31)&lt;Inputs!$B$27,Inputs!$B$29,Streams!$E$15))))*Inputs!$B$30)</f>
        <v>21</v>
      </c>
      <c r="AH3" s="10" t="n">
        <f aca="false">IF(AH$1=Inputs!$B$34,Inputs!$B$34,(IF((AH$1-Inputs!$B$31)&lt;Inputs!$B$25,Inputs!$B$34,IF((AH$1-Inputs!$B$31)&lt;Inputs!$B$26,Inputs!$B$28,IF((AH$1-Inputs!$B$31)&lt;Inputs!$B$27,Inputs!$B$29,Streams!$E$15))))*Inputs!$B$30)</f>
        <v>21</v>
      </c>
      <c r="AI3" s="10" t="n">
        <f aca="false">IF(AI$1=Inputs!$B$34,Inputs!$B$34,(IF((AI$1-Inputs!$B$31)&lt;Inputs!$B$25,Inputs!$B$34,IF((AI$1-Inputs!$B$31)&lt;Inputs!$B$26,Inputs!$B$28,IF((AI$1-Inputs!$B$31)&lt;Inputs!$B$27,Inputs!$B$29,Streams!$E$15))))*Inputs!$B$30)</f>
        <v>21</v>
      </c>
      <c r="AJ3" s="10" t="n">
        <f aca="false">IF(AJ$1=Inputs!$B$34,Inputs!$B$34,(IF((AJ$1-Inputs!$B$31)&lt;Inputs!$B$25,Inputs!$B$34,IF((AJ$1-Inputs!$B$31)&lt;Inputs!$B$26,Inputs!$B$28,IF((AJ$1-Inputs!$B$31)&lt;Inputs!$B$27,Inputs!$B$29,Streams!$E$15))))*Inputs!$B$30)</f>
        <v>21</v>
      </c>
      <c r="AK3" s="10" t="n">
        <f aca="false">IF(AK$1=Inputs!$B$34,Inputs!$B$34,(IF((AK$1-Inputs!$B$31)&lt;Inputs!$B$25,Inputs!$B$34,IF((AK$1-Inputs!$B$31)&lt;Inputs!$B$26,Inputs!$B$28,IF((AK$1-Inputs!$B$31)&lt;Inputs!$B$27,Inputs!$B$29,Streams!$E$15))))*Inputs!$B$30)</f>
        <v>21</v>
      </c>
      <c r="AL3" s="10" t="n">
        <f aca="false">IF(AL$1=Inputs!$B$34,Inputs!$B$34,(IF((AL$1-Inputs!$B$31)&lt;Inputs!$B$25,Inputs!$B$34,IF((AL$1-Inputs!$B$31)&lt;Inputs!$B$26,Inputs!$B$28,IF((AL$1-Inputs!$B$31)&lt;Inputs!$B$27,Inputs!$B$29,Streams!$E$15))))*Inputs!$B$30)</f>
        <v>21</v>
      </c>
      <c r="AM3" s="10" t="n">
        <f aca="false">IF(AM$1=Inputs!$B$34,Inputs!$B$34,(IF((AM$1-Inputs!$B$31)&lt;Inputs!$B$25,Inputs!$B$34,IF((AM$1-Inputs!$B$31)&lt;Inputs!$B$26,Inputs!$B$28,IF((AM$1-Inputs!$B$31)&lt;Inputs!$B$27,Inputs!$B$29,Streams!$E$15))))*Inputs!$B$30)</f>
        <v>21</v>
      </c>
      <c r="AN3" s="10" t="n">
        <f aca="false">IF(AN$1=Inputs!$B$34,Inputs!$B$34,(IF((AN$1-Inputs!$B$31)&lt;Inputs!$B$25,Inputs!$B$34,IF((AN$1-Inputs!$B$31)&lt;Inputs!$B$26,Inputs!$B$28,IF((AN$1-Inputs!$B$31)&lt;Inputs!$B$27,Inputs!$B$29,Streams!$E$15))))*Inputs!$B$30)</f>
        <v>21</v>
      </c>
      <c r="AO3" s="10" t="n">
        <f aca="false">IF(AO$1=Inputs!$B$34,Inputs!$B$34,(IF((AO$1-Inputs!$B$31)&lt;Inputs!$B$25,Inputs!$B$34,IF((AO$1-Inputs!$B$31)&lt;Inputs!$B$26,Inputs!$B$28,IF((AO$1-Inputs!$B$31)&lt;Inputs!$B$27,Inputs!$B$29,Streams!$E$15))))*Inputs!$B$30)</f>
        <v>21</v>
      </c>
      <c r="AP3" s="10" t="n">
        <f aca="false">IF(AP$1=Inputs!$B$34,Inputs!$B$34,(IF((AP$1-Inputs!$B$31)&lt;Inputs!$B$25,Inputs!$B$34,IF((AP$1-Inputs!$B$31)&lt;Inputs!$B$26,Inputs!$B$28,IF((AP$1-Inputs!$B$31)&lt;Inputs!$B$27,Inputs!$B$29,Streams!$E$15))))*Inputs!$B$30)</f>
        <v>21</v>
      </c>
      <c r="AQ3" s="10" t="n">
        <f aca="false">IF(AQ$1=Inputs!$B$34,Inputs!$B$34,(IF((AQ$1-Inputs!$B$31)&lt;Inputs!$B$25,Inputs!$B$34,IF((AQ$1-Inputs!$B$31)&lt;Inputs!$B$26,Inputs!$B$28,IF((AQ$1-Inputs!$B$31)&lt;Inputs!$B$27,Inputs!$B$29,Streams!$E$15))))*Inputs!$B$30)</f>
        <v>21</v>
      </c>
      <c r="AR3" s="10" t="n">
        <f aca="false">IF(AR$1=Inputs!$B$34,Inputs!$B$34,(IF((AR$1-Inputs!$B$31)&lt;Inputs!$B$25,Inputs!$B$34,IF((AR$1-Inputs!$B$31)&lt;Inputs!$B$26,Inputs!$B$28,IF((AR$1-Inputs!$B$31)&lt;Inputs!$B$27,Inputs!$B$29,Streams!$E$15))))*Inputs!$B$30)</f>
        <v>21</v>
      </c>
      <c r="AS3" s="10" t="n">
        <f aca="false">IF(AS$1=Inputs!$B$34,Inputs!$B$34,(IF((AS$1-Inputs!$B$31)&lt;Inputs!$B$25,Inputs!$B$34,IF((AS$1-Inputs!$B$31)&lt;Inputs!$B$26,Inputs!$B$28,IF((AS$1-Inputs!$B$31)&lt;Inputs!$B$27,Inputs!$B$29,Streams!$E$15))))*Inputs!$B$30)</f>
        <v>21</v>
      </c>
      <c r="AT3" s="10" t="n">
        <f aca="false">IF(AT$1=Inputs!$B$34,Inputs!$B$34,(IF((AT$1-Inputs!$B$31)&lt;Inputs!$B$25,Inputs!$B$34,IF((AT$1-Inputs!$B$31)&lt;Inputs!$B$26,Inputs!$B$28,IF((AT$1-Inputs!$B$31)&lt;Inputs!$B$27,Inputs!$B$29,Streams!$E$15))))*Inputs!$B$30)</f>
        <v>21</v>
      </c>
      <c r="AU3" s="10" t="n">
        <f aca="false">IF(AU$1=Inputs!$B$34,Inputs!$B$34,(IF((AU$1-Inputs!$B$31)&lt;Inputs!$B$25,Inputs!$B$34,IF((AU$1-Inputs!$B$31)&lt;Inputs!$B$26,Inputs!$B$28,IF((AU$1-Inputs!$B$31)&lt;Inputs!$B$27,Inputs!$B$29,Streams!$E$15))))*Inputs!$B$30)</f>
        <v>21</v>
      </c>
      <c r="AV3" s="10" t="n">
        <f aca="false">IF(AV$1=Inputs!$B$34,Inputs!$B$34,(IF((AV$1-Inputs!$B$31)&lt;Inputs!$B$25,Inputs!$B$34,IF((AV$1-Inputs!$B$31)&lt;Inputs!$B$26,Inputs!$B$28,IF((AV$1-Inputs!$B$31)&lt;Inputs!$B$27,Inputs!$B$29,Streams!$E$15))))*Inputs!$B$30)</f>
        <v>21</v>
      </c>
      <c r="AW3" s="10" t="n">
        <f aca="false">IF(AW$1=Inputs!$B$34,Inputs!$B$34,(IF((AW$1-Inputs!$B$31)&lt;Inputs!$B$25,Inputs!$B$34,IF((AW$1-Inputs!$B$31)&lt;Inputs!$B$26,Inputs!$B$28,IF((AW$1-Inputs!$B$31)&lt;Inputs!$B$27,Inputs!$B$29,Streams!$E$15))))*Inputs!$B$30)</f>
        <v>21</v>
      </c>
      <c r="AX3" s="10" t="n">
        <f aca="false">IF(AX$1=Inputs!$B$34,Inputs!$B$34,(IF((AX$1-Inputs!$B$31)&lt;Inputs!$B$25,Inputs!$B$34,IF((AX$1-Inputs!$B$31)&lt;Inputs!$B$26,Inputs!$B$28,IF((AX$1-Inputs!$B$31)&lt;Inputs!$B$27,Inputs!$B$29,Streams!$E$15))))*Inputs!$B$30)</f>
        <v>21</v>
      </c>
      <c r="AY3" s="10" t="n">
        <f aca="false">IF(AY$1=Inputs!$B$34,Inputs!$B$34,(IF((AY$1-Inputs!$B$31)&lt;Inputs!$B$25,Inputs!$B$34,IF((AY$1-Inputs!$B$31)&lt;Inputs!$B$26,Inputs!$B$28,IF((AY$1-Inputs!$B$31)&lt;Inputs!$B$27,Inputs!$B$29,Streams!$E$15))))*Inputs!$B$30)</f>
        <v>21</v>
      </c>
      <c r="AZ3" s="10" t="n">
        <f aca="false">IF(AZ$1=Inputs!$B$34,Inputs!$B$34,(IF((AZ$1-Inputs!$B$31)&lt;Inputs!$B$25,Inputs!$B$34,IF((AZ$1-Inputs!$B$31)&lt;Inputs!$B$26,Inputs!$B$28,IF((AZ$1-Inputs!$B$31)&lt;Inputs!$B$27,Inputs!$B$29,Streams!$E$15))))*Inputs!$B$30)</f>
        <v>21</v>
      </c>
      <c r="BA3" s="10" t="n">
        <f aca="false">IF(BA$1=Inputs!$B$34,Inputs!$B$34,(IF((BA$1-Inputs!$B$31)&lt;Inputs!$B$25,Inputs!$B$34,IF((BA$1-Inputs!$B$31)&lt;Inputs!$B$26,Inputs!$B$28,IF((BA$1-Inputs!$B$31)&lt;Inputs!$B$27,Inputs!$B$29,Streams!$E$15))))*Inputs!$B$30)</f>
        <v>21</v>
      </c>
      <c r="BB3" s="10" t="n">
        <f aca="false">IF(BB$1=Inputs!$B$34,Inputs!$B$34,(IF((BB$1-Inputs!$B$31)&lt;Inputs!$B$25,Inputs!$B$34,IF((BB$1-Inputs!$B$31)&lt;Inputs!$B$26,Inputs!$B$28,IF((BB$1-Inputs!$B$31)&lt;Inputs!$B$27,Inputs!$B$29,Streams!$E$15))))*Inputs!$B$30)</f>
        <v>21</v>
      </c>
      <c r="BC3" s="10" t="n">
        <f aca="false">IF(BC$1=Inputs!$B$34,Inputs!$B$34,(IF((BC$1-Inputs!$B$31)&lt;Inputs!$B$25,Inputs!$B$34,IF((BC$1-Inputs!$B$31)&lt;Inputs!$B$26,Inputs!$B$28,IF((BC$1-Inputs!$B$31)&lt;Inputs!$B$27,Inputs!$B$29,Streams!$E$15))))*Inputs!$B$30)</f>
        <v>21</v>
      </c>
      <c r="BD3" s="10" t="n">
        <f aca="false">IF(BD$1=Inputs!$B$34,Inputs!$B$34,(IF((BD$1-Inputs!$B$31)&lt;Inputs!$B$25,Inputs!$B$34,IF((BD$1-Inputs!$B$31)&lt;Inputs!$B$26,Inputs!$B$28,IF((BD$1-Inputs!$B$31)&lt;Inputs!$B$27,Inputs!$B$29,Streams!$E$15))))*Inputs!$B$30)</f>
        <v>21</v>
      </c>
      <c r="BE3" s="10" t="n">
        <f aca="false">IF(BE$1=Inputs!$B$34,Inputs!$B$34,(IF((BE$1-Inputs!$B$31)&lt;Inputs!$B$25,Inputs!$B$34,IF((BE$1-Inputs!$B$31)&lt;Inputs!$B$26,Inputs!$B$28,IF((BE$1-Inputs!$B$31)&lt;Inputs!$B$27,Inputs!$B$29,Streams!$E$15))))*Inputs!$B$30)</f>
        <v>21</v>
      </c>
      <c r="BF3" s="10" t="n">
        <f aca="false">IF(BF$1=Inputs!$B$34,Inputs!$B$34,(IF((BF$1-Inputs!$B$31)&lt;Inputs!$B$25,Inputs!$B$34,IF((BF$1-Inputs!$B$31)&lt;Inputs!$B$26,Inputs!$B$28,IF((BF$1-Inputs!$B$31)&lt;Inputs!$B$27,Inputs!$B$29,Streams!$E$15))))*Inputs!$B$30)</f>
        <v>21</v>
      </c>
      <c r="BG3" s="10" t="n">
        <f aca="false">IF(BG$1=Inputs!$B$34,Inputs!$B$34,(IF((BG$1-Inputs!$B$31)&lt;Inputs!$B$25,Inputs!$B$34,IF((BG$1-Inputs!$B$31)&lt;Inputs!$B$26,Inputs!$B$28,IF((BG$1-Inputs!$B$31)&lt;Inputs!$B$27,Inputs!$B$29,Streams!$E$15))))*Inputs!$B$30)</f>
        <v>21</v>
      </c>
      <c r="BH3" s="10" t="n">
        <f aca="false">IF(BH$1=Inputs!$B$34,Inputs!$B$34,(IF((BH$1-Inputs!$B$31)&lt;Inputs!$B$25,Inputs!$B$34,IF((BH$1-Inputs!$B$31)&lt;Inputs!$B$26,Inputs!$B$28,IF((BH$1-Inputs!$B$31)&lt;Inputs!$B$27,Inputs!$B$29,Streams!$E$15))))*Inputs!$B$30)</f>
        <v>21</v>
      </c>
      <c r="BI3" s="10" t="n">
        <f aca="false">IF(BI$1=Inputs!$B$34,Inputs!$B$34,(IF((BI$1-Inputs!$B$31)&lt;Inputs!$B$25,Inputs!$B$34,IF((BI$1-Inputs!$B$31)&lt;Inputs!$B$26,Inputs!$B$28,IF((BI$1-Inputs!$B$31)&lt;Inputs!$B$27,Inputs!$B$29,Streams!$E$15))))*Inputs!$B$30)</f>
        <v>21</v>
      </c>
      <c r="BJ3" s="10" t="n">
        <f aca="false">IF(BJ$1=Inputs!$B$34,Inputs!$B$34,(IF((BJ$1-Inputs!$B$31)&lt;Inputs!$B$25,Inputs!$B$34,IF((BJ$1-Inputs!$B$31)&lt;Inputs!$B$26,Inputs!$B$28,IF((BJ$1-Inputs!$B$31)&lt;Inputs!$B$27,Inputs!$B$29,Streams!$E$15))))*Inputs!$B$30)</f>
        <v>21</v>
      </c>
      <c r="BK3" s="10" t="n">
        <f aca="false">IF(BK$1=Inputs!$B$34,Inputs!$B$34,(IF((BK$1-Inputs!$B$31)&lt;Inputs!$B$25,Inputs!$B$34,IF((BK$1-Inputs!$B$31)&lt;Inputs!$B$26,Inputs!$B$28,IF((BK$1-Inputs!$B$31)&lt;Inputs!$B$27,Inputs!$B$29,Streams!$E$15))))*Inputs!$B$30)</f>
        <v>21</v>
      </c>
      <c r="BL3" s="10" t="n">
        <f aca="false">IF(BL$1=Inputs!$B$34,Inputs!$B$34,(IF((BL$1-Inputs!$B$31)&lt;Inputs!$B$25,Inputs!$B$34,IF((BL$1-Inputs!$B$31)&lt;Inputs!$B$26,Inputs!$B$28,IF((BL$1-Inputs!$B$31)&lt;Inputs!$B$27,Inputs!$B$29,Streams!$E$15))))*Inputs!$B$30)</f>
        <v>21</v>
      </c>
      <c r="BM3" s="10" t="n">
        <f aca="false">IF(BM$1=Inputs!$B$34,Inputs!$B$34,(IF((BM$1-Inputs!$B$31)&lt;Inputs!$B$25,Inputs!$B$34,IF((BM$1-Inputs!$B$31)&lt;Inputs!$B$26,Inputs!$B$28,IF((BM$1-Inputs!$B$31)&lt;Inputs!$B$27,Inputs!$B$29,Streams!$E$15))))*Inputs!$B$30)</f>
        <v>21</v>
      </c>
      <c r="BN3" s="10" t="n">
        <f aca="false">IF(BN$1=Inputs!$B$34,Inputs!$B$34,(IF((BN$1-Inputs!$B$31)&lt;Inputs!$B$25,Inputs!$B$34,IF((BN$1-Inputs!$B$31)&lt;Inputs!$B$26,Inputs!$B$28,IF((BN$1-Inputs!$B$31)&lt;Inputs!$B$27,Inputs!$B$29,Streams!$E$15))))*Inputs!$B$30)</f>
        <v>21</v>
      </c>
      <c r="BO3" s="10" t="n">
        <f aca="false">IF(BO$1=Inputs!$B$34,Inputs!$B$34,(IF((BO$1-Inputs!$B$31)&lt;Inputs!$B$25,Inputs!$B$34,IF((BO$1-Inputs!$B$31)&lt;Inputs!$B$26,Inputs!$B$28,IF((BO$1-Inputs!$B$31)&lt;Inputs!$B$27,Inputs!$B$29,Streams!$E$15))))*Inputs!$B$30)</f>
        <v>21</v>
      </c>
      <c r="BP3" s="10" t="n">
        <f aca="false">IF(BP$1=Inputs!$B$34,Inputs!$B$34,(IF((BP$1-Inputs!$B$31)&lt;Inputs!$B$25,Inputs!$B$34,IF((BP$1-Inputs!$B$31)&lt;Inputs!$B$26,Inputs!$B$28,IF((BP$1-Inputs!$B$31)&lt;Inputs!$B$27,Inputs!$B$29,Streams!$E$15))))*Inputs!$B$30)</f>
        <v>21</v>
      </c>
      <c r="BQ3" s="10" t="n">
        <f aca="false">IF(BQ$1=Inputs!$B$34,Inputs!$B$34,(IF((BQ$1-Inputs!$B$31)&lt;Inputs!$B$25,Inputs!$B$34,IF((BQ$1-Inputs!$B$31)&lt;Inputs!$B$26,Inputs!$B$28,IF((BQ$1-Inputs!$B$31)&lt;Inputs!$B$27,Inputs!$B$29,Streams!$E$15))))*Inputs!$B$30)</f>
        <v>21</v>
      </c>
      <c r="BR3" s="10" t="n">
        <f aca="false">IF(BR$1=Inputs!$B$34,Inputs!$B$34,(IF((BR$1-Inputs!$B$31)&lt;Inputs!$B$25,Inputs!$B$34,IF((BR$1-Inputs!$B$31)&lt;Inputs!$B$26,Inputs!$B$28,IF((BR$1-Inputs!$B$31)&lt;Inputs!$B$27,Inputs!$B$29,Streams!$E$15))))*Inputs!$B$30)</f>
        <v>21</v>
      </c>
      <c r="BS3" s="10" t="n">
        <f aca="false">IF(BS$1=Inputs!$B$34,Inputs!$B$34,(IF((BS$1-Inputs!$B$31)&lt;Inputs!$B$25,Inputs!$B$34,IF((BS$1-Inputs!$B$31)&lt;Inputs!$B$26,Inputs!$B$28,IF((BS$1-Inputs!$B$31)&lt;Inputs!$B$27,Inputs!$B$29,Streams!$E$15))))*Inputs!$B$30)</f>
        <v>21</v>
      </c>
      <c r="BT3" s="10" t="n">
        <f aca="false">IF(BT$1=Inputs!$B$34,Inputs!$B$34,(IF((BT$1-Inputs!$B$31)&lt;Inputs!$B$25,Inputs!$B$34,IF((BT$1-Inputs!$B$31)&lt;Inputs!$B$26,Inputs!$B$28,IF((BT$1-Inputs!$B$31)&lt;Inputs!$B$27,Inputs!$B$29,Streams!$E$15))))*Inputs!$B$30)</f>
        <v>21</v>
      </c>
      <c r="BU3" s="10" t="n">
        <f aca="false">IF(BU$1=Inputs!$B$34,Inputs!$B$34,(IF((BU$1-Inputs!$B$31)&lt;Inputs!$B$25,Inputs!$B$34,IF((BU$1-Inputs!$B$31)&lt;Inputs!$B$26,Inputs!$B$28,IF((BU$1-Inputs!$B$31)&lt;Inputs!$B$27,Inputs!$B$29,Streams!$E$15))))*Inputs!$B$30)</f>
        <v>21</v>
      </c>
      <c r="BV3" s="10" t="n">
        <f aca="false">IF(BV$1=Inputs!$B$34,Inputs!$B$34,(IF((BV$1-Inputs!$B$31)&lt;Inputs!$B$25,Inputs!$B$34,IF((BV$1-Inputs!$B$31)&lt;Inputs!$B$26,Inputs!$B$28,IF((BV$1-Inputs!$B$31)&lt;Inputs!$B$27,Inputs!$B$29,Streams!$E$15))))*Inputs!$B$30)</f>
        <v>21</v>
      </c>
      <c r="BW3" s="10" t="n">
        <f aca="false">IF(BW$1=Inputs!$B$34,Inputs!$B$34,(IF((BW$1-Inputs!$B$31)&lt;Inputs!$B$25,Inputs!$B$34,IF((BW$1-Inputs!$B$31)&lt;Inputs!$B$26,Inputs!$B$28,IF((BW$1-Inputs!$B$31)&lt;Inputs!$B$27,Inputs!$B$29,Streams!$E$15))))*Inputs!$B$30)</f>
        <v>21</v>
      </c>
      <c r="BX3" s="10" t="n">
        <f aca="false">IF(BX$1=Inputs!$B$34,Inputs!$B$34,(IF((BX$1-Inputs!$B$31)&lt;Inputs!$B$25,Inputs!$B$34,IF((BX$1-Inputs!$B$31)&lt;Inputs!$B$26,Inputs!$B$28,IF((BX$1-Inputs!$B$31)&lt;Inputs!$B$27,Inputs!$B$29,Streams!$E$15))))*Inputs!$B$30)</f>
        <v>21</v>
      </c>
      <c r="BY3" s="10" t="n">
        <f aca="false">IF(BY$1=Inputs!$B$34,Inputs!$B$34,(IF((BY$1-Inputs!$B$31)&lt;Inputs!$B$25,Inputs!$B$34,IF((BY$1-Inputs!$B$31)&lt;Inputs!$B$26,Inputs!$B$28,IF((BY$1-Inputs!$B$31)&lt;Inputs!$B$27,Inputs!$B$29,Streams!$E$15))))*Inputs!$B$30)</f>
        <v>21</v>
      </c>
      <c r="BZ3" s="10" t="n">
        <f aca="false">IF(BZ$1=Inputs!$B$34,Inputs!$B$34,(IF((BZ$1-Inputs!$B$31)&lt;Inputs!$B$25,Inputs!$B$34,IF((BZ$1-Inputs!$B$31)&lt;Inputs!$B$26,Inputs!$B$28,IF((BZ$1-Inputs!$B$31)&lt;Inputs!$B$27,Inputs!$B$29,Streams!$E$15))))*Inputs!$B$30)</f>
        <v>21</v>
      </c>
      <c r="CA3" s="10" t="n">
        <f aca="false">IF(CA$1=Inputs!$B$34,Inputs!$B$34,(IF((CA$1-Inputs!$B$31)&lt;Inputs!$B$25,Inputs!$B$34,IF((CA$1-Inputs!$B$31)&lt;Inputs!$B$26,Inputs!$B$28,IF((CA$1-Inputs!$B$31)&lt;Inputs!$B$27,Inputs!$B$29,Streams!$E$15))))*Inputs!$B$30)</f>
        <v>21</v>
      </c>
      <c r="CB3" s="10" t="n">
        <f aca="false">IF(CB$1=Inputs!$B$34,Inputs!$B$34,(IF((CB$1-Inputs!$B$31)&lt;Inputs!$B$25,Inputs!$B$34,IF((CB$1-Inputs!$B$31)&lt;Inputs!$B$26,Inputs!$B$28,IF((CB$1-Inputs!$B$31)&lt;Inputs!$B$27,Inputs!$B$29,Streams!$E$15))))*Inputs!$B$30)</f>
        <v>21</v>
      </c>
      <c r="CC3" s="10" t="n">
        <f aca="false">IF(CC$1=Inputs!$B$34,Inputs!$B$34,(IF((CC$1-Inputs!$B$31)&lt;Inputs!$B$25,Inputs!$B$34,IF((CC$1-Inputs!$B$31)&lt;Inputs!$B$26,Inputs!$B$28,IF((CC$1-Inputs!$B$31)&lt;Inputs!$B$27,Inputs!$B$29,Streams!$E$15))))*Inputs!$B$30)</f>
        <v>21</v>
      </c>
      <c r="CD3" s="10" t="n">
        <f aca="false">IF(CD$1=Inputs!$B$34,Inputs!$B$34,(IF((CD$1-Inputs!$B$31)&lt;Inputs!$B$25,Inputs!$B$34,IF((CD$1-Inputs!$B$31)&lt;Inputs!$B$26,Inputs!$B$28,IF((CD$1-Inputs!$B$31)&lt;Inputs!$B$27,Inputs!$B$29,Streams!$E$15))))*Inputs!$B$30)</f>
        <v>21</v>
      </c>
      <c r="CE3" s="10" t="n">
        <f aca="false">IF(CE$1=Inputs!$B$34,Inputs!$B$34,(IF((CE$1-Inputs!$B$31)&lt;Inputs!$B$25,Inputs!$B$34,IF((CE$1-Inputs!$B$31)&lt;Inputs!$B$26,Inputs!$B$28,IF((CE$1-Inputs!$B$31)&lt;Inputs!$B$27,Inputs!$B$29,Streams!$E$15))))*Inputs!$B$30)</f>
        <v>21</v>
      </c>
      <c r="CF3" s="10" t="n">
        <f aca="false">IF(CF$1=Inputs!$B$34,Inputs!$B$34,(IF((CF$1-Inputs!$B$31)&lt;Inputs!$B$25,Inputs!$B$34,IF((CF$1-Inputs!$B$31)&lt;Inputs!$B$26,Inputs!$B$28,IF((CF$1-Inputs!$B$31)&lt;Inputs!$B$27,Inputs!$B$29,Streams!$E$15))))*Inputs!$B$30)</f>
        <v>21</v>
      </c>
      <c r="CG3" s="10" t="n">
        <f aca="false">IF(CG$1=Inputs!$B$34,Inputs!$B$34,(IF((CG$1-Inputs!$B$31)&lt;Inputs!$B$25,Inputs!$B$34,IF((CG$1-Inputs!$B$31)&lt;Inputs!$B$26,Inputs!$B$28,IF((CG$1-Inputs!$B$31)&lt;Inputs!$B$27,Inputs!$B$29,Streams!$E$15))))*Inputs!$B$30)</f>
        <v>21</v>
      </c>
      <c r="CH3" s="10" t="n">
        <f aca="false">IF(CH$1=Inputs!$B$34,Inputs!$B$34,(IF((CH$1-Inputs!$B$31)&lt;Inputs!$B$25,Inputs!$B$34,IF((CH$1-Inputs!$B$31)&lt;Inputs!$B$26,Inputs!$B$28,IF((CH$1-Inputs!$B$31)&lt;Inputs!$B$27,Inputs!$B$29,Streams!$E$15))))*Inputs!$B$30)</f>
        <v>21</v>
      </c>
      <c r="CI3" s="10" t="n">
        <f aca="false">IF(CI$1=Inputs!$B$34,Inputs!$B$34,(IF((CI$1-Inputs!$B$31)&lt;Inputs!$B$25,Inputs!$B$34,IF((CI$1-Inputs!$B$31)&lt;Inputs!$B$26,Inputs!$B$28,IF((CI$1-Inputs!$B$31)&lt;Inputs!$B$27,Inputs!$B$29,Streams!$E$15))))*Inputs!$B$30)</f>
        <v>21</v>
      </c>
      <c r="CJ3" s="10" t="n">
        <f aca="false">IF(CJ$1=Inputs!$B$34,Inputs!$B$34,(IF((CJ$1-Inputs!$B$31)&lt;Inputs!$B$25,Inputs!$B$34,IF((CJ$1-Inputs!$B$31)&lt;Inputs!$B$26,Inputs!$B$28,IF((CJ$1-Inputs!$B$31)&lt;Inputs!$B$27,Inputs!$B$29,Streams!$E$15))))*Inputs!$B$30)</f>
        <v>21</v>
      </c>
      <c r="CK3" s="10" t="n">
        <f aca="false">IF(CK$1=Inputs!$B$34,Inputs!$B$34,(IF((CK$1-Inputs!$B$31)&lt;Inputs!$B$25,Inputs!$B$34,IF((CK$1-Inputs!$B$31)&lt;Inputs!$B$26,Inputs!$B$28,IF((CK$1-Inputs!$B$31)&lt;Inputs!$B$27,Inputs!$B$29,Streams!$E$15))))*Inputs!$B$30)</f>
        <v>21</v>
      </c>
      <c r="CL3" s="10" t="n">
        <f aca="false">IF(CL$1=Inputs!$B$34,Inputs!$B$34,(IF((CL$1-Inputs!$B$31)&lt;Inputs!$B$25,Inputs!$B$34,IF((CL$1-Inputs!$B$31)&lt;Inputs!$B$26,Inputs!$B$28,IF((CL$1-Inputs!$B$31)&lt;Inputs!$B$27,Inputs!$B$29,Streams!$E$15))))*Inputs!$B$30)</f>
        <v>21</v>
      </c>
      <c r="CM3" s="10" t="n">
        <f aca="false">IF(CM$1=Inputs!$B$34,Inputs!$B$34,(IF((CM$1-Inputs!$B$31)&lt;Inputs!$B$25,Inputs!$B$34,IF((CM$1-Inputs!$B$31)&lt;Inputs!$B$26,Inputs!$B$28,IF((CM$1-Inputs!$B$31)&lt;Inputs!$B$27,Inputs!$B$29,Streams!$E$15))))*Inputs!$B$30)</f>
        <v>21</v>
      </c>
      <c r="CN3" s="10" t="n">
        <f aca="false">IF(CN$1=Inputs!$B$34,Inputs!$B$34,(IF((CN$1-Inputs!$B$31)&lt;Inputs!$B$25,Inputs!$B$34,IF((CN$1-Inputs!$B$31)&lt;Inputs!$B$26,Inputs!$B$28,IF((CN$1-Inputs!$B$31)&lt;Inputs!$B$27,Inputs!$B$29,Streams!$E$15))))*Inputs!$B$30)</f>
        <v>21</v>
      </c>
      <c r="CO3" s="10" t="n">
        <f aca="false">IF(CO$1=Inputs!$B$34,Inputs!$B$34,(IF((CO$1-Inputs!$B$31)&lt;Inputs!$B$25,Inputs!$B$34,IF((CO$1-Inputs!$B$31)&lt;Inputs!$B$26,Inputs!$B$28,IF((CO$1-Inputs!$B$31)&lt;Inputs!$B$27,Inputs!$B$29,Streams!$E$15))))*Inputs!$B$30)</f>
        <v>21</v>
      </c>
      <c r="CP3" s="10" t="n">
        <f aca="false">IF(CP$1=Inputs!$B$34,Inputs!$B$34,(IF((CP$1-Inputs!$B$31)&lt;Inputs!$B$25,Inputs!$B$34,IF((CP$1-Inputs!$B$31)&lt;Inputs!$B$26,Inputs!$B$28,IF((CP$1-Inputs!$B$31)&lt;Inputs!$B$27,Inputs!$B$29,Streams!$E$15))))*Inputs!$B$30)</f>
        <v>21</v>
      </c>
      <c r="CQ3" s="10" t="n">
        <f aca="false">IF(CQ$1=Inputs!$B$34,Inputs!$B$34,(IF((CQ$1-Inputs!$B$31)&lt;Inputs!$B$25,Inputs!$B$34,IF((CQ$1-Inputs!$B$31)&lt;Inputs!$B$26,Inputs!$B$28,IF((CQ$1-Inputs!$B$31)&lt;Inputs!$B$27,Inputs!$B$29,Streams!$E$15))))*Inputs!$B$30)</f>
        <v>21</v>
      </c>
      <c r="CR3" s="10" t="n">
        <f aca="false">IF(CR$1=Inputs!$B$34,Inputs!$B$34,(IF((CR$1-Inputs!$B$31)&lt;Inputs!$B$25,Inputs!$B$34,IF((CR$1-Inputs!$B$31)&lt;Inputs!$B$26,Inputs!$B$28,IF((CR$1-Inputs!$B$31)&lt;Inputs!$B$27,Inputs!$B$29,Streams!$E$15))))*Inputs!$B$30)</f>
        <v>21</v>
      </c>
      <c r="CS3" s="10" t="n">
        <f aca="false">IF(CS$1=Inputs!$B$34,Inputs!$B$34,(IF((CS$1-Inputs!$B$31)&lt;Inputs!$B$25,Inputs!$B$34,IF((CS$1-Inputs!$B$31)&lt;Inputs!$B$26,Inputs!$B$28,IF((CS$1-Inputs!$B$31)&lt;Inputs!$B$27,Inputs!$B$29,Streams!$E$15))))*Inputs!$B$30)</f>
        <v>21</v>
      </c>
      <c r="CT3" s="10" t="n">
        <f aca="false">IF(CT$1=Inputs!$B$34,Inputs!$B$34,(IF((CT$1-Inputs!$B$31)&lt;Inputs!$B$25,Inputs!$B$34,IF((CT$1-Inputs!$B$31)&lt;Inputs!$B$26,Inputs!$B$28,IF((CT$1-Inputs!$B$31)&lt;Inputs!$B$27,Inputs!$B$29,Streams!$E$15))))*Inputs!$B$30)</f>
        <v>21</v>
      </c>
      <c r="CU3" s="10" t="n">
        <f aca="false">IF(CU$1=Inputs!$B$34,Inputs!$B$34,(IF((CU$1-Inputs!$B$31)&lt;Inputs!$B$25,Inputs!$B$34,IF((CU$1-Inputs!$B$31)&lt;Inputs!$B$26,Inputs!$B$28,IF((CU$1-Inputs!$B$31)&lt;Inputs!$B$27,Inputs!$B$29,Streams!$E$15))))*Inputs!$B$30)</f>
        <v>21</v>
      </c>
      <c r="CV3" s="10" t="n">
        <f aca="false">IF(CV$1=Inputs!$B$34,Inputs!$B$34,(IF((CV$1-Inputs!$B$31)&lt;Inputs!$B$25,Inputs!$B$34,IF((CV$1-Inputs!$B$31)&lt;Inputs!$B$26,Inputs!$B$28,IF((CV$1-Inputs!$B$31)&lt;Inputs!$B$27,Inputs!$B$29,Streams!$E$15))))*Inputs!$B$30)</f>
        <v>21</v>
      </c>
      <c r="CW3" s="10" t="n">
        <f aca="false">IF(CW$1=Inputs!$B$34,Inputs!$B$34,(IF((CW$1-Inputs!$B$31)&lt;Inputs!$B$25,Inputs!$B$34,IF((CW$1-Inputs!$B$31)&lt;Inputs!$B$26,Inputs!$B$28,IF((CW$1-Inputs!$B$31)&lt;Inputs!$B$27,Inputs!$B$29,Streams!$E$15))))*Inputs!$B$30)</f>
        <v>21</v>
      </c>
      <c r="CX3" s="10" t="n">
        <f aca="false">IF(CX$1=Inputs!$B$34,Inputs!$B$34,(IF((CX$1-Inputs!$B$31)&lt;Inputs!$B$25,Inputs!$B$34,IF((CX$1-Inputs!$B$31)&lt;Inputs!$B$26,Inputs!$B$28,IF((CX$1-Inputs!$B$31)&lt;Inputs!$B$27,Inputs!$B$29,Streams!$E$15))))*Inputs!$B$30)</f>
        <v>21</v>
      </c>
      <c r="CY3" s="10" t="n">
        <f aca="false">IF(CY$1=Inputs!$B$34,Inputs!$B$34,(IF((CY$1-Inputs!$B$31)&lt;Inputs!$B$25,Inputs!$B$34,IF((CY$1-Inputs!$B$31)&lt;Inputs!$B$26,Inputs!$B$28,IF((CY$1-Inputs!$B$31)&lt;Inputs!$B$27,Inputs!$B$29,Streams!$E$15))))*Inputs!$B$30)</f>
        <v>21</v>
      </c>
      <c r="CZ3" s="10" t="n">
        <f aca="false">IF(CZ$1=Inputs!$B$34,Inputs!$B$34,(IF((CZ$1-Inputs!$B$31)&lt;Inputs!$B$25,Inputs!$B$34,IF((CZ$1-Inputs!$B$31)&lt;Inputs!$B$26,Inputs!$B$28,IF((CZ$1-Inputs!$B$31)&lt;Inputs!$B$27,Inputs!$B$29,Streams!$E$15))))*Inputs!$B$30)</f>
        <v>21</v>
      </c>
      <c r="DA3" s="10" t="n">
        <f aca="false">IF(DA$1=Inputs!$B$34,Inputs!$B$34,(IF((DA$1-Inputs!$B$31)&lt;Inputs!$B$25,Inputs!$B$34,IF((DA$1-Inputs!$B$31)&lt;Inputs!$B$26,Inputs!$B$28,IF((DA$1-Inputs!$B$31)&lt;Inputs!$B$27,Inputs!$B$29,Streams!$E$15))))*Inputs!$B$30)</f>
        <v>21</v>
      </c>
      <c r="DB3" s="10" t="n">
        <f aca="false">IF(DB$1=Inputs!$B$34,Inputs!$B$34,(IF((DB$1-Inputs!$B$31)&lt;Inputs!$B$25,Inputs!$B$34,IF((DB$1-Inputs!$B$31)&lt;Inputs!$B$26,Inputs!$B$28,IF((DB$1-Inputs!$B$31)&lt;Inputs!$B$27,Inputs!$B$29,Streams!$E$15))))*Inputs!$B$30)</f>
        <v>21</v>
      </c>
      <c r="DC3" s="10" t="n">
        <f aca="false">IF(DC$1=Inputs!$B$34,Inputs!$B$34,(IF((DC$1-Inputs!$B$31)&lt;Inputs!$B$25,Inputs!$B$34,IF((DC$1-Inputs!$B$31)&lt;Inputs!$B$26,Inputs!$B$28,IF((DC$1-Inputs!$B$31)&lt;Inputs!$B$27,Inputs!$B$29,Streams!$E$15))))*Inputs!$B$30)</f>
        <v>21</v>
      </c>
      <c r="DD3" s="10" t="n">
        <f aca="false">IF(DD$1=Inputs!$B$34,Inputs!$B$34,(IF((DD$1-Inputs!$B$31)&lt;Inputs!$B$25,Inputs!$B$34,IF((DD$1-Inputs!$B$31)&lt;Inputs!$B$26,Inputs!$B$28,IF((DD$1-Inputs!$B$31)&lt;Inputs!$B$27,Inputs!$B$29,Streams!$E$15))))*Inputs!$B$30)</f>
        <v>21</v>
      </c>
      <c r="DE3" s="10" t="n">
        <f aca="false">IF(DE$1=Inputs!$B$34,Inputs!$B$34,(IF((DE$1-Inputs!$B$31)&lt;Inputs!$B$25,Inputs!$B$34,IF((DE$1-Inputs!$B$31)&lt;Inputs!$B$26,Inputs!$B$28,IF((DE$1-Inputs!$B$31)&lt;Inputs!$B$27,Inputs!$B$29,Streams!$E$15))))*Inputs!$B$30)</f>
        <v>21</v>
      </c>
      <c r="DF3" s="10" t="n">
        <f aca="false">IF(DF$1=Inputs!$B$34,Inputs!$B$34,(IF((DF$1-Inputs!$B$31)&lt;Inputs!$B$25,Inputs!$B$34,IF((DF$1-Inputs!$B$31)&lt;Inputs!$B$26,Inputs!$B$28,IF((DF$1-Inputs!$B$31)&lt;Inputs!$B$27,Inputs!$B$29,Streams!$E$15))))*Inputs!$B$30)</f>
        <v>21</v>
      </c>
      <c r="DG3" s="10" t="n">
        <f aca="false">IF(DG$1=Inputs!$B$34,Inputs!$B$34,(IF((DG$1-Inputs!$B$31)&lt;Inputs!$B$25,Inputs!$B$34,IF((DG$1-Inputs!$B$31)&lt;Inputs!$B$26,Inputs!$B$28,IF((DG$1-Inputs!$B$31)&lt;Inputs!$B$27,Inputs!$B$29,Streams!$E$15))))*Inputs!$B$30)</f>
        <v>21</v>
      </c>
      <c r="DH3" s="10" t="n">
        <f aca="false">IF(DH$1=Inputs!$B$34,Inputs!$B$34,(IF((DH$1-Inputs!$B$31)&lt;Inputs!$B$25,Inputs!$B$34,IF((DH$1-Inputs!$B$31)&lt;Inputs!$B$26,Inputs!$B$28,IF((DH$1-Inputs!$B$31)&lt;Inputs!$B$27,Inputs!$B$29,Streams!$E$15))))*Inputs!$B$30)</f>
        <v>21</v>
      </c>
      <c r="DI3" s="10" t="n">
        <f aca="false">IF(DI$1=Inputs!$B$34,Inputs!$B$34,(IF((DI$1-Inputs!$B$31)&lt;Inputs!$B$25,Inputs!$B$34,IF((DI$1-Inputs!$B$31)&lt;Inputs!$B$26,Inputs!$B$28,IF((DI$1-Inputs!$B$31)&lt;Inputs!$B$27,Inputs!$B$29,Streams!$E$15))))*Inputs!$B$30)</f>
        <v>21</v>
      </c>
      <c r="DJ3" s="10" t="n">
        <f aca="false">IF(DJ$1=Inputs!$B$34,Inputs!$B$34,(IF((DJ$1-Inputs!$B$31)&lt;Inputs!$B$25,Inputs!$B$34,IF((DJ$1-Inputs!$B$31)&lt;Inputs!$B$26,Inputs!$B$28,IF((DJ$1-Inputs!$B$31)&lt;Inputs!$B$27,Inputs!$B$29,Streams!$E$15))))*Inputs!$B$30)</f>
        <v>21</v>
      </c>
      <c r="DK3" s="10" t="n">
        <f aca="false">IF(DK$1=Inputs!$B$34,Inputs!$B$34,(IF((DK$1-Inputs!$B$31)&lt;Inputs!$B$25,Inputs!$B$34,IF((DK$1-Inputs!$B$31)&lt;Inputs!$B$26,Inputs!$B$28,IF((DK$1-Inputs!$B$31)&lt;Inputs!$B$27,Inputs!$B$29,Streams!$E$15))))*Inputs!$B$30)</f>
        <v>21</v>
      </c>
      <c r="DL3" s="10" t="n">
        <f aca="false">IF(DL$1=Inputs!$B$34,Inputs!$B$34,(IF((DL$1-Inputs!$B$31)&lt;Inputs!$B$25,Inputs!$B$34,IF((DL$1-Inputs!$B$31)&lt;Inputs!$B$26,Inputs!$B$28,IF((DL$1-Inputs!$B$31)&lt;Inputs!$B$27,Inputs!$B$29,Streams!$E$15))))*Inputs!$B$30)</f>
        <v>21</v>
      </c>
      <c r="DM3" s="10" t="n">
        <f aca="false">IF(DM$1=Inputs!$B$34,Inputs!$B$34,(IF((DM$1-Inputs!$B$31)&lt;Inputs!$B$25,Inputs!$B$34,IF((DM$1-Inputs!$B$31)&lt;Inputs!$B$26,Inputs!$B$28,IF((DM$1-Inputs!$B$31)&lt;Inputs!$B$27,Inputs!$B$29,Streams!$E$15))))*Inputs!$B$30)</f>
        <v>21</v>
      </c>
      <c r="DN3" s="10" t="n">
        <f aca="false">IF(DN$1=Inputs!$B$34,Inputs!$B$34,(IF((DN$1-Inputs!$B$31)&lt;Inputs!$B$25,Inputs!$B$34,IF((DN$1-Inputs!$B$31)&lt;Inputs!$B$26,Inputs!$B$28,IF((DN$1-Inputs!$B$31)&lt;Inputs!$B$27,Inputs!$B$29,Streams!$E$15))))*Inputs!$B$30)</f>
        <v>21</v>
      </c>
      <c r="DO3" s="10" t="n">
        <f aca="false">IF(DO$1=Inputs!$B$34,Inputs!$B$34,(IF((DO$1-Inputs!$B$31)&lt;Inputs!$B$25,Inputs!$B$34,IF((DO$1-Inputs!$B$31)&lt;Inputs!$B$26,Inputs!$B$28,IF((DO$1-Inputs!$B$31)&lt;Inputs!$B$27,Inputs!$B$29,Streams!$E$15))))*Inputs!$B$30)</f>
        <v>21</v>
      </c>
      <c r="DP3" s="10" t="n">
        <f aca="false">IF(DP$1=Inputs!$B$34,Inputs!$B$34,(IF((DP$1-Inputs!$B$31)&lt;Inputs!$B$25,Inputs!$B$34,IF((DP$1-Inputs!$B$31)&lt;Inputs!$B$26,Inputs!$B$28,IF((DP$1-Inputs!$B$31)&lt;Inputs!$B$27,Inputs!$B$29,Streams!$E$15))))*Inputs!$B$30)</f>
        <v>21</v>
      </c>
      <c r="DQ3" s="10" t="n">
        <f aca="false">IF(DQ$1=Inputs!$B$34,Inputs!$B$34,(IF((DQ$1-Inputs!$B$31)&lt;Inputs!$B$25,Inputs!$B$34,IF((DQ$1-Inputs!$B$31)&lt;Inputs!$B$26,Inputs!$B$28,IF((DQ$1-Inputs!$B$31)&lt;Inputs!$B$27,Inputs!$B$29,Streams!$E$15))))*Inputs!$B$30)</f>
        <v>21</v>
      </c>
      <c r="DR3" s="10" t="n">
        <f aca="false">IF(DR$1=Inputs!$B$34,Inputs!$B$34,(IF((DR$1-Inputs!$B$31)&lt;Inputs!$B$25,Inputs!$B$34,IF((DR$1-Inputs!$B$31)&lt;Inputs!$B$26,Inputs!$B$28,IF((DR$1-Inputs!$B$31)&lt;Inputs!$B$27,Inputs!$B$29,Streams!$E$15))))*Inputs!$B$30)</f>
        <v>21</v>
      </c>
    </row>
    <row r="4" customFormat="false" ht="15" hidden="false" customHeight="false" outlineLevel="0" collapsed="false">
      <c r="A4" s="9" t="s">
        <v>173</v>
      </c>
      <c r="B4" s="10" t="n">
        <f aca="false">B3/(Inputs!$B$35+Inputs!$B$9*Inputs!$B$10)</f>
        <v>0</v>
      </c>
      <c r="C4" s="10" t="n">
        <f aca="false">C3/(Inputs!$B$35+Inputs!$B$9*Inputs!$B$10)</f>
        <v>0</v>
      </c>
      <c r="D4" s="10" t="n">
        <f aca="false">D3/(Inputs!$B$35+Inputs!$B$9*Inputs!$B$10)</f>
        <v>0</v>
      </c>
      <c r="E4" s="10" t="n">
        <f aca="false">E3/(Inputs!$B$35+Inputs!$B$9*Inputs!$B$10)</f>
        <v>0</v>
      </c>
      <c r="F4" s="10" t="n">
        <f aca="false">F3/(Inputs!$B$35+Inputs!$B$9*Inputs!$B$10)</f>
        <v>0</v>
      </c>
      <c r="G4" s="10" t="n">
        <f aca="false">G3/(Inputs!$B$35+Inputs!$B$9*Inputs!$B$10)</f>
        <v>0</v>
      </c>
      <c r="H4" s="10" t="n">
        <f aca="false">H3/(Inputs!$B$35+Inputs!$B$9*Inputs!$B$10)</f>
        <v>0</v>
      </c>
      <c r="I4" s="10" t="n">
        <f aca="false">I3/(Inputs!$B$35+Inputs!$B$9*Inputs!$B$10)</f>
        <v>0</v>
      </c>
      <c r="J4" s="10" t="n">
        <f aca="false">J3/(Inputs!$B$35+Inputs!$B$9*Inputs!$B$10)</f>
        <v>0</v>
      </c>
      <c r="K4" s="10" t="n">
        <f aca="false">K3/(Inputs!$B$35+Inputs!$B$9*Inputs!$B$10)</f>
        <v>9</v>
      </c>
      <c r="L4" s="10" t="n">
        <f aca="false">L3/(Inputs!$B$35+Inputs!$B$9*Inputs!$B$10)</f>
        <v>9</v>
      </c>
      <c r="M4" s="10" t="n">
        <f aca="false">M3/(Inputs!$B$35+Inputs!$B$9*Inputs!$B$10)</f>
        <v>9</v>
      </c>
      <c r="N4" s="10" t="n">
        <f aca="false">N3/(Inputs!$B$35+Inputs!$B$9*Inputs!$B$10)</f>
        <v>15</v>
      </c>
      <c r="O4" s="10" t="n">
        <f aca="false">O3/(Inputs!$B$35+Inputs!$B$9*Inputs!$B$10)</f>
        <v>15</v>
      </c>
      <c r="P4" s="10" t="n">
        <f aca="false">P3/(Inputs!$B$35+Inputs!$B$9*Inputs!$B$10)</f>
        <v>15</v>
      </c>
      <c r="Q4" s="10" t="n">
        <f aca="false">Q3/(Inputs!$B$35+Inputs!$B$9*Inputs!$B$10)</f>
        <v>21</v>
      </c>
      <c r="R4" s="10" t="n">
        <f aca="false">R3/(Inputs!$B$35+Inputs!$B$9*Inputs!$B$10)</f>
        <v>21</v>
      </c>
      <c r="S4" s="10" t="n">
        <f aca="false">S3/(Inputs!$B$35+Inputs!$B$9*Inputs!$B$10)</f>
        <v>21</v>
      </c>
      <c r="T4" s="10" t="n">
        <f aca="false">T3/(Inputs!$B$35+Inputs!$B$9*Inputs!$B$10)</f>
        <v>21</v>
      </c>
      <c r="U4" s="10" t="n">
        <f aca="false">U3/(Inputs!$B$35+Inputs!$B$9*Inputs!$B$10)</f>
        <v>21</v>
      </c>
      <c r="V4" s="10" t="n">
        <f aca="false">V3/(Inputs!$B$35+Inputs!$B$9*Inputs!$B$10)</f>
        <v>21</v>
      </c>
      <c r="W4" s="10" t="n">
        <f aca="false">W3/(Inputs!$B$35+Inputs!$B$9*Inputs!$B$10)</f>
        <v>21</v>
      </c>
      <c r="X4" s="10" t="n">
        <f aca="false">X3/(Inputs!$B$35+Inputs!$B$9*Inputs!$B$10)</f>
        <v>21</v>
      </c>
      <c r="Y4" s="10" t="n">
        <f aca="false">Y3/(Inputs!$B$35+Inputs!$B$9*Inputs!$B$10)</f>
        <v>21</v>
      </c>
      <c r="Z4" s="10" t="n">
        <f aca="false">Z3/(Inputs!$B$35+Inputs!$B$9*Inputs!$B$10)</f>
        <v>21</v>
      </c>
      <c r="AA4" s="10" t="n">
        <f aca="false">AA3/(Inputs!$B$35+Inputs!$B$9*Inputs!$B$10)</f>
        <v>21</v>
      </c>
      <c r="AB4" s="10" t="n">
        <f aca="false">AB3/(Inputs!$B$35+Inputs!$B$9*Inputs!$B$10)</f>
        <v>21</v>
      </c>
      <c r="AC4" s="10" t="n">
        <f aca="false">AC3/(Inputs!$B$35+Inputs!$B$9*Inputs!$B$10)</f>
        <v>21</v>
      </c>
      <c r="AD4" s="10" t="n">
        <f aca="false">AD3/(Inputs!$B$35+Inputs!$B$9*Inputs!$B$10)</f>
        <v>21</v>
      </c>
      <c r="AE4" s="10" t="n">
        <f aca="false">AE3/(Inputs!$B$35+Inputs!$B$9*Inputs!$B$10)</f>
        <v>21</v>
      </c>
      <c r="AF4" s="10" t="n">
        <f aca="false">AF3/(Inputs!$B$35+Inputs!$B$9*Inputs!$B$10)</f>
        <v>21</v>
      </c>
      <c r="AG4" s="10" t="n">
        <f aca="false">AG3/(Inputs!$B$35+Inputs!$B$9*Inputs!$B$10)</f>
        <v>21</v>
      </c>
      <c r="AH4" s="10" t="n">
        <f aca="false">AH3/(Inputs!$B$35+Inputs!$B$9*Inputs!$B$10)</f>
        <v>21</v>
      </c>
      <c r="AI4" s="10" t="n">
        <f aca="false">AI3/(Inputs!$B$35+Inputs!$B$9*Inputs!$B$10)</f>
        <v>21</v>
      </c>
      <c r="AJ4" s="10" t="n">
        <f aca="false">AJ3/(Inputs!$B$35+Inputs!$B$9*Inputs!$B$10)</f>
        <v>21</v>
      </c>
      <c r="AK4" s="10" t="n">
        <f aca="false">AK3/(Inputs!$B$35+Inputs!$B$9*Inputs!$B$10)</f>
        <v>21</v>
      </c>
      <c r="AL4" s="10" t="n">
        <f aca="false">AL3/(Inputs!$B$35+Inputs!$B$9*Inputs!$B$10)</f>
        <v>21</v>
      </c>
      <c r="AM4" s="10" t="n">
        <f aca="false">AM3/(Inputs!$B$35+Inputs!$B$9*Inputs!$B$10)</f>
        <v>21</v>
      </c>
      <c r="AN4" s="10" t="n">
        <f aca="false">AN3/(Inputs!$B$35+Inputs!$B$9*Inputs!$B$10)</f>
        <v>21</v>
      </c>
      <c r="AO4" s="10" t="n">
        <f aca="false">AO3/(Inputs!$B$35+Inputs!$B$9*Inputs!$B$10)</f>
        <v>21</v>
      </c>
      <c r="AP4" s="10" t="n">
        <f aca="false">AP3/(Inputs!$B$35+Inputs!$B$9*Inputs!$B$10)</f>
        <v>21</v>
      </c>
      <c r="AQ4" s="10" t="n">
        <f aca="false">AQ3/(Inputs!$B$35+Inputs!$B$9*Inputs!$B$10)</f>
        <v>21</v>
      </c>
      <c r="AR4" s="10" t="n">
        <f aca="false">AR3/(Inputs!$B$35+Inputs!$B$9*Inputs!$B$10)</f>
        <v>21</v>
      </c>
      <c r="AS4" s="10" t="n">
        <f aca="false">AS3/(Inputs!$B$35+Inputs!$B$9*Inputs!$B$10)</f>
        <v>21</v>
      </c>
      <c r="AT4" s="10" t="n">
        <f aca="false">AT3/(Inputs!$B$35+Inputs!$B$9*Inputs!$B$10)</f>
        <v>21</v>
      </c>
      <c r="AU4" s="10" t="n">
        <f aca="false">AU3/(Inputs!$B$35+Inputs!$B$9*Inputs!$B$10)</f>
        <v>21</v>
      </c>
      <c r="AV4" s="10" t="n">
        <f aca="false">AV3/(Inputs!$B$35+Inputs!$B$9*Inputs!$B$10)</f>
        <v>21</v>
      </c>
      <c r="AW4" s="10" t="n">
        <f aca="false">AW3/(Inputs!$B$35+Inputs!$B$9*Inputs!$B$10)</f>
        <v>21</v>
      </c>
      <c r="AX4" s="10" t="n">
        <f aca="false">AX3/(Inputs!$B$35+Inputs!$B$9*Inputs!$B$10)</f>
        <v>21</v>
      </c>
      <c r="AY4" s="10" t="n">
        <f aca="false">AY3/(Inputs!$B$35+Inputs!$B$9*Inputs!$B$10)</f>
        <v>21</v>
      </c>
      <c r="AZ4" s="10" t="n">
        <f aca="false">AZ3/(Inputs!$B$35+Inputs!$B$9*Inputs!$B$10)</f>
        <v>21</v>
      </c>
      <c r="BA4" s="10" t="n">
        <f aca="false">BA3/(Inputs!$B$35+Inputs!$B$9*Inputs!$B$10)</f>
        <v>21</v>
      </c>
      <c r="BB4" s="10" t="n">
        <f aca="false">BB3/(Inputs!$B$35+Inputs!$B$9*Inputs!$B$10)</f>
        <v>21</v>
      </c>
      <c r="BC4" s="10" t="n">
        <f aca="false">BC3/(Inputs!$B$35+Inputs!$B$9*Inputs!$B$10)</f>
        <v>21</v>
      </c>
      <c r="BD4" s="10" t="n">
        <f aca="false">BD3/(Inputs!$B$35+Inputs!$B$9*Inputs!$B$10)</f>
        <v>21</v>
      </c>
      <c r="BE4" s="10" t="n">
        <f aca="false">BE3/(Inputs!$B$35+Inputs!$B$9*Inputs!$B$10)</f>
        <v>21</v>
      </c>
      <c r="BF4" s="10" t="n">
        <f aca="false">BF3/(Inputs!$B$35+Inputs!$B$9*Inputs!$B$10)</f>
        <v>21</v>
      </c>
      <c r="BG4" s="10" t="n">
        <f aca="false">BG3/(Inputs!$B$35+Inputs!$B$9*Inputs!$B$10)</f>
        <v>21</v>
      </c>
      <c r="BH4" s="10" t="n">
        <f aca="false">BH3/(Inputs!$B$35+Inputs!$B$9*Inputs!$B$10)</f>
        <v>21</v>
      </c>
      <c r="BI4" s="10" t="n">
        <f aca="false">BI3/(Inputs!$B$35+Inputs!$B$9*Inputs!$B$10)</f>
        <v>21</v>
      </c>
      <c r="BJ4" s="10" t="n">
        <f aca="false">BJ3/(Inputs!$B$35+Inputs!$B$9*Inputs!$B$10)</f>
        <v>21</v>
      </c>
      <c r="BK4" s="10" t="n">
        <f aca="false">BK3/(Inputs!$B$35+Inputs!$B$9*Inputs!$B$10)</f>
        <v>21</v>
      </c>
      <c r="BL4" s="10" t="n">
        <f aca="false">BL3/(Inputs!$B$35+Inputs!$B$9*Inputs!$B$10)</f>
        <v>21</v>
      </c>
      <c r="BM4" s="10" t="n">
        <f aca="false">BM3/(Inputs!$B$35+Inputs!$B$9*Inputs!$B$10)</f>
        <v>21</v>
      </c>
      <c r="BN4" s="10" t="n">
        <f aca="false">BN3/(Inputs!$B$35+Inputs!$B$9*Inputs!$B$10)</f>
        <v>21</v>
      </c>
      <c r="BO4" s="10" t="n">
        <f aca="false">BO3/(Inputs!$B$35+Inputs!$B$9*Inputs!$B$10)</f>
        <v>21</v>
      </c>
      <c r="BP4" s="10" t="n">
        <f aca="false">BP3/(Inputs!$B$35+Inputs!$B$9*Inputs!$B$10)</f>
        <v>21</v>
      </c>
      <c r="BQ4" s="10" t="n">
        <f aca="false">BQ3/(Inputs!$B$35+Inputs!$B$9*Inputs!$B$10)</f>
        <v>21</v>
      </c>
      <c r="BR4" s="10" t="n">
        <f aca="false">BR3/(Inputs!$B$35+Inputs!$B$9*Inputs!$B$10)</f>
        <v>21</v>
      </c>
      <c r="BS4" s="10" t="n">
        <f aca="false">BS3/(Inputs!$B$35+Inputs!$B$9*Inputs!$B$10)</f>
        <v>21</v>
      </c>
      <c r="BT4" s="10" t="n">
        <f aca="false">BT3/(Inputs!$B$35+Inputs!$B$9*Inputs!$B$10)</f>
        <v>21</v>
      </c>
      <c r="BU4" s="10" t="n">
        <f aca="false">BU3/(Inputs!$B$35+Inputs!$B$9*Inputs!$B$10)</f>
        <v>21</v>
      </c>
      <c r="BV4" s="10" t="n">
        <f aca="false">BV3/(Inputs!$B$35+Inputs!$B$9*Inputs!$B$10)</f>
        <v>21</v>
      </c>
      <c r="BW4" s="10" t="n">
        <f aca="false">BW3/(Inputs!$B$35+Inputs!$B$9*Inputs!$B$10)</f>
        <v>21</v>
      </c>
      <c r="BX4" s="10" t="n">
        <f aca="false">BX3/(Inputs!$B$35+Inputs!$B$9*Inputs!$B$10)</f>
        <v>21</v>
      </c>
      <c r="BY4" s="10" t="n">
        <f aca="false">BY3/(Inputs!$B$35+Inputs!$B$9*Inputs!$B$10)</f>
        <v>21</v>
      </c>
      <c r="BZ4" s="10" t="n">
        <f aca="false">BZ3/(Inputs!$B$35+Inputs!$B$9*Inputs!$B$10)</f>
        <v>21</v>
      </c>
      <c r="CA4" s="10" t="n">
        <f aca="false">CA3/(Inputs!$B$35+Inputs!$B$9*Inputs!$B$10)</f>
        <v>21</v>
      </c>
      <c r="CB4" s="10" t="n">
        <f aca="false">CB3/(Inputs!$B$35+Inputs!$B$9*Inputs!$B$10)</f>
        <v>21</v>
      </c>
      <c r="CC4" s="10" t="n">
        <f aca="false">CC3/(Inputs!$B$35+Inputs!$B$9*Inputs!$B$10)</f>
        <v>21</v>
      </c>
      <c r="CD4" s="10" t="n">
        <f aca="false">CD3/(Inputs!$B$35+Inputs!$B$9*Inputs!$B$10)</f>
        <v>21</v>
      </c>
      <c r="CE4" s="10" t="n">
        <f aca="false">CE3/(Inputs!$B$35+Inputs!$B$9*Inputs!$B$10)</f>
        <v>21</v>
      </c>
      <c r="CF4" s="10" t="n">
        <f aca="false">CF3/(Inputs!$B$35+Inputs!$B$9*Inputs!$B$10)</f>
        <v>21</v>
      </c>
      <c r="CG4" s="10" t="n">
        <f aca="false">CG3/(Inputs!$B$35+Inputs!$B$9*Inputs!$B$10)</f>
        <v>21</v>
      </c>
      <c r="CH4" s="10" t="n">
        <f aca="false">CH3/(Inputs!$B$35+Inputs!$B$9*Inputs!$B$10)</f>
        <v>21</v>
      </c>
      <c r="CI4" s="10" t="n">
        <f aca="false">CI3/(Inputs!$B$35+Inputs!$B$9*Inputs!$B$10)</f>
        <v>21</v>
      </c>
      <c r="CJ4" s="10" t="n">
        <f aca="false">CJ3/(Inputs!$B$35+Inputs!$B$9*Inputs!$B$10)</f>
        <v>21</v>
      </c>
      <c r="CK4" s="10" t="n">
        <f aca="false">CK3/(Inputs!$B$35+Inputs!$B$9*Inputs!$B$10)</f>
        <v>21</v>
      </c>
      <c r="CL4" s="10" t="n">
        <f aca="false">CL3/(Inputs!$B$35+Inputs!$B$9*Inputs!$B$10)</f>
        <v>21</v>
      </c>
      <c r="CM4" s="10" t="n">
        <f aca="false">CM3/(Inputs!$B$35+Inputs!$B$9*Inputs!$B$10)</f>
        <v>21</v>
      </c>
      <c r="CN4" s="10" t="n">
        <f aca="false">CN3/(Inputs!$B$35+Inputs!$B$9*Inputs!$B$10)</f>
        <v>21</v>
      </c>
      <c r="CO4" s="10" t="n">
        <f aca="false">CO3/(Inputs!$B$35+Inputs!$B$9*Inputs!$B$10)</f>
        <v>21</v>
      </c>
      <c r="CP4" s="10" t="n">
        <f aca="false">CP3/(Inputs!$B$35+Inputs!$B$9*Inputs!$B$10)</f>
        <v>21</v>
      </c>
      <c r="CQ4" s="10" t="n">
        <f aca="false">CQ3/(Inputs!$B$35+Inputs!$B$9*Inputs!$B$10)</f>
        <v>21</v>
      </c>
      <c r="CR4" s="10" t="n">
        <f aca="false">CR3/(Inputs!$B$35+Inputs!$B$9*Inputs!$B$10)</f>
        <v>21</v>
      </c>
      <c r="CS4" s="10" t="n">
        <f aca="false">CS3/(Inputs!$B$35+Inputs!$B$9*Inputs!$B$10)</f>
        <v>21</v>
      </c>
      <c r="CT4" s="10" t="n">
        <f aca="false">CT3/(Inputs!$B$35+Inputs!$B$9*Inputs!$B$10)</f>
        <v>21</v>
      </c>
      <c r="CU4" s="10" t="n">
        <f aca="false">CU3/(Inputs!$B$35+Inputs!$B$9*Inputs!$B$10)</f>
        <v>21</v>
      </c>
      <c r="CV4" s="10" t="n">
        <f aca="false">CV3/(Inputs!$B$35+Inputs!$B$9*Inputs!$B$10)</f>
        <v>21</v>
      </c>
      <c r="CW4" s="10" t="n">
        <f aca="false">CW3/(Inputs!$B$35+Inputs!$B$9*Inputs!$B$10)</f>
        <v>21</v>
      </c>
      <c r="CX4" s="10" t="n">
        <f aca="false">CX3/(Inputs!$B$35+Inputs!$B$9*Inputs!$B$10)</f>
        <v>21</v>
      </c>
      <c r="CY4" s="10" t="n">
        <f aca="false">CY3/(Inputs!$B$35+Inputs!$B$9*Inputs!$B$10)</f>
        <v>21</v>
      </c>
      <c r="CZ4" s="10" t="n">
        <f aca="false">CZ3/(Inputs!$B$35+Inputs!$B$9*Inputs!$B$10)</f>
        <v>21</v>
      </c>
      <c r="DA4" s="10" t="n">
        <f aca="false">DA3/(Inputs!$B$35+Inputs!$B$9*Inputs!$B$10)</f>
        <v>21</v>
      </c>
      <c r="DB4" s="10" t="n">
        <f aca="false">DB3/(Inputs!$B$35+Inputs!$B$9*Inputs!$B$10)</f>
        <v>21</v>
      </c>
      <c r="DC4" s="10" t="n">
        <f aca="false">DC3/(Inputs!$B$35+Inputs!$B$9*Inputs!$B$10)</f>
        <v>21</v>
      </c>
      <c r="DD4" s="10" t="n">
        <f aca="false">DD3/(Inputs!$B$35+Inputs!$B$9*Inputs!$B$10)</f>
        <v>21</v>
      </c>
      <c r="DE4" s="10" t="n">
        <f aca="false">DE3/(Inputs!$B$35+Inputs!$B$9*Inputs!$B$10)</f>
        <v>21</v>
      </c>
      <c r="DF4" s="10" t="n">
        <f aca="false">DF3/(Inputs!$B$35+Inputs!$B$9*Inputs!$B$10)</f>
        <v>21</v>
      </c>
      <c r="DG4" s="10" t="n">
        <f aca="false">DG3/(Inputs!$B$35+Inputs!$B$9*Inputs!$B$10)</f>
        <v>21</v>
      </c>
      <c r="DH4" s="10" t="n">
        <f aca="false">DH3/(Inputs!$B$35+Inputs!$B$9*Inputs!$B$10)</f>
        <v>21</v>
      </c>
      <c r="DI4" s="10" t="n">
        <f aca="false">DI3/(Inputs!$B$35+Inputs!$B$9*Inputs!$B$10)</f>
        <v>21</v>
      </c>
      <c r="DJ4" s="10" t="n">
        <f aca="false">DJ3/(Inputs!$B$35+Inputs!$B$9*Inputs!$B$10)</f>
        <v>21</v>
      </c>
      <c r="DK4" s="10" t="n">
        <f aca="false">DK3/(Inputs!$B$35+Inputs!$B$9*Inputs!$B$10)</f>
        <v>21</v>
      </c>
      <c r="DL4" s="10" t="n">
        <f aca="false">DL3/(Inputs!$B$35+Inputs!$B$9*Inputs!$B$10)</f>
        <v>21</v>
      </c>
      <c r="DM4" s="10" t="n">
        <f aca="false">DM3/(Inputs!$B$35+Inputs!$B$9*Inputs!$B$10)</f>
        <v>21</v>
      </c>
      <c r="DN4" s="10" t="n">
        <f aca="false">DN3/(Inputs!$B$35+Inputs!$B$9*Inputs!$B$10)</f>
        <v>21</v>
      </c>
      <c r="DO4" s="10" t="n">
        <f aca="false">DO3/(Inputs!$B$35+Inputs!$B$9*Inputs!$B$10)</f>
        <v>21</v>
      </c>
      <c r="DP4" s="10" t="n">
        <f aca="false">DP3/(Inputs!$B$35+Inputs!$B$9*Inputs!$B$10)</f>
        <v>21</v>
      </c>
      <c r="DQ4" s="10" t="n">
        <f aca="false">DQ3/(Inputs!$B$35+Inputs!$B$9*Inputs!$B$10)</f>
        <v>21</v>
      </c>
      <c r="DR4" s="10" t="n">
        <f aca="false">DR3/(Inputs!$B$35+Inputs!$B$9*Inputs!$B$10)</f>
        <v>21</v>
      </c>
    </row>
    <row r="5" customFormat="false" ht="15" hidden="false" customHeight="false" outlineLevel="0" collapsed="false">
      <c r="A5" s="9" t="s">
        <v>174</v>
      </c>
      <c r="B5" s="11" t="n">
        <f aca="false">B3-B4</f>
        <v>0</v>
      </c>
      <c r="C5" s="11" t="n">
        <f aca="false">C3-C4</f>
        <v>0</v>
      </c>
      <c r="D5" s="11" t="n">
        <f aca="false">D3-D4</f>
        <v>0</v>
      </c>
      <c r="E5" s="11" t="n">
        <f aca="false">E3-E4</f>
        <v>0</v>
      </c>
      <c r="F5" s="11" t="n">
        <f aca="false">F3-F4</f>
        <v>0</v>
      </c>
      <c r="G5" s="11" t="n">
        <f aca="false">G3-G4</f>
        <v>0</v>
      </c>
      <c r="H5" s="11" t="n">
        <f aca="false">H3-H4</f>
        <v>0</v>
      </c>
      <c r="I5" s="11" t="n">
        <f aca="false">I3-I4</f>
        <v>0</v>
      </c>
      <c r="J5" s="11" t="n">
        <f aca="false">J3-J4</f>
        <v>0</v>
      </c>
      <c r="K5" s="11" t="n">
        <f aca="false">K3-K4</f>
        <v>0</v>
      </c>
      <c r="L5" s="11" t="n">
        <f aca="false">L3-L4</f>
        <v>0</v>
      </c>
      <c r="M5" s="11" t="n">
        <f aca="false">M3-M4</f>
        <v>0</v>
      </c>
      <c r="N5" s="11" t="n">
        <f aca="false">N3-N4</f>
        <v>0</v>
      </c>
      <c r="O5" s="11" t="n">
        <f aca="false">O3-O4</f>
        <v>0</v>
      </c>
      <c r="P5" s="11" t="n">
        <f aca="false">P3-P4</f>
        <v>0</v>
      </c>
      <c r="Q5" s="11" t="n">
        <f aca="false">Q3-Q4</f>
        <v>0</v>
      </c>
      <c r="R5" s="11" t="n">
        <f aca="false">R3-R4</f>
        <v>0</v>
      </c>
      <c r="S5" s="11" t="n">
        <f aca="false">S3-S4</f>
        <v>0</v>
      </c>
      <c r="T5" s="11" t="n">
        <f aca="false">T3-T4</f>
        <v>0</v>
      </c>
      <c r="U5" s="11" t="n">
        <f aca="false">U3-U4</f>
        <v>0</v>
      </c>
      <c r="V5" s="11" t="n">
        <f aca="false">V3-V4</f>
        <v>0</v>
      </c>
      <c r="W5" s="11" t="n">
        <f aca="false">W3-W4</f>
        <v>0</v>
      </c>
      <c r="X5" s="11" t="n">
        <f aca="false">X3-X4</f>
        <v>0</v>
      </c>
      <c r="Y5" s="11" t="n">
        <f aca="false">Y3-Y4</f>
        <v>0</v>
      </c>
      <c r="Z5" s="11" t="n">
        <f aca="false">Z3-Z4</f>
        <v>0</v>
      </c>
      <c r="AA5" s="11" t="n">
        <f aca="false">AA3-AA4</f>
        <v>0</v>
      </c>
      <c r="AB5" s="11" t="n">
        <f aca="false">AB3-AB4</f>
        <v>0</v>
      </c>
      <c r="AC5" s="11" t="n">
        <f aca="false">AC3-AC4</f>
        <v>0</v>
      </c>
      <c r="AD5" s="11" t="n">
        <f aca="false">AD3-AD4</f>
        <v>0</v>
      </c>
      <c r="AE5" s="11" t="n">
        <f aca="false">AE3-AE4</f>
        <v>0</v>
      </c>
      <c r="AF5" s="11" t="n">
        <f aca="false">AF3-AF4</f>
        <v>0</v>
      </c>
      <c r="AG5" s="11" t="n">
        <f aca="false">AG3-AG4</f>
        <v>0</v>
      </c>
      <c r="AH5" s="11" t="n">
        <f aca="false">AH3-AH4</f>
        <v>0</v>
      </c>
      <c r="AI5" s="11" t="n">
        <f aca="false">AI3-AI4</f>
        <v>0</v>
      </c>
      <c r="AJ5" s="11" t="n">
        <f aca="false">AJ3-AJ4</f>
        <v>0</v>
      </c>
      <c r="AK5" s="11" t="n">
        <f aca="false">AK3-AK4</f>
        <v>0</v>
      </c>
      <c r="AL5" s="11" t="n">
        <f aca="false">AL3-AL4</f>
        <v>0</v>
      </c>
      <c r="AM5" s="11" t="n">
        <f aca="false">AM3-AM4</f>
        <v>0</v>
      </c>
      <c r="AN5" s="11" t="n">
        <f aca="false">AN3-AN4</f>
        <v>0</v>
      </c>
      <c r="AO5" s="11" t="n">
        <f aca="false">AO3-AO4</f>
        <v>0</v>
      </c>
      <c r="AP5" s="11" t="n">
        <f aca="false">AP3-AP4</f>
        <v>0</v>
      </c>
      <c r="AQ5" s="11" t="n">
        <f aca="false">AQ3-AQ4</f>
        <v>0</v>
      </c>
      <c r="AR5" s="11" t="n">
        <f aca="false">AR3-AR4</f>
        <v>0</v>
      </c>
      <c r="AS5" s="11" t="n">
        <f aca="false">AS3-AS4</f>
        <v>0</v>
      </c>
      <c r="AT5" s="11" t="n">
        <f aca="false">AT3-AT4</f>
        <v>0</v>
      </c>
      <c r="AU5" s="11" t="n">
        <f aca="false">AU3-AU4</f>
        <v>0</v>
      </c>
      <c r="AV5" s="11" t="n">
        <f aca="false">AV3-AV4</f>
        <v>0</v>
      </c>
      <c r="AW5" s="11" t="n">
        <f aca="false">AW3-AW4</f>
        <v>0</v>
      </c>
      <c r="AX5" s="11" t="n">
        <f aca="false">AX3-AX4</f>
        <v>0</v>
      </c>
      <c r="AY5" s="11" t="n">
        <f aca="false">AY3-AY4</f>
        <v>0</v>
      </c>
      <c r="AZ5" s="11" t="n">
        <f aca="false">AZ3-AZ4</f>
        <v>0</v>
      </c>
      <c r="BA5" s="11" t="n">
        <f aca="false">BA3-BA4</f>
        <v>0</v>
      </c>
      <c r="BB5" s="11" t="n">
        <f aca="false">BB3-BB4</f>
        <v>0</v>
      </c>
      <c r="BC5" s="11" t="n">
        <f aca="false">BC3-BC4</f>
        <v>0</v>
      </c>
      <c r="BD5" s="11" t="n">
        <f aca="false">BD3-BD4</f>
        <v>0</v>
      </c>
      <c r="BE5" s="11" t="n">
        <f aca="false">BE3-BE4</f>
        <v>0</v>
      </c>
      <c r="BF5" s="11" t="n">
        <f aca="false">BF3-BF4</f>
        <v>0</v>
      </c>
      <c r="BG5" s="11" t="n">
        <f aca="false">BG3-BG4</f>
        <v>0</v>
      </c>
      <c r="BH5" s="11" t="n">
        <f aca="false">BH3-BH4</f>
        <v>0</v>
      </c>
      <c r="BI5" s="11" t="n">
        <f aca="false">BI3-BI4</f>
        <v>0</v>
      </c>
      <c r="BJ5" s="11" t="n">
        <f aca="false">BJ3-BJ4</f>
        <v>0</v>
      </c>
      <c r="BK5" s="11" t="n">
        <f aca="false">BK3-BK4</f>
        <v>0</v>
      </c>
      <c r="BL5" s="11" t="n">
        <f aca="false">BL3-BL4</f>
        <v>0</v>
      </c>
      <c r="BM5" s="11" t="n">
        <f aca="false">BM3-BM4</f>
        <v>0</v>
      </c>
      <c r="BN5" s="11" t="n">
        <f aca="false">BN3-BN4</f>
        <v>0</v>
      </c>
      <c r="BO5" s="11" t="n">
        <f aca="false">BO3-BO4</f>
        <v>0</v>
      </c>
      <c r="BP5" s="11" t="n">
        <f aca="false">BP3-BP4</f>
        <v>0</v>
      </c>
      <c r="BQ5" s="11" t="n">
        <f aca="false">BQ3-BQ4</f>
        <v>0</v>
      </c>
      <c r="BR5" s="11" t="n">
        <f aca="false">BR3-BR4</f>
        <v>0</v>
      </c>
      <c r="BS5" s="11" t="n">
        <f aca="false">BS3-BS4</f>
        <v>0</v>
      </c>
      <c r="BT5" s="11" t="n">
        <f aca="false">BT3-BT4</f>
        <v>0</v>
      </c>
      <c r="BU5" s="11" t="n">
        <f aca="false">BU3-BU4</f>
        <v>0</v>
      </c>
      <c r="BV5" s="11" t="n">
        <f aca="false">BV3-BV4</f>
        <v>0</v>
      </c>
      <c r="BW5" s="11" t="n">
        <f aca="false">BW3-BW4</f>
        <v>0</v>
      </c>
      <c r="BX5" s="11" t="n">
        <f aca="false">BX3-BX4</f>
        <v>0</v>
      </c>
      <c r="BY5" s="11" t="n">
        <f aca="false">BY3-BY4</f>
        <v>0</v>
      </c>
      <c r="BZ5" s="11" t="n">
        <f aca="false">BZ3-BZ4</f>
        <v>0</v>
      </c>
      <c r="CA5" s="11" t="n">
        <f aca="false">CA3-CA4</f>
        <v>0</v>
      </c>
      <c r="CB5" s="11" t="n">
        <f aca="false">CB3-CB4</f>
        <v>0</v>
      </c>
      <c r="CC5" s="11" t="n">
        <f aca="false">CC3-CC4</f>
        <v>0</v>
      </c>
      <c r="CD5" s="11" t="n">
        <f aca="false">CD3-CD4</f>
        <v>0</v>
      </c>
      <c r="CE5" s="11" t="n">
        <f aca="false">CE3-CE4</f>
        <v>0</v>
      </c>
      <c r="CF5" s="11" t="n">
        <f aca="false">CF3-CF4</f>
        <v>0</v>
      </c>
      <c r="CG5" s="11" t="n">
        <f aca="false">CG3-CG4</f>
        <v>0</v>
      </c>
      <c r="CH5" s="11" t="n">
        <f aca="false">CH3-CH4</f>
        <v>0</v>
      </c>
      <c r="CI5" s="11" t="n">
        <f aca="false">CI3-CI4</f>
        <v>0</v>
      </c>
      <c r="CJ5" s="11" t="n">
        <f aca="false">CJ3-CJ4</f>
        <v>0</v>
      </c>
      <c r="CK5" s="11" t="n">
        <f aca="false">CK3-CK4</f>
        <v>0</v>
      </c>
      <c r="CL5" s="11" t="n">
        <f aca="false">CL3-CL4</f>
        <v>0</v>
      </c>
      <c r="CM5" s="11" t="n">
        <f aca="false">CM3-CM4</f>
        <v>0</v>
      </c>
      <c r="CN5" s="11" t="n">
        <f aca="false">CN3-CN4</f>
        <v>0</v>
      </c>
      <c r="CO5" s="11" t="n">
        <f aca="false">CO3-CO4</f>
        <v>0</v>
      </c>
      <c r="CP5" s="11" t="n">
        <f aca="false">CP3-CP4</f>
        <v>0</v>
      </c>
      <c r="CQ5" s="11" t="n">
        <f aca="false">CQ3-CQ4</f>
        <v>0</v>
      </c>
      <c r="CR5" s="11" t="n">
        <f aca="false">CR3-CR4</f>
        <v>0</v>
      </c>
      <c r="CS5" s="11" t="n">
        <f aca="false">CS3-CS4</f>
        <v>0</v>
      </c>
      <c r="CT5" s="11" t="n">
        <f aca="false">CT3-CT4</f>
        <v>0</v>
      </c>
      <c r="CU5" s="11" t="n">
        <f aca="false">CU3-CU4</f>
        <v>0</v>
      </c>
      <c r="CV5" s="11" t="n">
        <f aca="false">CV3-CV4</f>
        <v>0</v>
      </c>
      <c r="CW5" s="11" t="n">
        <f aca="false">CW3-CW4</f>
        <v>0</v>
      </c>
      <c r="CX5" s="11" t="n">
        <f aca="false">CX3-CX4</f>
        <v>0</v>
      </c>
      <c r="CY5" s="11" t="n">
        <f aca="false">CY3-CY4</f>
        <v>0</v>
      </c>
      <c r="CZ5" s="11" t="n">
        <f aca="false">CZ3-CZ4</f>
        <v>0</v>
      </c>
      <c r="DA5" s="11" t="n">
        <f aca="false">DA3-DA4</f>
        <v>0</v>
      </c>
      <c r="DB5" s="11" t="n">
        <f aca="false">DB3-DB4</f>
        <v>0</v>
      </c>
      <c r="DC5" s="11" t="n">
        <f aca="false">DC3-DC4</f>
        <v>0</v>
      </c>
      <c r="DD5" s="11" t="n">
        <f aca="false">DD3-DD4</f>
        <v>0</v>
      </c>
      <c r="DE5" s="11" t="n">
        <f aca="false">DE3-DE4</f>
        <v>0</v>
      </c>
      <c r="DF5" s="11" t="n">
        <f aca="false">DF3-DF4</f>
        <v>0</v>
      </c>
      <c r="DG5" s="11" t="n">
        <f aca="false">DG3-DG4</f>
        <v>0</v>
      </c>
      <c r="DH5" s="11" t="n">
        <f aca="false">DH3-DH4</f>
        <v>0</v>
      </c>
      <c r="DI5" s="11" t="n">
        <f aca="false">DI3-DI4</f>
        <v>0</v>
      </c>
      <c r="DJ5" s="11" t="n">
        <f aca="false">DJ3-DJ4</f>
        <v>0</v>
      </c>
      <c r="DK5" s="11" t="n">
        <f aca="false">DK3-DK4</f>
        <v>0</v>
      </c>
      <c r="DL5" s="11" t="n">
        <f aca="false">DL3-DL4</f>
        <v>0</v>
      </c>
      <c r="DM5" s="11" t="n">
        <f aca="false">DM3-DM4</f>
        <v>0</v>
      </c>
      <c r="DN5" s="11" t="n">
        <f aca="false">DN3-DN4</f>
        <v>0</v>
      </c>
      <c r="DO5" s="11" t="n">
        <f aca="false">DO3-DO4</f>
        <v>0</v>
      </c>
      <c r="DP5" s="11" t="n">
        <f aca="false">DP3-DP4</f>
        <v>0</v>
      </c>
      <c r="DQ5" s="11" t="n">
        <f aca="false">DQ3-DQ4</f>
        <v>0</v>
      </c>
      <c r="DR5" s="11" t="n">
        <f aca="false">DR3-DR4</f>
        <v>0</v>
      </c>
    </row>
    <row r="6" customFormat="false" ht="15" hidden="false" customHeight="false" outlineLevel="0" collapsed="false">
      <c r="A6" s="9" t="s">
        <v>175</v>
      </c>
      <c r="B6" s="10" t="n">
        <f aca="false">B4*Streams!$E$2/Streams!$E$15</f>
        <v>0</v>
      </c>
      <c r="C6" s="10" t="n">
        <f aca="false">C4*Streams!$E$2/Streams!$E$15</f>
        <v>0</v>
      </c>
      <c r="D6" s="10" t="n">
        <f aca="false">D4*Streams!$E$2/Streams!$E$15</f>
        <v>0</v>
      </c>
      <c r="E6" s="10" t="n">
        <f aca="false">E4*Streams!$E$2/Streams!$E$15</f>
        <v>0</v>
      </c>
      <c r="F6" s="10" t="n">
        <f aca="false">F4*Streams!$E$2/Streams!$E$15</f>
        <v>0</v>
      </c>
      <c r="G6" s="10" t="n">
        <f aca="false">G4*Streams!$E$2/Streams!$E$15</f>
        <v>0</v>
      </c>
      <c r="H6" s="10" t="n">
        <f aca="false">H4*Streams!$E$2/Streams!$E$15</f>
        <v>0</v>
      </c>
      <c r="I6" s="10" t="n">
        <f aca="false">I4*Streams!$E$2/Streams!$E$15</f>
        <v>0</v>
      </c>
      <c r="J6" s="10" t="n">
        <f aca="false">J4*Streams!$E$2/Streams!$E$15</f>
        <v>0</v>
      </c>
      <c r="K6" s="10" t="n">
        <f aca="false">K4*Streams!$E$2/Streams!$E$15</f>
        <v>2.05714285714286</v>
      </c>
      <c r="L6" s="10" t="n">
        <f aca="false">L4*Streams!$E$2/Streams!$E$15</f>
        <v>2.05714285714286</v>
      </c>
      <c r="M6" s="10" t="n">
        <f aca="false">M4*Streams!$E$2/Streams!$E$15</f>
        <v>2.05714285714286</v>
      </c>
      <c r="N6" s="10" t="n">
        <f aca="false">N4*Streams!$E$2/Streams!$E$15</f>
        <v>3.42857142857143</v>
      </c>
      <c r="O6" s="10" t="n">
        <f aca="false">O4*Streams!$E$2/Streams!$E$15</f>
        <v>3.42857142857143</v>
      </c>
      <c r="P6" s="10" t="n">
        <f aca="false">P4*Streams!$E$2/Streams!$E$15</f>
        <v>3.42857142857143</v>
      </c>
      <c r="Q6" s="10" t="n">
        <f aca="false">Q4*Streams!$E$2/Streams!$E$15</f>
        <v>4.8</v>
      </c>
      <c r="R6" s="10" t="n">
        <f aca="false">R4*Streams!$E$2/Streams!$E$15</f>
        <v>4.8</v>
      </c>
      <c r="S6" s="10" t="n">
        <f aca="false">S4*Streams!$E$2/Streams!$E$15</f>
        <v>4.8</v>
      </c>
      <c r="T6" s="10" t="n">
        <f aca="false">T4*Streams!$E$2/Streams!$E$15</f>
        <v>4.8</v>
      </c>
      <c r="U6" s="10" t="n">
        <f aca="false">U4*Streams!$E$2/Streams!$E$15</f>
        <v>4.8</v>
      </c>
      <c r="V6" s="10" t="n">
        <f aca="false">V4*Streams!$E$2/Streams!$E$15</f>
        <v>4.8</v>
      </c>
      <c r="W6" s="10" t="n">
        <f aca="false">W4*Streams!$E$2/Streams!$E$15</f>
        <v>4.8</v>
      </c>
      <c r="X6" s="10" t="n">
        <f aca="false">X4*Streams!$E$2/Streams!$E$15</f>
        <v>4.8</v>
      </c>
      <c r="Y6" s="10" t="n">
        <f aca="false">Y4*Streams!$E$2/Streams!$E$15</f>
        <v>4.8</v>
      </c>
      <c r="Z6" s="10" t="n">
        <f aca="false">Z4*Streams!$E$2/Streams!$E$15</f>
        <v>4.8</v>
      </c>
      <c r="AA6" s="10" t="n">
        <f aca="false">AA4*Streams!$E$2/Streams!$E$15</f>
        <v>4.8</v>
      </c>
      <c r="AB6" s="10" t="n">
        <f aca="false">AB4*Streams!$E$2/Streams!$E$15</f>
        <v>4.8</v>
      </c>
      <c r="AC6" s="10" t="n">
        <f aca="false">AC4*Streams!$E$2/Streams!$E$15</f>
        <v>4.8</v>
      </c>
      <c r="AD6" s="10" t="n">
        <f aca="false">AD4*Streams!$E$2/Streams!$E$15</f>
        <v>4.8</v>
      </c>
      <c r="AE6" s="10" t="n">
        <f aca="false">AE4*Streams!$E$2/Streams!$E$15</f>
        <v>4.8</v>
      </c>
      <c r="AF6" s="10" t="n">
        <f aca="false">AF4*Streams!$E$2/Streams!$E$15</f>
        <v>4.8</v>
      </c>
      <c r="AG6" s="10" t="n">
        <f aca="false">AG4*Streams!$E$2/Streams!$E$15</f>
        <v>4.8</v>
      </c>
      <c r="AH6" s="10" t="n">
        <f aca="false">AH4*Streams!$E$2/Streams!$E$15</f>
        <v>4.8</v>
      </c>
      <c r="AI6" s="10" t="n">
        <f aca="false">AI4*Streams!$E$2/Streams!$E$15</f>
        <v>4.8</v>
      </c>
      <c r="AJ6" s="10" t="n">
        <f aca="false">AJ4*Streams!$E$2/Streams!$E$15</f>
        <v>4.8</v>
      </c>
      <c r="AK6" s="10" t="n">
        <f aca="false">AK4*Streams!$E$2/Streams!$E$15</f>
        <v>4.8</v>
      </c>
      <c r="AL6" s="10" t="n">
        <f aca="false">AL4*Streams!$E$2/Streams!$E$15</f>
        <v>4.8</v>
      </c>
      <c r="AM6" s="10" t="n">
        <f aca="false">AM4*Streams!$E$2/Streams!$E$15</f>
        <v>4.8</v>
      </c>
      <c r="AN6" s="10" t="n">
        <f aca="false">AN4*Streams!$E$2/Streams!$E$15</f>
        <v>4.8</v>
      </c>
      <c r="AO6" s="10" t="n">
        <f aca="false">AO4*Streams!$E$2/Streams!$E$15</f>
        <v>4.8</v>
      </c>
      <c r="AP6" s="10" t="n">
        <f aca="false">AP4*Streams!$E$2/Streams!$E$15</f>
        <v>4.8</v>
      </c>
      <c r="AQ6" s="10" t="n">
        <f aca="false">AQ4*Streams!$E$2/Streams!$E$15</f>
        <v>4.8</v>
      </c>
      <c r="AR6" s="10" t="n">
        <f aca="false">AR4*Streams!$E$2/Streams!$E$15</f>
        <v>4.8</v>
      </c>
      <c r="AS6" s="10" t="n">
        <f aca="false">AS4*Streams!$E$2/Streams!$E$15</f>
        <v>4.8</v>
      </c>
      <c r="AT6" s="10" t="n">
        <f aca="false">AT4*Streams!$E$2/Streams!$E$15</f>
        <v>4.8</v>
      </c>
      <c r="AU6" s="10" t="n">
        <f aca="false">AU4*Streams!$E$2/Streams!$E$15</f>
        <v>4.8</v>
      </c>
      <c r="AV6" s="10" t="n">
        <f aca="false">AV4*Streams!$E$2/Streams!$E$15</f>
        <v>4.8</v>
      </c>
      <c r="AW6" s="10" t="n">
        <f aca="false">AW4*Streams!$E$2/Streams!$E$15</f>
        <v>4.8</v>
      </c>
      <c r="AX6" s="10" t="n">
        <f aca="false">AX4*Streams!$E$2/Streams!$E$15</f>
        <v>4.8</v>
      </c>
      <c r="AY6" s="10" t="n">
        <f aca="false">AY4*Streams!$E$2/Streams!$E$15</f>
        <v>4.8</v>
      </c>
      <c r="AZ6" s="10" t="n">
        <f aca="false">AZ4*Streams!$E$2/Streams!$E$15</f>
        <v>4.8</v>
      </c>
      <c r="BA6" s="10" t="n">
        <f aca="false">BA4*Streams!$E$2/Streams!$E$15</f>
        <v>4.8</v>
      </c>
      <c r="BB6" s="10" t="n">
        <f aca="false">BB4*Streams!$E$2/Streams!$E$15</f>
        <v>4.8</v>
      </c>
      <c r="BC6" s="10" t="n">
        <f aca="false">BC4*Streams!$E$2/Streams!$E$15</f>
        <v>4.8</v>
      </c>
      <c r="BD6" s="10" t="n">
        <f aca="false">BD4*Streams!$E$2/Streams!$E$15</f>
        <v>4.8</v>
      </c>
      <c r="BE6" s="10" t="n">
        <f aca="false">BE4*Streams!$E$2/Streams!$E$15</f>
        <v>4.8</v>
      </c>
      <c r="BF6" s="10" t="n">
        <f aca="false">BF4*Streams!$E$2/Streams!$E$15</f>
        <v>4.8</v>
      </c>
      <c r="BG6" s="10" t="n">
        <f aca="false">BG4*Streams!$E$2/Streams!$E$15</f>
        <v>4.8</v>
      </c>
      <c r="BH6" s="10" t="n">
        <f aca="false">BH4*Streams!$E$2/Streams!$E$15</f>
        <v>4.8</v>
      </c>
      <c r="BI6" s="10" t="n">
        <f aca="false">BI4*Streams!$E$2/Streams!$E$15</f>
        <v>4.8</v>
      </c>
      <c r="BJ6" s="10" t="n">
        <f aca="false">BJ4*Streams!$E$2/Streams!$E$15</f>
        <v>4.8</v>
      </c>
      <c r="BK6" s="10" t="n">
        <f aca="false">BK4*Streams!$E$2/Streams!$E$15</f>
        <v>4.8</v>
      </c>
      <c r="BL6" s="10" t="n">
        <f aca="false">BL4*Streams!$E$2/Streams!$E$15</f>
        <v>4.8</v>
      </c>
      <c r="BM6" s="10" t="n">
        <f aca="false">BM4*Streams!$E$2/Streams!$E$15</f>
        <v>4.8</v>
      </c>
      <c r="BN6" s="10" t="n">
        <f aca="false">BN4*Streams!$E$2/Streams!$E$15</f>
        <v>4.8</v>
      </c>
      <c r="BO6" s="10" t="n">
        <f aca="false">BO4*Streams!$E$2/Streams!$E$15</f>
        <v>4.8</v>
      </c>
      <c r="BP6" s="10" t="n">
        <f aca="false">BP4*Streams!$E$2/Streams!$E$15</f>
        <v>4.8</v>
      </c>
      <c r="BQ6" s="10" t="n">
        <f aca="false">BQ4*Streams!$E$2/Streams!$E$15</f>
        <v>4.8</v>
      </c>
      <c r="BR6" s="10" t="n">
        <f aca="false">BR4*Streams!$E$2/Streams!$E$15</f>
        <v>4.8</v>
      </c>
      <c r="BS6" s="10" t="n">
        <f aca="false">BS4*Streams!$E$2/Streams!$E$15</f>
        <v>4.8</v>
      </c>
      <c r="BT6" s="10" t="n">
        <f aca="false">BT4*Streams!$E$2/Streams!$E$15</f>
        <v>4.8</v>
      </c>
      <c r="BU6" s="10" t="n">
        <f aca="false">BU4*Streams!$E$2/Streams!$E$15</f>
        <v>4.8</v>
      </c>
      <c r="BV6" s="10" t="n">
        <f aca="false">BV4*Streams!$E$2/Streams!$E$15</f>
        <v>4.8</v>
      </c>
      <c r="BW6" s="10" t="n">
        <f aca="false">BW4*Streams!$E$2/Streams!$E$15</f>
        <v>4.8</v>
      </c>
      <c r="BX6" s="10" t="n">
        <f aca="false">BX4*Streams!$E$2/Streams!$E$15</f>
        <v>4.8</v>
      </c>
      <c r="BY6" s="10" t="n">
        <f aca="false">BY4*Streams!$E$2/Streams!$E$15</f>
        <v>4.8</v>
      </c>
      <c r="BZ6" s="10" t="n">
        <f aca="false">BZ4*Streams!$E$2/Streams!$E$15</f>
        <v>4.8</v>
      </c>
      <c r="CA6" s="10" t="n">
        <f aca="false">CA4*Streams!$E$2/Streams!$E$15</f>
        <v>4.8</v>
      </c>
      <c r="CB6" s="10" t="n">
        <f aca="false">CB4*Streams!$E$2/Streams!$E$15</f>
        <v>4.8</v>
      </c>
      <c r="CC6" s="10" t="n">
        <f aca="false">CC4*Streams!$E$2/Streams!$E$15</f>
        <v>4.8</v>
      </c>
      <c r="CD6" s="10" t="n">
        <f aca="false">CD4*Streams!$E$2/Streams!$E$15</f>
        <v>4.8</v>
      </c>
      <c r="CE6" s="10" t="n">
        <f aca="false">CE4*Streams!$E$2/Streams!$E$15</f>
        <v>4.8</v>
      </c>
      <c r="CF6" s="10" t="n">
        <f aca="false">CF4*Streams!$E$2/Streams!$E$15</f>
        <v>4.8</v>
      </c>
      <c r="CG6" s="10" t="n">
        <f aca="false">CG4*Streams!$E$2/Streams!$E$15</f>
        <v>4.8</v>
      </c>
      <c r="CH6" s="10" t="n">
        <f aca="false">CH4*Streams!$E$2/Streams!$E$15</f>
        <v>4.8</v>
      </c>
      <c r="CI6" s="10" t="n">
        <f aca="false">CI4*Streams!$E$2/Streams!$E$15</f>
        <v>4.8</v>
      </c>
      <c r="CJ6" s="10" t="n">
        <f aca="false">CJ4*Streams!$E$2/Streams!$E$15</f>
        <v>4.8</v>
      </c>
      <c r="CK6" s="10" t="n">
        <f aca="false">CK4*Streams!$E$2/Streams!$E$15</f>
        <v>4.8</v>
      </c>
      <c r="CL6" s="10" t="n">
        <f aca="false">CL4*Streams!$E$2/Streams!$E$15</f>
        <v>4.8</v>
      </c>
      <c r="CM6" s="10" t="n">
        <f aca="false">CM4*Streams!$E$2/Streams!$E$15</f>
        <v>4.8</v>
      </c>
      <c r="CN6" s="10" t="n">
        <f aca="false">CN4*Streams!$E$2/Streams!$E$15</f>
        <v>4.8</v>
      </c>
      <c r="CO6" s="10" t="n">
        <f aca="false">CO4*Streams!$E$2/Streams!$E$15</f>
        <v>4.8</v>
      </c>
      <c r="CP6" s="10" t="n">
        <f aca="false">CP4*Streams!$E$2/Streams!$E$15</f>
        <v>4.8</v>
      </c>
      <c r="CQ6" s="10" t="n">
        <f aca="false">CQ4*Streams!$E$2/Streams!$E$15</f>
        <v>4.8</v>
      </c>
      <c r="CR6" s="10" t="n">
        <f aca="false">CR4*Streams!$E$2/Streams!$E$15</f>
        <v>4.8</v>
      </c>
      <c r="CS6" s="10" t="n">
        <f aca="false">CS4*Streams!$E$2/Streams!$E$15</f>
        <v>4.8</v>
      </c>
      <c r="CT6" s="10" t="n">
        <f aca="false">CT4*Streams!$E$2/Streams!$E$15</f>
        <v>4.8</v>
      </c>
      <c r="CU6" s="10" t="n">
        <f aca="false">CU4*Streams!$E$2/Streams!$E$15</f>
        <v>4.8</v>
      </c>
      <c r="CV6" s="10" t="n">
        <f aca="false">CV4*Streams!$E$2/Streams!$E$15</f>
        <v>4.8</v>
      </c>
      <c r="CW6" s="10" t="n">
        <f aca="false">CW4*Streams!$E$2/Streams!$E$15</f>
        <v>4.8</v>
      </c>
      <c r="CX6" s="10" t="n">
        <f aca="false">CX4*Streams!$E$2/Streams!$E$15</f>
        <v>4.8</v>
      </c>
      <c r="CY6" s="10" t="n">
        <f aca="false">CY4*Streams!$E$2/Streams!$E$15</f>
        <v>4.8</v>
      </c>
      <c r="CZ6" s="10" t="n">
        <f aca="false">CZ4*Streams!$E$2/Streams!$E$15</f>
        <v>4.8</v>
      </c>
      <c r="DA6" s="10" t="n">
        <f aca="false">DA4*Streams!$E$2/Streams!$E$15</f>
        <v>4.8</v>
      </c>
      <c r="DB6" s="10" t="n">
        <f aca="false">DB4*Streams!$E$2/Streams!$E$15</f>
        <v>4.8</v>
      </c>
      <c r="DC6" s="10" t="n">
        <f aca="false">DC4*Streams!$E$2/Streams!$E$15</f>
        <v>4.8</v>
      </c>
      <c r="DD6" s="10" t="n">
        <f aca="false">DD4*Streams!$E$2/Streams!$E$15</f>
        <v>4.8</v>
      </c>
      <c r="DE6" s="10" t="n">
        <f aca="false">DE4*Streams!$E$2/Streams!$E$15</f>
        <v>4.8</v>
      </c>
      <c r="DF6" s="10" t="n">
        <f aca="false">DF4*Streams!$E$2/Streams!$E$15</f>
        <v>4.8</v>
      </c>
      <c r="DG6" s="10" t="n">
        <f aca="false">DG4*Streams!$E$2/Streams!$E$15</f>
        <v>4.8</v>
      </c>
      <c r="DH6" s="10" t="n">
        <f aca="false">DH4*Streams!$E$2/Streams!$E$15</f>
        <v>4.8</v>
      </c>
      <c r="DI6" s="10" t="n">
        <f aca="false">DI4*Streams!$E$2/Streams!$E$15</f>
        <v>4.8</v>
      </c>
      <c r="DJ6" s="10" t="n">
        <f aca="false">DJ4*Streams!$E$2/Streams!$E$15</f>
        <v>4.8</v>
      </c>
      <c r="DK6" s="10" t="n">
        <f aca="false">DK4*Streams!$E$2/Streams!$E$15</f>
        <v>4.8</v>
      </c>
      <c r="DL6" s="10" t="n">
        <f aca="false">DL4*Streams!$E$2/Streams!$E$15</f>
        <v>4.8</v>
      </c>
      <c r="DM6" s="10" t="n">
        <f aca="false">DM4*Streams!$E$2/Streams!$E$15</f>
        <v>4.8</v>
      </c>
      <c r="DN6" s="10" t="n">
        <f aca="false">DN4*Streams!$E$2/Streams!$E$15</f>
        <v>4.8</v>
      </c>
      <c r="DO6" s="10" t="n">
        <f aca="false">DO4*Streams!$E$2/Streams!$E$15</f>
        <v>4.8</v>
      </c>
      <c r="DP6" s="10" t="n">
        <f aca="false">DP4*Streams!$E$2/Streams!$E$15</f>
        <v>4.8</v>
      </c>
      <c r="DQ6" s="10" t="n">
        <f aca="false">DQ4*Streams!$E$2/Streams!$E$15</f>
        <v>4.8</v>
      </c>
      <c r="DR6" s="10" t="n">
        <f aca="false">DR4*Streams!$E$2/Streams!$E$15</f>
        <v>4.8</v>
      </c>
    </row>
    <row r="7" customFormat="false" ht="15" hidden="false" customHeight="false" outlineLevel="0" collapsed="false">
      <c r="A7" s="9" t="s">
        <v>176</v>
      </c>
      <c r="B7" s="10" t="n">
        <f aca="false">B4*Streams!$E$3/Streams!$E$15</f>
        <v>0</v>
      </c>
      <c r="C7" s="10" t="n">
        <f aca="false">C4*Streams!$E$3/Streams!$E$15</f>
        <v>0</v>
      </c>
      <c r="D7" s="10" t="n">
        <f aca="false">D4*Streams!$E$3/Streams!$E$15</f>
        <v>0</v>
      </c>
      <c r="E7" s="10" t="n">
        <f aca="false">E4*Streams!$E$3/Streams!$E$15</f>
        <v>0</v>
      </c>
      <c r="F7" s="10" t="n">
        <f aca="false">F4*Streams!$E$3/Streams!$E$15</f>
        <v>0</v>
      </c>
      <c r="G7" s="10" t="n">
        <f aca="false">G4*Streams!$E$3/Streams!$E$15</f>
        <v>0</v>
      </c>
      <c r="H7" s="10" t="n">
        <f aca="false">H4*Streams!$E$3/Streams!$E$15</f>
        <v>0</v>
      </c>
      <c r="I7" s="10" t="n">
        <f aca="false">I4*Streams!$E$3/Streams!$E$15</f>
        <v>0</v>
      </c>
      <c r="J7" s="10" t="n">
        <f aca="false">J4*Streams!$E$3/Streams!$E$15</f>
        <v>0</v>
      </c>
      <c r="K7" s="10" t="n">
        <f aca="false">K4*Streams!$E$3/Streams!$E$15</f>
        <v>0.771428571428572</v>
      </c>
      <c r="L7" s="10" t="n">
        <f aca="false">L4*Streams!$E$3/Streams!$E$15</f>
        <v>0.771428571428572</v>
      </c>
      <c r="M7" s="10" t="n">
        <f aca="false">M4*Streams!$E$3/Streams!$E$15</f>
        <v>0.771428571428572</v>
      </c>
      <c r="N7" s="10" t="n">
        <f aca="false">N4*Streams!$E$3/Streams!$E$15</f>
        <v>1.28571428571429</v>
      </c>
      <c r="O7" s="10" t="n">
        <f aca="false">O4*Streams!$E$3/Streams!$E$15</f>
        <v>1.28571428571429</v>
      </c>
      <c r="P7" s="10" t="n">
        <f aca="false">P4*Streams!$E$3/Streams!$E$15</f>
        <v>1.28571428571429</v>
      </c>
      <c r="Q7" s="10" t="n">
        <f aca="false">Q4*Streams!$E$3/Streams!$E$15</f>
        <v>1.8</v>
      </c>
      <c r="R7" s="10" t="n">
        <f aca="false">R4*Streams!$E$3/Streams!$E$15</f>
        <v>1.8</v>
      </c>
      <c r="S7" s="10" t="n">
        <f aca="false">S4*Streams!$E$3/Streams!$E$15</f>
        <v>1.8</v>
      </c>
      <c r="T7" s="10" t="n">
        <f aca="false">T4*Streams!$E$3/Streams!$E$15</f>
        <v>1.8</v>
      </c>
      <c r="U7" s="10" t="n">
        <f aca="false">U4*Streams!$E$3/Streams!$E$15</f>
        <v>1.8</v>
      </c>
      <c r="V7" s="10" t="n">
        <f aca="false">V4*Streams!$E$3/Streams!$E$15</f>
        <v>1.8</v>
      </c>
      <c r="W7" s="10" t="n">
        <f aca="false">W4*Streams!$E$3/Streams!$E$15</f>
        <v>1.8</v>
      </c>
      <c r="X7" s="10" t="n">
        <f aca="false">X4*Streams!$E$3/Streams!$E$15</f>
        <v>1.8</v>
      </c>
      <c r="Y7" s="10" t="n">
        <f aca="false">Y4*Streams!$E$3/Streams!$E$15</f>
        <v>1.8</v>
      </c>
      <c r="Z7" s="10" t="n">
        <f aca="false">Z4*Streams!$E$3/Streams!$E$15</f>
        <v>1.8</v>
      </c>
      <c r="AA7" s="10" t="n">
        <f aca="false">AA4*Streams!$E$3/Streams!$E$15</f>
        <v>1.8</v>
      </c>
      <c r="AB7" s="10" t="n">
        <f aca="false">AB4*Streams!$E$3/Streams!$E$15</f>
        <v>1.8</v>
      </c>
      <c r="AC7" s="10" t="n">
        <f aca="false">AC4*Streams!$E$3/Streams!$E$15</f>
        <v>1.8</v>
      </c>
      <c r="AD7" s="10" t="n">
        <f aca="false">AD4*Streams!$E$3/Streams!$E$15</f>
        <v>1.8</v>
      </c>
      <c r="AE7" s="10" t="n">
        <f aca="false">AE4*Streams!$E$3/Streams!$E$15</f>
        <v>1.8</v>
      </c>
      <c r="AF7" s="10" t="n">
        <f aca="false">AF4*Streams!$E$3/Streams!$E$15</f>
        <v>1.8</v>
      </c>
      <c r="AG7" s="10" t="n">
        <f aca="false">AG4*Streams!$E$3/Streams!$E$15</f>
        <v>1.8</v>
      </c>
      <c r="AH7" s="10" t="n">
        <f aca="false">AH4*Streams!$E$3/Streams!$E$15</f>
        <v>1.8</v>
      </c>
      <c r="AI7" s="10" t="n">
        <f aca="false">AI4*Streams!$E$3/Streams!$E$15</f>
        <v>1.8</v>
      </c>
      <c r="AJ7" s="10" t="n">
        <f aca="false">AJ4*Streams!$E$3/Streams!$E$15</f>
        <v>1.8</v>
      </c>
      <c r="AK7" s="10" t="n">
        <f aca="false">AK4*Streams!$E$3/Streams!$E$15</f>
        <v>1.8</v>
      </c>
      <c r="AL7" s="10" t="n">
        <f aca="false">AL4*Streams!$E$3/Streams!$E$15</f>
        <v>1.8</v>
      </c>
      <c r="AM7" s="10" t="n">
        <f aca="false">AM4*Streams!$E$3/Streams!$E$15</f>
        <v>1.8</v>
      </c>
      <c r="AN7" s="10" t="n">
        <f aca="false">AN4*Streams!$E$3/Streams!$E$15</f>
        <v>1.8</v>
      </c>
      <c r="AO7" s="10" t="n">
        <f aca="false">AO4*Streams!$E$3/Streams!$E$15</f>
        <v>1.8</v>
      </c>
      <c r="AP7" s="10" t="n">
        <f aca="false">AP4*Streams!$E$3/Streams!$E$15</f>
        <v>1.8</v>
      </c>
      <c r="AQ7" s="10" t="n">
        <f aca="false">AQ4*Streams!$E$3/Streams!$E$15</f>
        <v>1.8</v>
      </c>
      <c r="AR7" s="10" t="n">
        <f aca="false">AR4*Streams!$E$3/Streams!$E$15</f>
        <v>1.8</v>
      </c>
      <c r="AS7" s="10" t="n">
        <f aca="false">AS4*Streams!$E$3/Streams!$E$15</f>
        <v>1.8</v>
      </c>
      <c r="AT7" s="10" t="n">
        <f aca="false">AT4*Streams!$E$3/Streams!$E$15</f>
        <v>1.8</v>
      </c>
      <c r="AU7" s="10" t="n">
        <f aca="false">AU4*Streams!$E$3/Streams!$E$15</f>
        <v>1.8</v>
      </c>
      <c r="AV7" s="10" t="n">
        <f aca="false">AV4*Streams!$E$3/Streams!$E$15</f>
        <v>1.8</v>
      </c>
      <c r="AW7" s="10" t="n">
        <f aca="false">AW4*Streams!$E$3/Streams!$E$15</f>
        <v>1.8</v>
      </c>
      <c r="AX7" s="10" t="n">
        <f aca="false">AX4*Streams!$E$3/Streams!$E$15</f>
        <v>1.8</v>
      </c>
      <c r="AY7" s="10" t="n">
        <f aca="false">AY4*Streams!$E$3/Streams!$E$15</f>
        <v>1.8</v>
      </c>
      <c r="AZ7" s="10" t="n">
        <f aca="false">AZ4*Streams!$E$3/Streams!$E$15</f>
        <v>1.8</v>
      </c>
      <c r="BA7" s="10" t="n">
        <f aca="false">BA4*Streams!$E$3/Streams!$E$15</f>
        <v>1.8</v>
      </c>
      <c r="BB7" s="10" t="n">
        <f aca="false">BB4*Streams!$E$3/Streams!$E$15</f>
        <v>1.8</v>
      </c>
      <c r="BC7" s="10" t="n">
        <f aca="false">BC4*Streams!$E$3/Streams!$E$15</f>
        <v>1.8</v>
      </c>
      <c r="BD7" s="10" t="n">
        <f aca="false">BD4*Streams!$E$3/Streams!$E$15</f>
        <v>1.8</v>
      </c>
      <c r="BE7" s="10" t="n">
        <f aca="false">BE4*Streams!$E$3/Streams!$E$15</f>
        <v>1.8</v>
      </c>
      <c r="BF7" s="10" t="n">
        <f aca="false">BF4*Streams!$E$3/Streams!$E$15</f>
        <v>1.8</v>
      </c>
      <c r="BG7" s="10" t="n">
        <f aca="false">BG4*Streams!$E$3/Streams!$E$15</f>
        <v>1.8</v>
      </c>
      <c r="BH7" s="10" t="n">
        <f aca="false">BH4*Streams!$E$3/Streams!$E$15</f>
        <v>1.8</v>
      </c>
      <c r="BI7" s="10" t="n">
        <f aca="false">BI4*Streams!$E$3/Streams!$E$15</f>
        <v>1.8</v>
      </c>
      <c r="BJ7" s="10" t="n">
        <f aca="false">BJ4*Streams!$E$3/Streams!$E$15</f>
        <v>1.8</v>
      </c>
      <c r="BK7" s="10" t="n">
        <f aca="false">BK4*Streams!$E$3/Streams!$E$15</f>
        <v>1.8</v>
      </c>
      <c r="BL7" s="10" t="n">
        <f aca="false">BL4*Streams!$E$3/Streams!$E$15</f>
        <v>1.8</v>
      </c>
      <c r="BM7" s="10" t="n">
        <f aca="false">BM4*Streams!$E$3/Streams!$E$15</f>
        <v>1.8</v>
      </c>
      <c r="BN7" s="10" t="n">
        <f aca="false">BN4*Streams!$E$3/Streams!$E$15</f>
        <v>1.8</v>
      </c>
      <c r="BO7" s="10" t="n">
        <f aca="false">BO4*Streams!$E$3/Streams!$E$15</f>
        <v>1.8</v>
      </c>
      <c r="BP7" s="10" t="n">
        <f aca="false">BP4*Streams!$E$3/Streams!$E$15</f>
        <v>1.8</v>
      </c>
      <c r="BQ7" s="10" t="n">
        <f aca="false">BQ4*Streams!$E$3/Streams!$E$15</f>
        <v>1.8</v>
      </c>
      <c r="BR7" s="10" t="n">
        <f aca="false">BR4*Streams!$E$3/Streams!$E$15</f>
        <v>1.8</v>
      </c>
      <c r="BS7" s="10" t="n">
        <f aca="false">BS4*Streams!$E$3/Streams!$E$15</f>
        <v>1.8</v>
      </c>
      <c r="BT7" s="10" t="n">
        <f aca="false">BT4*Streams!$E$3/Streams!$E$15</f>
        <v>1.8</v>
      </c>
      <c r="BU7" s="10" t="n">
        <f aca="false">BU4*Streams!$E$3/Streams!$E$15</f>
        <v>1.8</v>
      </c>
      <c r="BV7" s="10" t="n">
        <f aca="false">BV4*Streams!$E$3/Streams!$E$15</f>
        <v>1.8</v>
      </c>
      <c r="BW7" s="10" t="n">
        <f aca="false">BW4*Streams!$E$3/Streams!$E$15</f>
        <v>1.8</v>
      </c>
      <c r="BX7" s="10" t="n">
        <f aca="false">BX4*Streams!$E$3/Streams!$E$15</f>
        <v>1.8</v>
      </c>
      <c r="BY7" s="10" t="n">
        <f aca="false">BY4*Streams!$E$3/Streams!$E$15</f>
        <v>1.8</v>
      </c>
      <c r="BZ7" s="10" t="n">
        <f aca="false">BZ4*Streams!$E$3/Streams!$E$15</f>
        <v>1.8</v>
      </c>
      <c r="CA7" s="10" t="n">
        <f aca="false">CA4*Streams!$E$3/Streams!$E$15</f>
        <v>1.8</v>
      </c>
      <c r="CB7" s="10" t="n">
        <f aca="false">CB4*Streams!$E$3/Streams!$E$15</f>
        <v>1.8</v>
      </c>
      <c r="CC7" s="10" t="n">
        <f aca="false">CC4*Streams!$E$3/Streams!$E$15</f>
        <v>1.8</v>
      </c>
      <c r="CD7" s="10" t="n">
        <f aca="false">CD4*Streams!$E$3/Streams!$E$15</f>
        <v>1.8</v>
      </c>
      <c r="CE7" s="10" t="n">
        <f aca="false">CE4*Streams!$E$3/Streams!$E$15</f>
        <v>1.8</v>
      </c>
      <c r="CF7" s="10" t="n">
        <f aca="false">CF4*Streams!$E$3/Streams!$E$15</f>
        <v>1.8</v>
      </c>
      <c r="CG7" s="10" t="n">
        <f aca="false">CG4*Streams!$E$3/Streams!$E$15</f>
        <v>1.8</v>
      </c>
      <c r="CH7" s="10" t="n">
        <f aca="false">CH4*Streams!$E$3/Streams!$E$15</f>
        <v>1.8</v>
      </c>
      <c r="CI7" s="10" t="n">
        <f aca="false">CI4*Streams!$E$3/Streams!$E$15</f>
        <v>1.8</v>
      </c>
      <c r="CJ7" s="10" t="n">
        <f aca="false">CJ4*Streams!$E$3/Streams!$E$15</f>
        <v>1.8</v>
      </c>
      <c r="CK7" s="10" t="n">
        <f aca="false">CK4*Streams!$E$3/Streams!$E$15</f>
        <v>1.8</v>
      </c>
      <c r="CL7" s="10" t="n">
        <f aca="false">CL4*Streams!$E$3/Streams!$E$15</f>
        <v>1.8</v>
      </c>
      <c r="CM7" s="10" t="n">
        <f aca="false">CM4*Streams!$E$3/Streams!$E$15</f>
        <v>1.8</v>
      </c>
      <c r="CN7" s="10" t="n">
        <f aca="false">CN4*Streams!$E$3/Streams!$E$15</f>
        <v>1.8</v>
      </c>
      <c r="CO7" s="10" t="n">
        <f aca="false">CO4*Streams!$E$3/Streams!$E$15</f>
        <v>1.8</v>
      </c>
      <c r="CP7" s="10" t="n">
        <f aca="false">CP4*Streams!$E$3/Streams!$E$15</f>
        <v>1.8</v>
      </c>
      <c r="CQ7" s="10" t="n">
        <f aca="false">CQ4*Streams!$E$3/Streams!$E$15</f>
        <v>1.8</v>
      </c>
      <c r="CR7" s="10" t="n">
        <f aca="false">CR4*Streams!$E$3/Streams!$E$15</f>
        <v>1.8</v>
      </c>
      <c r="CS7" s="10" t="n">
        <f aca="false">CS4*Streams!$E$3/Streams!$E$15</f>
        <v>1.8</v>
      </c>
      <c r="CT7" s="10" t="n">
        <f aca="false">CT4*Streams!$E$3/Streams!$E$15</f>
        <v>1.8</v>
      </c>
      <c r="CU7" s="10" t="n">
        <f aca="false">CU4*Streams!$E$3/Streams!$E$15</f>
        <v>1.8</v>
      </c>
      <c r="CV7" s="10" t="n">
        <f aca="false">CV4*Streams!$E$3/Streams!$E$15</f>
        <v>1.8</v>
      </c>
      <c r="CW7" s="10" t="n">
        <f aca="false">CW4*Streams!$E$3/Streams!$E$15</f>
        <v>1.8</v>
      </c>
      <c r="CX7" s="10" t="n">
        <f aca="false">CX4*Streams!$E$3/Streams!$E$15</f>
        <v>1.8</v>
      </c>
      <c r="CY7" s="10" t="n">
        <f aca="false">CY4*Streams!$E$3/Streams!$E$15</f>
        <v>1.8</v>
      </c>
      <c r="CZ7" s="10" t="n">
        <f aca="false">CZ4*Streams!$E$3/Streams!$E$15</f>
        <v>1.8</v>
      </c>
      <c r="DA7" s="10" t="n">
        <f aca="false">DA4*Streams!$E$3/Streams!$E$15</f>
        <v>1.8</v>
      </c>
      <c r="DB7" s="10" t="n">
        <f aca="false">DB4*Streams!$E$3/Streams!$E$15</f>
        <v>1.8</v>
      </c>
      <c r="DC7" s="10" t="n">
        <f aca="false">DC4*Streams!$E$3/Streams!$E$15</f>
        <v>1.8</v>
      </c>
      <c r="DD7" s="10" t="n">
        <f aca="false">DD4*Streams!$E$3/Streams!$E$15</f>
        <v>1.8</v>
      </c>
      <c r="DE7" s="10" t="n">
        <f aca="false">DE4*Streams!$E$3/Streams!$E$15</f>
        <v>1.8</v>
      </c>
      <c r="DF7" s="10" t="n">
        <f aca="false">DF4*Streams!$E$3/Streams!$E$15</f>
        <v>1.8</v>
      </c>
      <c r="DG7" s="10" t="n">
        <f aca="false">DG4*Streams!$E$3/Streams!$E$15</f>
        <v>1.8</v>
      </c>
      <c r="DH7" s="10" t="n">
        <f aca="false">DH4*Streams!$E$3/Streams!$E$15</f>
        <v>1.8</v>
      </c>
      <c r="DI7" s="10" t="n">
        <f aca="false">DI4*Streams!$E$3/Streams!$E$15</f>
        <v>1.8</v>
      </c>
      <c r="DJ7" s="10" t="n">
        <f aca="false">DJ4*Streams!$E$3/Streams!$E$15</f>
        <v>1.8</v>
      </c>
      <c r="DK7" s="10" t="n">
        <f aca="false">DK4*Streams!$E$3/Streams!$E$15</f>
        <v>1.8</v>
      </c>
      <c r="DL7" s="10" t="n">
        <f aca="false">DL4*Streams!$E$3/Streams!$E$15</f>
        <v>1.8</v>
      </c>
      <c r="DM7" s="10" t="n">
        <f aca="false">DM4*Streams!$E$3/Streams!$E$15</f>
        <v>1.8</v>
      </c>
      <c r="DN7" s="10" t="n">
        <f aca="false">DN4*Streams!$E$3/Streams!$E$15</f>
        <v>1.8</v>
      </c>
      <c r="DO7" s="10" t="n">
        <f aca="false">DO4*Streams!$E$3/Streams!$E$15</f>
        <v>1.8</v>
      </c>
      <c r="DP7" s="10" t="n">
        <f aca="false">DP4*Streams!$E$3/Streams!$E$15</f>
        <v>1.8</v>
      </c>
      <c r="DQ7" s="10" t="n">
        <f aca="false">DQ4*Streams!$E$3/Streams!$E$15</f>
        <v>1.8</v>
      </c>
      <c r="DR7" s="10" t="n">
        <f aca="false">DR4*Streams!$E$3/Streams!$E$15</f>
        <v>1.8</v>
      </c>
    </row>
    <row r="8" customFormat="false" ht="15" hidden="false" customHeight="false" outlineLevel="0" collapsed="false">
      <c r="A8" s="9" t="s">
        <v>177</v>
      </c>
      <c r="B8" s="10" t="n">
        <f aca="false">B4*Streams!$E$4/Streams!$E$15</f>
        <v>0</v>
      </c>
      <c r="C8" s="10" t="n">
        <f aca="false">C4*Streams!$E$4/Streams!$E$15</f>
        <v>0</v>
      </c>
      <c r="D8" s="10" t="n">
        <f aca="false">D4*Streams!$E$4/Streams!$E$15</f>
        <v>0</v>
      </c>
      <c r="E8" s="10" t="n">
        <f aca="false">E4*Streams!$E$4/Streams!$E$15</f>
        <v>0</v>
      </c>
      <c r="F8" s="10" t="n">
        <f aca="false">F4*Streams!$E$4/Streams!$E$15</f>
        <v>0</v>
      </c>
      <c r="G8" s="10" t="n">
        <f aca="false">G4*Streams!$E$4/Streams!$E$15</f>
        <v>0</v>
      </c>
      <c r="H8" s="10" t="n">
        <f aca="false">H4*Streams!$E$4/Streams!$E$15</f>
        <v>0</v>
      </c>
      <c r="I8" s="10" t="n">
        <f aca="false">I4*Streams!$E$4/Streams!$E$15</f>
        <v>0</v>
      </c>
      <c r="J8" s="10" t="n">
        <f aca="false">J4*Streams!$E$4/Streams!$E$15</f>
        <v>0</v>
      </c>
      <c r="K8" s="10" t="n">
        <f aca="false">K4*Streams!$E$4/Streams!$E$15</f>
        <v>0.257142857142857</v>
      </c>
      <c r="L8" s="10" t="n">
        <f aca="false">L4*Streams!$E$4/Streams!$E$15</f>
        <v>0.257142857142857</v>
      </c>
      <c r="M8" s="10" t="n">
        <f aca="false">M4*Streams!$E$4/Streams!$E$15</f>
        <v>0.257142857142857</v>
      </c>
      <c r="N8" s="10" t="n">
        <f aca="false">N4*Streams!$E$4/Streams!$E$15</f>
        <v>0.428571428571429</v>
      </c>
      <c r="O8" s="10" t="n">
        <f aca="false">O4*Streams!$E$4/Streams!$E$15</f>
        <v>0.428571428571429</v>
      </c>
      <c r="P8" s="10" t="n">
        <f aca="false">P4*Streams!$E$4/Streams!$E$15</f>
        <v>0.428571428571429</v>
      </c>
      <c r="Q8" s="10" t="n">
        <f aca="false">Q4*Streams!$E$4/Streams!$E$15</f>
        <v>0.6</v>
      </c>
      <c r="R8" s="10" t="n">
        <f aca="false">R4*Streams!$E$4/Streams!$E$15</f>
        <v>0.6</v>
      </c>
      <c r="S8" s="10" t="n">
        <f aca="false">S4*Streams!$E$4/Streams!$E$15</f>
        <v>0.6</v>
      </c>
      <c r="T8" s="10" t="n">
        <f aca="false">T4*Streams!$E$4/Streams!$E$15</f>
        <v>0.6</v>
      </c>
      <c r="U8" s="10" t="n">
        <f aca="false">U4*Streams!$E$4/Streams!$E$15</f>
        <v>0.6</v>
      </c>
      <c r="V8" s="10" t="n">
        <f aca="false">V4*Streams!$E$4/Streams!$E$15</f>
        <v>0.6</v>
      </c>
      <c r="W8" s="10" t="n">
        <f aca="false">W4*Streams!$E$4/Streams!$E$15</f>
        <v>0.6</v>
      </c>
      <c r="X8" s="10" t="n">
        <f aca="false">X4*Streams!$E$4/Streams!$E$15</f>
        <v>0.6</v>
      </c>
      <c r="Y8" s="10" t="n">
        <f aca="false">Y4*Streams!$E$4/Streams!$E$15</f>
        <v>0.6</v>
      </c>
      <c r="Z8" s="10" t="n">
        <f aca="false">Z4*Streams!$E$4/Streams!$E$15</f>
        <v>0.6</v>
      </c>
      <c r="AA8" s="10" t="n">
        <f aca="false">AA4*Streams!$E$4/Streams!$E$15</f>
        <v>0.6</v>
      </c>
      <c r="AB8" s="10" t="n">
        <f aca="false">AB4*Streams!$E$4/Streams!$E$15</f>
        <v>0.6</v>
      </c>
      <c r="AC8" s="10" t="n">
        <f aca="false">AC4*Streams!$E$4/Streams!$E$15</f>
        <v>0.6</v>
      </c>
      <c r="AD8" s="10" t="n">
        <f aca="false">AD4*Streams!$E$4/Streams!$E$15</f>
        <v>0.6</v>
      </c>
      <c r="AE8" s="10" t="n">
        <f aca="false">AE4*Streams!$E$4/Streams!$E$15</f>
        <v>0.6</v>
      </c>
      <c r="AF8" s="10" t="n">
        <f aca="false">AF4*Streams!$E$4/Streams!$E$15</f>
        <v>0.6</v>
      </c>
      <c r="AG8" s="10" t="n">
        <f aca="false">AG4*Streams!$E$4/Streams!$E$15</f>
        <v>0.6</v>
      </c>
      <c r="AH8" s="10" t="n">
        <f aca="false">AH4*Streams!$E$4/Streams!$E$15</f>
        <v>0.6</v>
      </c>
      <c r="AI8" s="10" t="n">
        <f aca="false">AI4*Streams!$E$4/Streams!$E$15</f>
        <v>0.6</v>
      </c>
      <c r="AJ8" s="10" t="n">
        <f aca="false">AJ4*Streams!$E$4/Streams!$E$15</f>
        <v>0.6</v>
      </c>
      <c r="AK8" s="10" t="n">
        <f aca="false">AK4*Streams!$E$4/Streams!$E$15</f>
        <v>0.6</v>
      </c>
      <c r="AL8" s="10" t="n">
        <f aca="false">AL4*Streams!$E$4/Streams!$E$15</f>
        <v>0.6</v>
      </c>
      <c r="AM8" s="10" t="n">
        <f aca="false">AM4*Streams!$E$4/Streams!$E$15</f>
        <v>0.6</v>
      </c>
      <c r="AN8" s="10" t="n">
        <f aca="false">AN4*Streams!$E$4/Streams!$E$15</f>
        <v>0.6</v>
      </c>
      <c r="AO8" s="10" t="n">
        <f aca="false">AO4*Streams!$E$4/Streams!$E$15</f>
        <v>0.6</v>
      </c>
      <c r="AP8" s="10" t="n">
        <f aca="false">AP4*Streams!$E$4/Streams!$E$15</f>
        <v>0.6</v>
      </c>
      <c r="AQ8" s="10" t="n">
        <f aca="false">AQ4*Streams!$E$4/Streams!$E$15</f>
        <v>0.6</v>
      </c>
      <c r="AR8" s="10" t="n">
        <f aca="false">AR4*Streams!$E$4/Streams!$E$15</f>
        <v>0.6</v>
      </c>
      <c r="AS8" s="10" t="n">
        <f aca="false">AS4*Streams!$E$4/Streams!$E$15</f>
        <v>0.6</v>
      </c>
      <c r="AT8" s="10" t="n">
        <f aca="false">AT4*Streams!$E$4/Streams!$E$15</f>
        <v>0.6</v>
      </c>
      <c r="AU8" s="10" t="n">
        <f aca="false">AU4*Streams!$E$4/Streams!$E$15</f>
        <v>0.6</v>
      </c>
      <c r="AV8" s="10" t="n">
        <f aca="false">AV4*Streams!$E$4/Streams!$E$15</f>
        <v>0.6</v>
      </c>
      <c r="AW8" s="10" t="n">
        <f aca="false">AW4*Streams!$E$4/Streams!$E$15</f>
        <v>0.6</v>
      </c>
      <c r="AX8" s="10" t="n">
        <f aca="false">AX4*Streams!$E$4/Streams!$E$15</f>
        <v>0.6</v>
      </c>
      <c r="AY8" s="10" t="n">
        <f aca="false">AY4*Streams!$E$4/Streams!$E$15</f>
        <v>0.6</v>
      </c>
      <c r="AZ8" s="10" t="n">
        <f aca="false">AZ4*Streams!$E$4/Streams!$E$15</f>
        <v>0.6</v>
      </c>
      <c r="BA8" s="10" t="n">
        <f aca="false">BA4*Streams!$E$4/Streams!$E$15</f>
        <v>0.6</v>
      </c>
      <c r="BB8" s="10" t="n">
        <f aca="false">BB4*Streams!$E$4/Streams!$E$15</f>
        <v>0.6</v>
      </c>
      <c r="BC8" s="10" t="n">
        <f aca="false">BC4*Streams!$E$4/Streams!$E$15</f>
        <v>0.6</v>
      </c>
      <c r="BD8" s="10" t="n">
        <f aca="false">BD4*Streams!$E$4/Streams!$E$15</f>
        <v>0.6</v>
      </c>
      <c r="BE8" s="10" t="n">
        <f aca="false">BE4*Streams!$E$4/Streams!$E$15</f>
        <v>0.6</v>
      </c>
      <c r="BF8" s="10" t="n">
        <f aca="false">BF4*Streams!$E$4/Streams!$E$15</f>
        <v>0.6</v>
      </c>
      <c r="BG8" s="10" t="n">
        <f aca="false">BG4*Streams!$E$4/Streams!$E$15</f>
        <v>0.6</v>
      </c>
      <c r="BH8" s="10" t="n">
        <f aca="false">BH4*Streams!$E$4/Streams!$E$15</f>
        <v>0.6</v>
      </c>
      <c r="BI8" s="10" t="n">
        <f aca="false">BI4*Streams!$E$4/Streams!$E$15</f>
        <v>0.6</v>
      </c>
      <c r="BJ8" s="10" t="n">
        <f aca="false">BJ4*Streams!$E$4/Streams!$E$15</f>
        <v>0.6</v>
      </c>
      <c r="BK8" s="10" t="n">
        <f aca="false">BK4*Streams!$E$4/Streams!$E$15</f>
        <v>0.6</v>
      </c>
      <c r="BL8" s="10" t="n">
        <f aca="false">BL4*Streams!$E$4/Streams!$E$15</f>
        <v>0.6</v>
      </c>
      <c r="BM8" s="10" t="n">
        <f aca="false">BM4*Streams!$E$4/Streams!$E$15</f>
        <v>0.6</v>
      </c>
      <c r="BN8" s="10" t="n">
        <f aca="false">BN4*Streams!$E$4/Streams!$E$15</f>
        <v>0.6</v>
      </c>
      <c r="BO8" s="10" t="n">
        <f aca="false">BO4*Streams!$E$4/Streams!$E$15</f>
        <v>0.6</v>
      </c>
      <c r="BP8" s="10" t="n">
        <f aca="false">BP4*Streams!$E$4/Streams!$E$15</f>
        <v>0.6</v>
      </c>
      <c r="BQ8" s="10" t="n">
        <f aca="false">BQ4*Streams!$E$4/Streams!$E$15</f>
        <v>0.6</v>
      </c>
      <c r="BR8" s="10" t="n">
        <f aca="false">BR4*Streams!$E$4/Streams!$E$15</f>
        <v>0.6</v>
      </c>
      <c r="BS8" s="10" t="n">
        <f aca="false">BS4*Streams!$E$4/Streams!$E$15</f>
        <v>0.6</v>
      </c>
      <c r="BT8" s="10" t="n">
        <f aca="false">BT4*Streams!$E$4/Streams!$E$15</f>
        <v>0.6</v>
      </c>
      <c r="BU8" s="10" t="n">
        <f aca="false">BU4*Streams!$E$4/Streams!$E$15</f>
        <v>0.6</v>
      </c>
      <c r="BV8" s="10" t="n">
        <f aca="false">BV4*Streams!$E$4/Streams!$E$15</f>
        <v>0.6</v>
      </c>
      <c r="BW8" s="10" t="n">
        <f aca="false">BW4*Streams!$E$4/Streams!$E$15</f>
        <v>0.6</v>
      </c>
      <c r="BX8" s="10" t="n">
        <f aca="false">BX4*Streams!$E$4/Streams!$E$15</f>
        <v>0.6</v>
      </c>
      <c r="BY8" s="10" t="n">
        <f aca="false">BY4*Streams!$E$4/Streams!$E$15</f>
        <v>0.6</v>
      </c>
      <c r="BZ8" s="10" t="n">
        <f aca="false">BZ4*Streams!$E$4/Streams!$E$15</f>
        <v>0.6</v>
      </c>
      <c r="CA8" s="10" t="n">
        <f aca="false">CA4*Streams!$E$4/Streams!$E$15</f>
        <v>0.6</v>
      </c>
      <c r="CB8" s="10" t="n">
        <f aca="false">CB4*Streams!$E$4/Streams!$E$15</f>
        <v>0.6</v>
      </c>
      <c r="CC8" s="10" t="n">
        <f aca="false">CC4*Streams!$E$4/Streams!$E$15</f>
        <v>0.6</v>
      </c>
      <c r="CD8" s="10" t="n">
        <f aca="false">CD4*Streams!$E$4/Streams!$E$15</f>
        <v>0.6</v>
      </c>
      <c r="CE8" s="10" t="n">
        <f aca="false">CE4*Streams!$E$4/Streams!$E$15</f>
        <v>0.6</v>
      </c>
      <c r="CF8" s="10" t="n">
        <f aca="false">CF4*Streams!$E$4/Streams!$E$15</f>
        <v>0.6</v>
      </c>
      <c r="CG8" s="10" t="n">
        <f aca="false">CG4*Streams!$E$4/Streams!$E$15</f>
        <v>0.6</v>
      </c>
      <c r="CH8" s="10" t="n">
        <f aca="false">CH4*Streams!$E$4/Streams!$E$15</f>
        <v>0.6</v>
      </c>
      <c r="CI8" s="10" t="n">
        <f aca="false">CI4*Streams!$E$4/Streams!$E$15</f>
        <v>0.6</v>
      </c>
      <c r="CJ8" s="10" t="n">
        <f aca="false">CJ4*Streams!$E$4/Streams!$E$15</f>
        <v>0.6</v>
      </c>
      <c r="CK8" s="10" t="n">
        <f aca="false">CK4*Streams!$E$4/Streams!$E$15</f>
        <v>0.6</v>
      </c>
      <c r="CL8" s="10" t="n">
        <f aca="false">CL4*Streams!$E$4/Streams!$E$15</f>
        <v>0.6</v>
      </c>
      <c r="CM8" s="10" t="n">
        <f aca="false">CM4*Streams!$E$4/Streams!$E$15</f>
        <v>0.6</v>
      </c>
      <c r="CN8" s="10" t="n">
        <f aca="false">CN4*Streams!$E$4/Streams!$E$15</f>
        <v>0.6</v>
      </c>
      <c r="CO8" s="10" t="n">
        <f aca="false">CO4*Streams!$E$4/Streams!$E$15</f>
        <v>0.6</v>
      </c>
      <c r="CP8" s="10" t="n">
        <f aca="false">CP4*Streams!$E$4/Streams!$E$15</f>
        <v>0.6</v>
      </c>
      <c r="CQ8" s="10" t="n">
        <f aca="false">CQ4*Streams!$E$4/Streams!$E$15</f>
        <v>0.6</v>
      </c>
      <c r="CR8" s="10" t="n">
        <f aca="false">CR4*Streams!$E$4/Streams!$E$15</f>
        <v>0.6</v>
      </c>
      <c r="CS8" s="10" t="n">
        <f aca="false">CS4*Streams!$E$4/Streams!$E$15</f>
        <v>0.6</v>
      </c>
      <c r="CT8" s="10" t="n">
        <f aca="false">CT4*Streams!$E$4/Streams!$E$15</f>
        <v>0.6</v>
      </c>
      <c r="CU8" s="10" t="n">
        <f aca="false">CU4*Streams!$E$4/Streams!$E$15</f>
        <v>0.6</v>
      </c>
      <c r="CV8" s="10" t="n">
        <f aca="false">CV4*Streams!$E$4/Streams!$E$15</f>
        <v>0.6</v>
      </c>
      <c r="CW8" s="10" t="n">
        <f aca="false">CW4*Streams!$E$4/Streams!$E$15</f>
        <v>0.6</v>
      </c>
      <c r="CX8" s="10" t="n">
        <f aca="false">CX4*Streams!$E$4/Streams!$E$15</f>
        <v>0.6</v>
      </c>
      <c r="CY8" s="10" t="n">
        <f aca="false">CY4*Streams!$E$4/Streams!$E$15</f>
        <v>0.6</v>
      </c>
      <c r="CZ8" s="10" t="n">
        <f aca="false">CZ4*Streams!$E$4/Streams!$E$15</f>
        <v>0.6</v>
      </c>
      <c r="DA8" s="10" t="n">
        <f aca="false">DA4*Streams!$E$4/Streams!$E$15</f>
        <v>0.6</v>
      </c>
      <c r="DB8" s="10" t="n">
        <f aca="false">DB4*Streams!$E$4/Streams!$E$15</f>
        <v>0.6</v>
      </c>
      <c r="DC8" s="10" t="n">
        <f aca="false">DC4*Streams!$E$4/Streams!$E$15</f>
        <v>0.6</v>
      </c>
      <c r="DD8" s="10" t="n">
        <f aca="false">DD4*Streams!$E$4/Streams!$E$15</f>
        <v>0.6</v>
      </c>
      <c r="DE8" s="10" t="n">
        <f aca="false">DE4*Streams!$E$4/Streams!$E$15</f>
        <v>0.6</v>
      </c>
      <c r="DF8" s="10" t="n">
        <f aca="false">DF4*Streams!$E$4/Streams!$E$15</f>
        <v>0.6</v>
      </c>
      <c r="DG8" s="10" t="n">
        <f aca="false">DG4*Streams!$E$4/Streams!$E$15</f>
        <v>0.6</v>
      </c>
      <c r="DH8" s="10" t="n">
        <f aca="false">DH4*Streams!$E$4/Streams!$E$15</f>
        <v>0.6</v>
      </c>
      <c r="DI8" s="10" t="n">
        <f aca="false">DI4*Streams!$E$4/Streams!$E$15</f>
        <v>0.6</v>
      </c>
      <c r="DJ8" s="10" t="n">
        <f aca="false">DJ4*Streams!$E$4/Streams!$E$15</f>
        <v>0.6</v>
      </c>
      <c r="DK8" s="10" t="n">
        <f aca="false">DK4*Streams!$E$4/Streams!$E$15</f>
        <v>0.6</v>
      </c>
      <c r="DL8" s="10" t="n">
        <f aca="false">DL4*Streams!$E$4/Streams!$E$15</f>
        <v>0.6</v>
      </c>
      <c r="DM8" s="10" t="n">
        <f aca="false">DM4*Streams!$E$4/Streams!$E$15</f>
        <v>0.6</v>
      </c>
      <c r="DN8" s="10" t="n">
        <f aca="false">DN4*Streams!$E$4/Streams!$E$15</f>
        <v>0.6</v>
      </c>
      <c r="DO8" s="10" t="n">
        <f aca="false">DO4*Streams!$E$4/Streams!$E$15</f>
        <v>0.6</v>
      </c>
      <c r="DP8" s="10" t="n">
        <f aca="false">DP4*Streams!$E$4/Streams!$E$15</f>
        <v>0.6</v>
      </c>
      <c r="DQ8" s="10" t="n">
        <f aca="false">DQ4*Streams!$E$4/Streams!$E$15</f>
        <v>0.6</v>
      </c>
      <c r="DR8" s="10" t="n">
        <f aca="false">DR4*Streams!$E$4/Streams!$E$15</f>
        <v>0.6</v>
      </c>
    </row>
    <row r="9" customFormat="false" ht="15" hidden="false" customHeight="false" outlineLevel="0" collapsed="false">
      <c r="A9" s="9" t="s">
        <v>178</v>
      </c>
      <c r="B9" s="10" t="n">
        <f aca="false">B4*Streams!$E$5/Streams!$E$15</f>
        <v>0</v>
      </c>
      <c r="C9" s="10" t="n">
        <f aca="false">C4*Streams!$E$5/Streams!$E$15</f>
        <v>0</v>
      </c>
      <c r="D9" s="10" t="n">
        <f aca="false">D4*Streams!$E$5/Streams!$E$15</f>
        <v>0</v>
      </c>
      <c r="E9" s="10" t="n">
        <f aca="false">E4*Streams!$E$5/Streams!$E$15</f>
        <v>0</v>
      </c>
      <c r="F9" s="10" t="n">
        <f aca="false">F4*Streams!$E$5/Streams!$E$15</f>
        <v>0</v>
      </c>
      <c r="G9" s="10" t="n">
        <f aca="false">G4*Streams!$E$5/Streams!$E$15</f>
        <v>0</v>
      </c>
      <c r="H9" s="10" t="n">
        <f aca="false">H4*Streams!$E$5/Streams!$E$15</f>
        <v>0</v>
      </c>
      <c r="I9" s="10" t="n">
        <f aca="false">I4*Streams!$E$5/Streams!$E$15</f>
        <v>0</v>
      </c>
      <c r="J9" s="10" t="n">
        <f aca="false">J4*Streams!$E$5/Streams!$E$15</f>
        <v>0</v>
      </c>
      <c r="K9" s="10" t="n">
        <f aca="false">K4*Streams!$E$5/Streams!$E$15</f>
        <v>1.15714285714286</v>
      </c>
      <c r="L9" s="10" t="n">
        <f aca="false">L4*Streams!$E$5/Streams!$E$15</f>
        <v>1.15714285714286</v>
      </c>
      <c r="M9" s="10" t="n">
        <f aca="false">M4*Streams!$E$5/Streams!$E$15</f>
        <v>1.15714285714286</v>
      </c>
      <c r="N9" s="10" t="n">
        <f aca="false">N4*Streams!$E$5/Streams!$E$15</f>
        <v>1.92857142857143</v>
      </c>
      <c r="O9" s="10" t="n">
        <f aca="false">O4*Streams!$E$5/Streams!$E$15</f>
        <v>1.92857142857143</v>
      </c>
      <c r="P9" s="10" t="n">
        <f aca="false">P4*Streams!$E$5/Streams!$E$15</f>
        <v>1.92857142857143</v>
      </c>
      <c r="Q9" s="10" t="n">
        <f aca="false">Q4*Streams!$E$5/Streams!$E$15</f>
        <v>2.7</v>
      </c>
      <c r="R9" s="10" t="n">
        <f aca="false">R4*Streams!$E$5/Streams!$E$15</f>
        <v>2.7</v>
      </c>
      <c r="S9" s="10" t="n">
        <f aca="false">S4*Streams!$E$5/Streams!$E$15</f>
        <v>2.7</v>
      </c>
      <c r="T9" s="10" t="n">
        <f aca="false">T4*Streams!$E$5/Streams!$E$15</f>
        <v>2.7</v>
      </c>
      <c r="U9" s="10" t="n">
        <f aca="false">U4*Streams!$E$5/Streams!$E$15</f>
        <v>2.7</v>
      </c>
      <c r="V9" s="10" t="n">
        <f aca="false">V4*Streams!$E$5/Streams!$E$15</f>
        <v>2.7</v>
      </c>
      <c r="W9" s="10" t="n">
        <f aca="false">W4*Streams!$E$5/Streams!$E$15</f>
        <v>2.7</v>
      </c>
      <c r="X9" s="10" t="n">
        <f aca="false">X4*Streams!$E$5/Streams!$E$15</f>
        <v>2.7</v>
      </c>
      <c r="Y9" s="10" t="n">
        <f aca="false">Y4*Streams!$E$5/Streams!$E$15</f>
        <v>2.7</v>
      </c>
      <c r="Z9" s="10" t="n">
        <f aca="false">Z4*Streams!$E$5/Streams!$E$15</f>
        <v>2.7</v>
      </c>
      <c r="AA9" s="10" t="n">
        <f aca="false">AA4*Streams!$E$5/Streams!$E$15</f>
        <v>2.7</v>
      </c>
      <c r="AB9" s="10" t="n">
        <f aca="false">AB4*Streams!$E$5/Streams!$E$15</f>
        <v>2.7</v>
      </c>
      <c r="AC9" s="10" t="n">
        <f aca="false">AC4*Streams!$E$5/Streams!$E$15</f>
        <v>2.7</v>
      </c>
      <c r="AD9" s="10" t="n">
        <f aca="false">AD4*Streams!$E$5/Streams!$E$15</f>
        <v>2.7</v>
      </c>
      <c r="AE9" s="10" t="n">
        <f aca="false">AE4*Streams!$E$5/Streams!$E$15</f>
        <v>2.7</v>
      </c>
      <c r="AF9" s="10" t="n">
        <f aca="false">AF4*Streams!$E$5/Streams!$E$15</f>
        <v>2.7</v>
      </c>
      <c r="AG9" s="10" t="n">
        <f aca="false">AG4*Streams!$E$5/Streams!$E$15</f>
        <v>2.7</v>
      </c>
      <c r="AH9" s="10" t="n">
        <f aca="false">AH4*Streams!$E$5/Streams!$E$15</f>
        <v>2.7</v>
      </c>
      <c r="AI9" s="10" t="n">
        <f aca="false">AI4*Streams!$E$5/Streams!$E$15</f>
        <v>2.7</v>
      </c>
      <c r="AJ9" s="10" t="n">
        <f aca="false">AJ4*Streams!$E$5/Streams!$E$15</f>
        <v>2.7</v>
      </c>
      <c r="AK9" s="10" t="n">
        <f aca="false">AK4*Streams!$E$5/Streams!$E$15</f>
        <v>2.7</v>
      </c>
      <c r="AL9" s="10" t="n">
        <f aca="false">AL4*Streams!$E$5/Streams!$E$15</f>
        <v>2.7</v>
      </c>
      <c r="AM9" s="10" t="n">
        <f aca="false">AM4*Streams!$E$5/Streams!$E$15</f>
        <v>2.7</v>
      </c>
      <c r="AN9" s="10" t="n">
        <f aca="false">AN4*Streams!$E$5/Streams!$E$15</f>
        <v>2.7</v>
      </c>
      <c r="AO9" s="10" t="n">
        <f aca="false">AO4*Streams!$E$5/Streams!$E$15</f>
        <v>2.7</v>
      </c>
      <c r="AP9" s="10" t="n">
        <f aca="false">AP4*Streams!$E$5/Streams!$E$15</f>
        <v>2.7</v>
      </c>
      <c r="AQ9" s="10" t="n">
        <f aca="false">AQ4*Streams!$E$5/Streams!$E$15</f>
        <v>2.7</v>
      </c>
      <c r="AR9" s="10" t="n">
        <f aca="false">AR4*Streams!$E$5/Streams!$E$15</f>
        <v>2.7</v>
      </c>
      <c r="AS9" s="10" t="n">
        <f aca="false">AS4*Streams!$E$5/Streams!$E$15</f>
        <v>2.7</v>
      </c>
      <c r="AT9" s="10" t="n">
        <f aca="false">AT4*Streams!$E$5/Streams!$E$15</f>
        <v>2.7</v>
      </c>
      <c r="AU9" s="10" t="n">
        <f aca="false">AU4*Streams!$E$5/Streams!$E$15</f>
        <v>2.7</v>
      </c>
      <c r="AV9" s="10" t="n">
        <f aca="false">AV4*Streams!$E$5/Streams!$E$15</f>
        <v>2.7</v>
      </c>
      <c r="AW9" s="10" t="n">
        <f aca="false">AW4*Streams!$E$5/Streams!$E$15</f>
        <v>2.7</v>
      </c>
      <c r="AX9" s="10" t="n">
        <f aca="false">AX4*Streams!$E$5/Streams!$E$15</f>
        <v>2.7</v>
      </c>
      <c r="AY9" s="10" t="n">
        <f aca="false">AY4*Streams!$E$5/Streams!$E$15</f>
        <v>2.7</v>
      </c>
      <c r="AZ9" s="10" t="n">
        <f aca="false">AZ4*Streams!$E$5/Streams!$E$15</f>
        <v>2.7</v>
      </c>
      <c r="BA9" s="10" t="n">
        <f aca="false">BA4*Streams!$E$5/Streams!$E$15</f>
        <v>2.7</v>
      </c>
      <c r="BB9" s="10" t="n">
        <f aca="false">BB4*Streams!$E$5/Streams!$E$15</f>
        <v>2.7</v>
      </c>
      <c r="BC9" s="10" t="n">
        <f aca="false">BC4*Streams!$E$5/Streams!$E$15</f>
        <v>2.7</v>
      </c>
      <c r="BD9" s="10" t="n">
        <f aca="false">BD4*Streams!$E$5/Streams!$E$15</f>
        <v>2.7</v>
      </c>
      <c r="BE9" s="10" t="n">
        <f aca="false">BE4*Streams!$E$5/Streams!$E$15</f>
        <v>2.7</v>
      </c>
      <c r="BF9" s="10" t="n">
        <f aca="false">BF4*Streams!$E$5/Streams!$E$15</f>
        <v>2.7</v>
      </c>
      <c r="BG9" s="10" t="n">
        <f aca="false">BG4*Streams!$E$5/Streams!$E$15</f>
        <v>2.7</v>
      </c>
      <c r="BH9" s="10" t="n">
        <f aca="false">BH4*Streams!$E$5/Streams!$E$15</f>
        <v>2.7</v>
      </c>
      <c r="BI9" s="10" t="n">
        <f aca="false">BI4*Streams!$E$5/Streams!$E$15</f>
        <v>2.7</v>
      </c>
      <c r="BJ9" s="10" t="n">
        <f aca="false">BJ4*Streams!$E$5/Streams!$E$15</f>
        <v>2.7</v>
      </c>
      <c r="BK9" s="10" t="n">
        <f aca="false">BK4*Streams!$E$5/Streams!$E$15</f>
        <v>2.7</v>
      </c>
      <c r="BL9" s="10" t="n">
        <f aca="false">BL4*Streams!$E$5/Streams!$E$15</f>
        <v>2.7</v>
      </c>
      <c r="BM9" s="10" t="n">
        <f aca="false">BM4*Streams!$E$5/Streams!$E$15</f>
        <v>2.7</v>
      </c>
      <c r="BN9" s="10" t="n">
        <f aca="false">BN4*Streams!$E$5/Streams!$E$15</f>
        <v>2.7</v>
      </c>
      <c r="BO9" s="10" t="n">
        <f aca="false">BO4*Streams!$E$5/Streams!$E$15</f>
        <v>2.7</v>
      </c>
      <c r="BP9" s="10" t="n">
        <f aca="false">BP4*Streams!$E$5/Streams!$E$15</f>
        <v>2.7</v>
      </c>
      <c r="BQ9" s="10" t="n">
        <f aca="false">BQ4*Streams!$E$5/Streams!$E$15</f>
        <v>2.7</v>
      </c>
      <c r="BR9" s="10" t="n">
        <f aca="false">BR4*Streams!$E$5/Streams!$E$15</f>
        <v>2.7</v>
      </c>
      <c r="BS9" s="10" t="n">
        <f aca="false">BS4*Streams!$E$5/Streams!$E$15</f>
        <v>2.7</v>
      </c>
      <c r="BT9" s="10" t="n">
        <f aca="false">BT4*Streams!$E$5/Streams!$E$15</f>
        <v>2.7</v>
      </c>
      <c r="BU9" s="10" t="n">
        <f aca="false">BU4*Streams!$E$5/Streams!$E$15</f>
        <v>2.7</v>
      </c>
      <c r="BV9" s="10" t="n">
        <f aca="false">BV4*Streams!$E$5/Streams!$E$15</f>
        <v>2.7</v>
      </c>
      <c r="BW9" s="10" t="n">
        <f aca="false">BW4*Streams!$E$5/Streams!$E$15</f>
        <v>2.7</v>
      </c>
      <c r="BX9" s="10" t="n">
        <f aca="false">BX4*Streams!$E$5/Streams!$E$15</f>
        <v>2.7</v>
      </c>
      <c r="BY9" s="10" t="n">
        <f aca="false">BY4*Streams!$E$5/Streams!$E$15</f>
        <v>2.7</v>
      </c>
      <c r="BZ9" s="10" t="n">
        <f aca="false">BZ4*Streams!$E$5/Streams!$E$15</f>
        <v>2.7</v>
      </c>
      <c r="CA9" s="10" t="n">
        <f aca="false">CA4*Streams!$E$5/Streams!$E$15</f>
        <v>2.7</v>
      </c>
      <c r="CB9" s="10" t="n">
        <f aca="false">CB4*Streams!$E$5/Streams!$E$15</f>
        <v>2.7</v>
      </c>
      <c r="CC9" s="10" t="n">
        <f aca="false">CC4*Streams!$E$5/Streams!$E$15</f>
        <v>2.7</v>
      </c>
      <c r="CD9" s="10" t="n">
        <f aca="false">CD4*Streams!$E$5/Streams!$E$15</f>
        <v>2.7</v>
      </c>
      <c r="CE9" s="10" t="n">
        <f aca="false">CE4*Streams!$E$5/Streams!$E$15</f>
        <v>2.7</v>
      </c>
      <c r="CF9" s="10" t="n">
        <f aca="false">CF4*Streams!$E$5/Streams!$E$15</f>
        <v>2.7</v>
      </c>
      <c r="CG9" s="10" t="n">
        <f aca="false">CG4*Streams!$E$5/Streams!$E$15</f>
        <v>2.7</v>
      </c>
      <c r="CH9" s="10" t="n">
        <f aca="false">CH4*Streams!$E$5/Streams!$E$15</f>
        <v>2.7</v>
      </c>
      <c r="CI9" s="10" t="n">
        <f aca="false">CI4*Streams!$E$5/Streams!$E$15</f>
        <v>2.7</v>
      </c>
      <c r="CJ9" s="10" t="n">
        <f aca="false">CJ4*Streams!$E$5/Streams!$E$15</f>
        <v>2.7</v>
      </c>
      <c r="CK9" s="10" t="n">
        <f aca="false">CK4*Streams!$E$5/Streams!$E$15</f>
        <v>2.7</v>
      </c>
      <c r="CL9" s="10" t="n">
        <f aca="false">CL4*Streams!$E$5/Streams!$E$15</f>
        <v>2.7</v>
      </c>
      <c r="CM9" s="10" t="n">
        <f aca="false">CM4*Streams!$E$5/Streams!$E$15</f>
        <v>2.7</v>
      </c>
      <c r="CN9" s="10" t="n">
        <f aca="false">CN4*Streams!$E$5/Streams!$E$15</f>
        <v>2.7</v>
      </c>
      <c r="CO9" s="10" t="n">
        <f aca="false">CO4*Streams!$E$5/Streams!$E$15</f>
        <v>2.7</v>
      </c>
      <c r="CP9" s="10" t="n">
        <f aca="false">CP4*Streams!$E$5/Streams!$E$15</f>
        <v>2.7</v>
      </c>
      <c r="CQ9" s="10" t="n">
        <f aca="false">CQ4*Streams!$E$5/Streams!$E$15</f>
        <v>2.7</v>
      </c>
      <c r="CR9" s="10" t="n">
        <f aca="false">CR4*Streams!$E$5/Streams!$E$15</f>
        <v>2.7</v>
      </c>
      <c r="CS9" s="10" t="n">
        <f aca="false">CS4*Streams!$E$5/Streams!$E$15</f>
        <v>2.7</v>
      </c>
      <c r="CT9" s="10" t="n">
        <f aca="false">CT4*Streams!$E$5/Streams!$E$15</f>
        <v>2.7</v>
      </c>
      <c r="CU9" s="10" t="n">
        <f aca="false">CU4*Streams!$E$5/Streams!$E$15</f>
        <v>2.7</v>
      </c>
      <c r="CV9" s="10" t="n">
        <f aca="false">CV4*Streams!$E$5/Streams!$E$15</f>
        <v>2.7</v>
      </c>
      <c r="CW9" s="10" t="n">
        <f aca="false">CW4*Streams!$E$5/Streams!$E$15</f>
        <v>2.7</v>
      </c>
      <c r="CX9" s="10" t="n">
        <f aca="false">CX4*Streams!$E$5/Streams!$E$15</f>
        <v>2.7</v>
      </c>
      <c r="CY9" s="10" t="n">
        <f aca="false">CY4*Streams!$E$5/Streams!$E$15</f>
        <v>2.7</v>
      </c>
      <c r="CZ9" s="10" t="n">
        <f aca="false">CZ4*Streams!$E$5/Streams!$E$15</f>
        <v>2.7</v>
      </c>
      <c r="DA9" s="10" t="n">
        <f aca="false">DA4*Streams!$E$5/Streams!$E$15</f>
        <v>2.7</v>
      </c>
      <c r="DB9" s="10" t="n">
        <f aca="false">DB4*Streams!$E$5/Streams!$E$15</f>
        <v>2.7</v>
      </c>
      <c r="DC9" s="10" t="n">
        <f aca="false">DC4*Streams!$E$5/Streams!$E$15</f>
        <v>2.7</v>
      </c>
      <c r="DD9" s="10" t="n">
        <f aca="false">DD4*Streams!$E$5/Streams!$E$15</f>
        <v>2.7</v>
      </c>
      <c r="DE9" s="10" t="n">
        <f aca="false">DE4*Streams!$E$5/Streams!$E$15</f>
        <v>2.7</v>
      </c>
      <c r="DF9" s="10" t="n">
        <f aca="false">DF4*Streams!$E$5/Streams!$E$15</f>
        <v>2.7</v>
      </c>
      <c r="DG9" s="10" t="n">
        <f aca="false">DG4*Streams!$E$5/Streams!$E$15</f>
        <v>2.7</v>
      </c>
      <c r="DH9" s="10" t="n">
        <f aca="false">DH4*Streams!$E$5/Streams!$E$15</f>
        <v>2.7</v>
      </c>
      <c r="DI9" s="10" t="n">
        <f aca="false">DI4*Streams!$E$5/Streams!$E$15</f>
        <v>2.7</v>
      </c>
      <c r="DJ9" s="10" t="n">
        <f aca="false">DJ4*Streams!$E$5/Streams!$E$15</f>
        <v>2.7</v>
      </c>
      <c r="DK9" s="10" t="n">
        <f aca="false">DK4*Streams!$E$5/Streams!$E$15</f>
        <v>2.7</v>
      </c>
      <c r="DL9" s="10" t="n">
        <f aca="false">DL4*Streams!$E$5/Streams!$E$15</f>
        <v>2.7</v>
      </c>
      <c r="DM9" s="10" t="n">
        <f aca="false">DM4*Streams!$E$5/Streams!$E$15</f>
        <v>2.7</v>
      </c>
      <c r="DN9" s="10" t="n">
        <f aca="false">DN4*Streams!$E$5/Streams!$E$15</f>
        <v>2.7</v>
      </c>
      <c r="DO9" s="10" t="n">
        <f aca="false">DO4*Streams!$E$5/Streams!$E$15</f>
        <v>2.7</v>
      </c>
      <c r="DP9" s="10" t="n">
        <f aca="false">DP4*Streams!$E$5/Streams!$E$15</f>
        <v>2.7</v>
      </c>
      <c r="DQ9" s="10" t="n">
        <f aca="false">DQ4*Streams!$E$5/Streams!$E$15</f>
        <v>2.7</v>
      </c>
      <c r="DR9" s="10" t="n">
        <f aca="false">DR4*Streams!$E$5/Streams!$E$15</f>
        <v>2.7</v>
      </c>
    </row>
    <row r="10" customFormat="false" ht="15" hidden="false" customHeight="false" outlineLevel="0" collapsed="false">
      <c r="A10" s="9" t="s">
        <v>179</v>
      </c>
      <c r="B10" s="10" t="n">
        <f aca="false">B4*Streams!$E$6/Streams!$E$15</f>
        <v>0</v>
      </c>
      <c r="C10" s="10" t="n">
        <f aca="false">C4*Streams!$E$6/Streams!$E$15</f>
        <v>0</v>
      </c>
      <c r="D10" s="10" t="n">
        <f aca="false">D4*Streams!$E$6/Streams!$E$15</f>
        <v>0</v>
      </c>
      <c r="E10" s="10" t="n">
        <f aca="false">E4*Streams!$E$6/Streams!$E$15</f>
        <v>0</v>
      </c>
      <c r="F10" s="10" t="n">
        <f aca="false">F4*Streams!$E$6/Streams!$E$15</f>
        <v>0</v>
      </c>
      <c r="G10" s="10" t="n">
        <f aca="false">G4*Streams!$E$6/Streams!$E$15</f>
        <v>0</v>
      </c>
      <c r="H10" s="10" t="n">
        <f aca="false">H4*Streams!$E$6/Streams!$E$15</f>
        <v>0</v>
      </c>
      <c r="I10" s="10" t="n">
        <f aca="false">I4*Streams!$E$6/Streams!$E$15</f>
        <v>0</v>
      </c>
      <c r="J10" s="10" t="n">
        <f aca="false">J4*Streams!$E$6/Streams!$E$15</f>
        <v>0</v>
      </c>
      <c r="K10" s="10" t="n">
        <f aca="false">K4*Streams!$E$6/Streams!$E$15</f>
        <v>0.385714285714286</v>
      </c>
      <c r="L10" s="10" t="n">
        <f aca="false">L4*Streams!$E$6/Streams!$E$15</f>
        <v>0.385714285714286</v>
      </c>
      <c r="M10" s="10" t="n">
        <f aca="false">M4*Streams!$E$6/Streams!$E$15</f>
        <v>0.385714285714286</v>
      </c>
      <c r="N10" s="10" t="n">
        <f aca="false">N4*Streams!$E$6/Streams!$E$15</f>
        <v>0.642857142857143</v>
      </c>
      <c r="O10" s="10" t="n">
        <f aca="false">O4*Streams!$E$6/Streams!$E$15</f>
        <v>0.642857142857143</v>
      </c>
      <c r="P10" s="10" t="n">
        <f aca="false">P4*Streams!$E$6/Streams!$E$15</f>
        <v>0.642857142857143</v>
      </c>
      <c r="Q10" s="10" t="n">
        <f aca="false">Q4*Streams!$E$6/Streams!$E$15</f>
        <v>0.9</v>
      </c>
      <c r="R10" s="10" t="n">
        <f aca="false">R4*Streams!$E$6/Streams!$E$15</f>
        <v>0.9</v>
      </c>
      <c r="S10" s="10" t="n">
        <f aca="false">S4*Streams!$E$6/Streams!$E$15</f>
        <v>0.9</v>
      </c>
      <c r="T10" s="10" t="n">
        <f aca="false">T4*Streams!$E$6/Streams!$E$15</f>
        <v>0.9</v>
      </c>
      <c r="U10" s="10" t="n">
        <f aca="false">U4*Streams!$E$6/Streams!$E$15</f>
        <v>0.9</v>
      </c>
      <c r="V10" s="10" t="n">
        <f aca="false">V4*Streams!$E$6/Streams!$E$15</f>
        <v>0.9</v>
      </c>
      <c r="W10" s="10" t="n">
        <f aca="false">W4*Streams!$E$6/Streams!$E$15</f>
        <v>0.9</v>
      </c>
      <c r="X10" s="10" t="n">
        <f aca="false">X4*Streams!$E$6/Streams!$E$15</f>
        <v>0.9</v>
      </c>
      <c r="Y10" s="10" t="n">
        <f aca="false">Y4*Streams!$E$6/Streams!$E$15</f>
        <v>0.9</v>
      </c>
      <c r="Z10" s="10" t="n">
        <f aca="false">Z4*Streams!$E$6/Streams!$E$15</f>
        <v>0.9</v>
      </c>
      <c r="AA10" s="10" t="n">
        <f aca="false">AA4*Streams!$E$6/Streams!$E$15</f>
        <v>0.9</v>
      </c>
      <c r="AB10" s="10" t="n">
        <f aca="false">AB4*Streams!$E$6/Streams!$E$15</f>
        <v>0.9</v>
      </c>
      <c r="AC10" s="10" t="n">
        <f aca="false">AC4*Streams!$E$6/Streams!$E$15</f>
        <v>0.9</v>
      </c>
      <c r="AD10" s="10" t="n">
        <f aca="false">AD4*Streams!$E$6/Streams!$E$15</f>
        <v>0.9</v>
      </c>
      <c r="AE10" s="10" t="n">
        <f aca="false">AE4*Streams!$E$6/Streams!$E$15</f>
        <v>0.9</v>
      </c>
      <c r="AF10" s="10" t="n">
        <f aca="false">AF4*Streams!$E$6/Streams!$E$15</f>
        <v>0.9</v>
      </c>
      <c r="AG10" s="10" t="n">
        <f aca="false">AG4*Streams!$E$6/Streams!$E$15</f>
        <v>0.9</v>
      </c>
      <c r="AH10" s="10" t="n">
        <f aca="false">AH4*Streams!$E$6/Streams!$E$15</f>
        <v>0.9</v>
      </c>
      <c r="AI10" s="10" t="n">
        <f aca="false">AI4*Streams!$E$6/Streams!$E$15</f>
        <v>0.9</v>
      </c>
      <c r="AJ10" s="10" t="n">
        <f aca="false">AJ4*Streams!$E$6/Streams!$E$15</f>
        <v>0.9</v>
      </c>
      <c r="AK10" s="10" t="n">
        <f aca="false">AK4*Streams!$E$6/Streams!$E$15</f>
        <v>0.9</v>
      </c>
      <c r="AL10" s="10" t="n">
        <f aca="false">AL4*Streams!$E$6/Streams!$E$15</f>
        <v>0.9</v>
      </c>
      <c r="AM10" s="10" t="n">
        <f aca="false">AM4*Streams!$E$6/Streams!$E$15</f>
        <v>0.9</v>
      </c>
      <c r="AN10" s="10" t="n">
        <f aca="false">AN4*Streams!$E$6/Streams!$E$15</f>
        <v>0.9</v>
      </c>
      <c r="AO10" s="10" t="n">
        <f aca="false">AO4*Streams!$E$6/Streams!$E$15</f>
        <v>0.9</v>
      </c>
      <c r="AP10" s="10" t="n">
        <f aca="false">AP4*Streams!$E$6/Streams!$E$15</f>
        <v>0.9</v>
      </c>
      <c r="AQ10" s="10" t="n">
        <f aca="false">AQ4*Streams!$E$6/Streams!$E$15</f>
        <v>0.9</v>
      </c>
      <c r="AR10" s="10" t="n">
        <f aca="false">AR4*Streams!$E$6/Streams!$E$15</f>
        <v>0.9</v>
      </c>
      <c r="AS10" s="10" t="n">
        <f aca="false">AS4*Streams!$E$6/Streams!$E$15</f>
        <v>0.9</v>
      </c>
      <c r="AT10" s="10" t="n">
        <f aca="false">AT4*Streams!$E$6/Streams!$E$15</f>
        <v>0.9</v>
      </c>
      <c r="AU10" s="10" t="n">
        <f aca="false">AU4*Streams!$E$6/Streams!$E$15</f>
        <v>0.9</v>
      </c>
      <c r="AV10" s="10" t="n">
        <f aca="false">AV4*Streams!$E$6/Streams!$E$15</f>
        <v>0.9</v>
      </c>
      <c r="AW10" s="10" t="n">
        <f aca="false">AW4*Streams!$E$6/Streams!$E$15</f>
        <v>0.9</v>
      </c>
      <c r="AX10" s="10" t="n">
        <f aca="false">AX4*Streams!$E$6/Streams!$E$15</f>
        <v>0.9</v>
      </c>
      <c r="AY10" s="10" t="n">
        <f aca="false">AY4*Streams!$E$6/Streams!$E$15</f>
        <v>0.9</v>
      </c>
      <c r="AZ10" s="10" t="n">
        <f aca="false">AZ4*Streams!$E$6/Streams!$E$15</f>
        <v>0.9</v>
      </c>
      <c r="BA10" s="10" t="n">
        <f aca="false">BA4*Streams!$E$6/Streams!$E$15</f>
        <v>0.9</v>
      </c>
      <c r="BB10" s="10" t="n">
        <f aca="false">BB4*Streams!$E$6/Streams!$E$15</f>
        <v>0.9</v>
      </c>
      <c r="BC10" s="10" t="n">
        <f aca="false">BC4*Streams!$E$6/Streams!$E$15</f>
        <v>0.9</v>
      </c>
      <c r="BD10" s="10" t="n">
        <f aca="false">BD4*Streams!$E$6/Streams!$E$15</f>
        <v>0.9</v>
      </c>
      <c r="BE10" s="10" t="n">
        <f aca="false">BE4*Streams!$E$6/Streams!$E$15</f>
        <v>0.9</v>
      </c>
      <c r="BF10" s="10" t="n">
        <f aca="false">BF4*Streams!$E$6/Streams!$E$15</f>
        <v>0.9</v>
      </c>
      <c r="BG10" s="10" t="n">
        <f aca="false">BG4*Streams!$E$6/Streams!$E$15</f>
        <v>0.9</v>
      </c>
      <c r="BH10" s="10" t="n">
        <f aca="false">BH4*Streams!$E$6/Streams!$E$15</f>
        <v>0.9</v>
      </c>
      <c r="BI10" s="10" t="n">
        <f aca="false">BI4*Streams!$E$6/Streams!$E$15</f>
        <v>0.9</v>
      </c>
      <c r="BJ10" s="10" t="n">
        <f aca="false">BJ4*Streams!$E$6/Streams!$E$15</f>
        <v>0.9</v>
      </c>
      <c r="BK10" s="10" t="n">
        <f aca="false">BK4*Streams!$E$6/Streams!$E$15</f>
        <v>0.9</v>
      </c>
      <c r="BL10" s="10" t="n">
        <f aca="false">BL4*Streams!$E$6/Streams!$E$15</f>
        <v>0.9</v>
      </c>
      <c r="BM10" s="10" t="n">
        <f aca="false">BM4*Streams!$E$6/Streams!$E$15</f>
        <v>0.9</v>
      </c>
      <c r="BN10" s="10" t="n">
        <f aca="false">BN4*Streams!$E$6/Streams!$E$15</f>
        <v>0.9</v>
      </c>
      <c r="BO10" s="10" t="n">
        <f aca="false">BO4*Streams!$E$6/Streams!$E$15</f>
        <v>0.9</v>
      </c>
      <c r="BP10" s="10" t="n">
        <f aca="false">BP4*Streams!$E$6/Streams!$E$15</f>
        <v>0.9</v>
      </c>
      <c r="BQ10" s="10" t="n">
        <f aca="false">BQ4*Streams!$E$6/Streams!$E$15</f>
        <v>0.9</v>
      </c>
      <c r="BR10" s="10" t="n">
        <f aca="false">BR4*Streams!$E$6/Streams!$E$15</f>
        <v>0.9</v>
      </c>
      <c r="BS10" s="10" t="n">
        <f aca="false">BS4*Streams!$E$6/Streams!$E$15</f>
        <v>0.9</v>
      </c>
      <c r="BT10" s="10" t="n">
        <f aca="false">BT4*Streams!$E$6/Streams!$E$15</f>
        <v>0.9</v>
      </c>
      <c r="BU10" s="10" t="n">
        <f aca="false">BU4*Streams!$E$6/Streams!$E$15</f>
        <v>0.9</v>
      </c>
      <c r="BV10" s="10" t="n">
        <f aca="false">BV4*Streams!$E$6/Streams!$E$15</f>
        <v>0.9</v>
      </c>
      <c r="BW10" s="10" t="n">
        <f aca="false">BW4*Streams!$E$6/Streams!$E$15</f>
        <v>0.9</v>
      </c>
      <c r="BX10" s="10" t="n">
        <f aca="false">BX4*Streams!$E$6/Streams!$E$15</f>
        <v>0.9</v>
      </c>
      <c r="BY10" s="10" t="n">
        <f aca="false">BY4*Streams!$E$6/Streams!$E$15</f>
        <v>0.9</v>
      </c>
      <c r="BZ10" s="10" t="n">
        <f aca="false">BZ4*Streams!$E$6/Streams!$E$15</f>
        <v>0.9</v>
      </c>
      <c r="CA10" s="10" t="n">
        <f aca="false">CA4*Streams!$E$6/Streams!$E$15</f>
        <v>0.9</v>
      </c>
      <c r="CB10" s="10" t="n">
        <f aca="false">CB4*Streams!$E$6/Streams!$E$15</f>
        <v>0.9</v>
      </c>
      <c r="CC10" s="10" t="n">
        <f aca="false">CC4*Streams!$E$6/Streams!$E$15</f>
        <v>0.9</v>
      </c>
      <c r="CD10" s="10" t="n">
        <f aca="false">CD4*Streams!$E$6/Streams!$E$15</f>
        <v>0.9</v>
      </c>
      <c r="CE10" s="10" t="n">
        <f aca="false">CE4*Streams!$E$6/Streams!$E$15</f>
        <v>0.9</v>
      </c>
      <c r="CF10" s="10" t="n">
        <f aca="false">CF4*Streams!$E$6/Streams!$E$15</f>
        <v>0.9</v>
      </c>
      <c r="CG10" s="10" t="n">
        <f aca="false">CG4*Streams!$E$6/Streams!$E$15</f>
        <v>0.9</v>
      </c>
      <c r="CH10" s="10" t="n">
        <f aca="false">CH4*Streams!$E$6/Streams!$E$15</f>
        <v>0.9</v>
      </c>
      <c r="CI10" s="10" t="n">
        <f aca="false">CI4*Streams!$E$6/Streams!$E$15</f>
        <v>0.9</v>
      </c>
      <c r="CJ10" s="10" t="n">
        <f aca="false">CJ4*Streams!$E$6/Streams!$E$15</f>
        <v>0.9</v>
      </c>
      <c r="CK10" s="10" t="n">
        <f aca="false">CK4*Streams!$E$6/Streams!$E$15</f>
        <v>0.9</v>
      </c>
      <c r="CL10" s="10" t="n">
        <f aca="false">CL4*Streams!$E$6/Streams!$E$15</f>
        <v>0.9</v>
      </c>
      <c r="CM10" s="10" t="n">
        <f aca="false">CM4*Streams!$E$6/Streams!$E$15</f>
        <v>0.9</v>
      </c>
      <c r="CN10" s="10" t="n">
        <f aca="false">CN4*Streams!$E$6/Streams!$E$15</f>
        <v>0.9</v>
      </c>
      <c r="CO10" s="10" t="n">
        <f aca="false">CO4*Streams!$E$6/Streams!$E$15</f>
        <v>0.9</v>
      </c>
      <c r="CP10" s="10" t="n">
        <f aca="false">CP4*Streams!$E$6/Streams!$E$15</f>
        <v>0.9</v>
      </c>
      <c r="CQ10" s="10" t="n">
        <f aca="false">CQ4*Streams!$E$6/Streams!$E$15</f>
        <v>0.9</v>
      </c>
      <c r="CR10" s="10" t="n">
        <f aca="false">CR4*Streams!$E$6/Streams!$E$15</f>
        <v>0.9</v>
      </c>
      <c r="CS10" s="10" t="n">
        <f aca="false">CS4*Streams!$E$6/Streams!$E$15</f>
        <v>0.9</v>
      </c>
      <c r="CT10" s="10" t="n">
        <f aca="false">CT4*Streams!$E$6/Streams!$E$15</f>
        <v>0.9</v>
      </c>
      <c r="CU10" s="10" t="n">
        <f aca="false">CU4*Streams!$E$6/Streams!$E$15</f>
        <v>0.9</v>
      </c>
      <c r="CV10" s="10" t="n">
        <f aca="false">CV4*Streams!$E$6/Streams!$E$15</f>
        <v>0.9</v>
      </c>
      <c r="CW10" s="10" t="n">
        <f aca="false">CW4*Streams!$E$6/Streams!$E$15</f>
        <v>0.9</v>
      </c>
      <c r="CX10" s="10" t="n">
        <f aca="false">CX4*Streams!$E$6/Streams!$E$15</f>
        <v>0.9</v>
      </c>
      <c r="CY10" s="10" t="n">
        <f aca="false">CY4*Streams!$E$6/Streams!$E$15</f>
        <v>0.9</v>
      </c>
      <c r="CZ10" s="10" t="n">
        <f aca="false">CZ4*Streams!$E$6/Streams!$E$15</f>
        <v>0.9</v>
      </c>
      <c r="DA10" s="10" t="n">
        <f aca="false">DA4*Streams!$E$6/Streams!$E$15</f>
        <v>0.9</v>
      </c>
      <c r="DB10" s="10" t="n">
        <f aca="false">DB4*Streams!$E$6/Streams!$E$15</f>
        <v>0.9</v>
      </c>
      <c r="DC10" s="10" t="n">
        <f aca="false">DC4*Streams!$E$6/Streams!$E$15</f>
        <v>0.9</v>
      </c>
      <c r="DD10" s="10" t="n">
        <f aca="false">DD4*Streams!$E$6/Streams!$E$15</f>
        <v>0.9</v>
      </c>
      <c r="DE10" s="10" t="n">
        <f aca="false">DE4*Streams!$E$6/Streams!$E$15</f>
        <v>0.9</v>
      </c>
      <c r="DF10" s="10" t="n">
        <f aca="false">DF4*Streams!$E$6/Streams!$E$15</f>
        <v>0.9</v>
      </c>
      <c r="DG10" s="10" t="n">
        <f aca="false">DG4*Streams!$E$6/Streams!$E$15</f>
        <v>0.9</v>
      </c>
      <c r="DH10" s="10" t="n">
        <f aca="false">DH4*Streams!$E$6/Streams!$E$15</f>
        <v>0.9</v>
      </c>
      <c r="DI10" s="10" t="n">
        <f aca="false">DI4*Streams!$E$6/Streams!$E$15</f>
        <v>0.9</v>
      </c>
      <c r="DJ10" s="10" t="n">
        <f aca="false">DJ4*Streams!$E$6/Streams!$E$15</f>
        <v>0.9</v>
      </c>
      <c r="DK10" s="10" t="n">
        <f aca="false">DK4*Streams!$E$6/Streams!$E$15</f>
        <v>0.9</v>
      </c>
      <c r="DL10" s="10" t="n">
        <f aca="false">DL4*Streams!$E$6/Streams!$E$15</f>
        <v>0.9</v>
      </c>
      <c r="DM10" s="10" t="n">
        <f aca="false">DM4*Streams!$E$6/Streams!$E$15</f>
        <v>0.9</v>
      </c>
      <c r="DN10" s="10" t="n">
        <f aca="false">DN4*Streams!$E$6/Streams!$E$15</f>
        <v>0.9</v>
      </c>
      <c r="DO10" s="10" t="n">
        <f aca="false">DO4*Streams!$E$6/Streams!$E$15</f>
        <v>0.9</v>
      </c>
      <c r="DP10" s="10" t="n">
        <f aca="false">DP4*Streams!$E$6/Streams!$E$15</f>
        <v>0.9</v>
      </c>
      <c r="DQ10" s="10" t="n">
        <f aca="false">DQ4*Streams!$E$6/Streams!$E$15</f>
        <v>0.9</v>
      </c>
      <c r="DR10" s="10" t="n">
        <f aca="false">DR4*Streams!$E$6/Streams!$E$15</f>
        <v>0.9</v>
      </c>
    </row>
    <row r="11" customFormat="false" ht="15" hidden="false" customHeight="false" outlineLevel="0" collapsed="false">
      <c r="A11" s="9" t="s">
        <v>180</v>
      </c>
      <c r="B11" s="10" t="n">
        <f aca="false">B4*Streams!$E$7/Streams!$E$15</f>
        <v>0</v>
      </c>
      <c r="C11" s="10" t="n">
        <f aca="false">C4*Streams!$E$7/Streams!$E$15</f>
        <v>0</v>
      </c>
      <c r="D11" s="10" t="n">
        <f aca="false">D4*Streams!$E$7/Streams!$E$15</f>
        <v>0</v>
      </c>
      <c r="E11" s="10" t="n">
        <f aca="false">E4*Streams!$E$7/Streams!$E$15</f>
        <v>0</v>
      </c>
      <c r="F11" s="10" t="n">
        <f aca="false">F4*Streams!$E$7/Streams!$E$15</f>
        <v>0</v>
      </c>
      <c r="G11" s="10" t="n">
        <f aca="false">G4*Streams!$E$7/Streams!$E$15</f>
        <v>0</v>
      </c>
      <c r="H11" s="10" t="n">
        <f aca="false">H4*Streams!$E$7/Streams!$E$15</f>
        <v>0</v>
      </c>
      <c r="I11" s="10" t="n">
        <f aca="false">I4*Streams!$E$7/Streams!$E$15</f>
        <v>0</v>
      </c>
      <c r="J11" s="10" t="n">
        <f aca="false">J4*Streams!$E$7/Streams!$E$15</f>
        <v>0</v>
      </c>
      <c r="K11" s="10" t="n">
        <f aca="false">K4*Streams!$E$7/Streams!$E$15</f>
        <v>1.28571428571429</v>
      </c>
      <c r="L11" s="10" t="n">
        <f aca="false">L4*Streams!$E$7/Streams!$E$15</f>
        <v>1.28571428571429</v>
      </c>
      <c r="M11" s="10" t="n">
        <f aca="false">M4*Streams!$E$7/Streams!$E$15</f>
        <v>1.28571428571429</v>
      </c>
      <c r="N11" s="10" t="n">
        <f aca="false">N4*Streams!$E$7/Streams!$E$15</f>
        <v>2.14285714285714</v>
      </c>
      <c r="O11" s="10" t="n">
        <f aca="false">O4*Streams!$E$7/Streams!$E$15</f>
        <v>2.14285714285714</v>
      </c>
      <c r="P11" s="10" t="n">
        <f aca="false">P4*Streams!$E$7/Streams!$E$15</f>
        <v>2.14285714285714</v>
      </c>
      <c r="Q11" s="10" t="n">
        <f aca="false">Q4*Streams!$E$7/Streams!$E$15</f>
        <v>3</v>
      </c>
      <c r="R11" s="10" t="n">
        <f aca="false">R4*Streams!$E$7/Streams!$E$15</f>
        <v>3</v>
      </c>
      <c r="S11" s="10" t="n">
        <f aca="false">S4*Streams!$E$7/Streams!$E$15</f>
        <v>3</v>
      </c>
      <c r="T11" s="10" t="n">
        <f aca="false">T4*Streams!$E$7/Streams!$E$15</f>
        <v>3</v>
      </c>
      <c r="U11" s="10" t="n">
        <f aca="false">U4*Streams!$E$7/Streams!$E$15</f>
        <v>3</v>
      </c>
      <c r="V11" s="10" t="n">
        <f aca="false">V4*Streams!$E$7/Streams!$E$15</f>
        <v>3</v>
      </c>
      <c r="W11" s="10" t="n">
        <f aca="false">W4*Streams!$E$7/Streams!$E$15</f>
        <v>3</v>
      </c>
      <c r="X11" s="10" t="n">
        <f aca="false">X4*Streams!$E$7/Streams!$E$15</f>
        <v>3</v>
      </c>
      <c r="Y11" s="10" t="n">
        <f aca="false">Y4*Streams!$E$7/Streams!$E$15</f>
        <v>3</v>
      </c>
      <c r="Z11" s="10" t="n">
        <f aca="false">Z4*Streams!$E$7/Streams!$E$15</f>
        <v>3</v>
      </c>
      <c r="AA11" s="10" t="n">
        <f aca="false">AA4*Streams!$E$7/Streams!$E$15</f>
        <v>3</v>
      </c>
      <c r="AB11" s="10" t="n">
        <f aca="false">AB4*Streams!$E$7/Streams!$E$15</f>
        <v>3</v>
      </c>
      <c r="AC11" s="10" t="n">
        <f aca="false">AC4*Streams!$E$7/Streams!$E$15</f>
        <v>3</v>
      </c>
      <c r="AD11" s="10" t="n">
        <f aca="false">AD4*Streams!$E$7/Streams!$E$15</f>
        <v>3</v>
      </c>
      <c r="AE11" s="10" t="n">
        <f aca="false">AE4*Streams!$E$7/Streams!$E$15</f>
        <v>3</v>
      </c>
      <c r="AF11" s="10" t="n">
        <f aca="false">AF4*Streams!$E$7/Streams!$E$15</f>
        <v>3</v>
      </c>
      <c r="AG11" s="10" t="n">
        <f aca="false">AG4*Streams!$E$7/Streams!$E$15</f>
        <v>3</v>
      </c>
      <c r="AH11" s="10" t="n">
        <f aca="false">AH4*Streams!$E$7/Streams!$E$15</f>
        <v>3</v>
      </c>
      <c r="AI11" s="10" t="n">
        <f aca="false">AI4*Streams!$E$7/Streams!$E$15</f>
        <v>3</v>
      </c>
      <c r="AJ11" s="10" t="n">
        <f aca="false">AJ4*Streams!$E$7/Streams!$E$15</f>
        <v>3</v>
      </c>
      <c r="AK11" s="10" t="n">
        <f aca="false">AK4*Streams!$E$7/Streams!$E$15</f>
        <v>3</v>
      </c>
      <c r="AL11" s="10" t="n">
        <f aca="false">AL4*Streams!$E$7/Streams!$E$15</f>
        <v>3</v>
      </c>
      <c r="AM11" s="10" t="n">
        <f aca="false">AM4*Streams!$E$7/Streams!$E$15</f>
        <v>3</v>
      </c>
      <c r="AN11" s="10" t="n">
        <f aca="false">AN4*Streams!$E$7/Streams!$E$15</f>
        <v>3</v>
      </c>
      <c r="AO11" s="10" t="n">
        <f aca="false">AO4*Streams!$E$7/Streams!$E$15</f>
        <v>3</v>
      </c>
      <c r="AP11" s="10" t="n">
        <f aca="false">AP4*Streams!$E$7/Streams!$E$15</f>
        <v>3</v>
      </c>
      <c r="AQ11" s="10" t="n">
        <f aca="false">AQ4*Streams!$E$7/Streams!$E$15</f>
        <v>3</v>
      </c>
      <c r="AR11" s="10" t="n">
        <f aca="false">AR4*Streams!$E$7/Streams!$E$15</f>
        <v>3</v>
      </c>
      <c r="AS11" s="10" t="n">
        <f aca="false">AS4*Streams!$E$7/Streams!$E$15</f>
        <v>3</v>
      </c>
      <c r="AT11" s="10" t="n">
        <f aca="false">AT4*Streams!$E$7/Streams!$E$15</f>
        <v>3</v>
      </c>
      <c r="AU11" s="10" t="n">
        <f aca="false">AU4*Streams!$E$7/Streams!$E$15</f>
        <v>3</v>
      </c>
      <c r="AV11" s="10" t="n">
        <f aca="false">AV4*Streams!$E$7/Streams!$E$15</f>
        <v>3</v>
      </c>
      <c r="AW11" s="10" t="n">
        <f aca="false">AW4*Streams!$E$7/Streams!$E$15</f>
        <v>3</v>
      </c>
      <c r="AX11" s="10" t="n">
        <f aca="false">AX4*Streams!$E$7/Streams!$E$15</f>
        <v>3</v>
      </c>
      <c r="AY11" s="10" t="n">
        <f aca="false">AY4*Streams!$E$7/Streams!$E$15</f>
        <v>3</v>
      </c>
      <c r="AZ11" s="10" t="n">
        <f aca="false">AZ4*Streams!$E$7/Streams!$E$15</f>
        <v>3</v>
      </c>
      <c r="BA11" s="10" t="n">
        <f aca="false">BA4*Streams!$E$7/Streams!$E$15</f>
        <v>3</v>
      </c>
      <c r="BB11" s="10" t="n">
        <f aca="false">BB4*Streams!$E$7/Streams!$E$15</f>
        <v>3</v>
      </c>
      <c r="BC11" s="10" t="n">
        <f aca="false">BC4*Streams!$E$7/Streams!$E$15</f>
        <v>3</v>
      </c>
      <c r="BD11" s="10" t="n">
        <f aca="false">BD4*Streams!$E$7/Streams!$E$15</f>
        <v>3</v>
      </c>
      <c r="BE11" s="10" t="n">
        <f aca="false">BE4*Streams!$E$7/Streams!$E$15</f>
        <v>3</v>
      </c>
      <c r="BF11" s="10" t="n">
        <f aca="false">BF4*Streams!$E$7/Streams!$E$15</f>
        <v>3</v>
      </c>
      <c r="BG11" s="10" t="n">
        <f aca="false">BG4*Streams!$E$7/Streams!$E$15</f>
        <v>3</v>
      </c>
      <c r="BH11" s="10" t="n">
        <f aca="false">BH4*Streams!$E$7/Streams!$E$15</f>
        <v>3</v>
      </c>
      <c r="BI11" s="10" t="n">
        <f aca="false">BI4*Streams!$E$7/Streams!$E$15</f>
        <v>3</v>
      </c>
      <c r="BJ11" s="10" t="n">
        <f aca="false">BJ4*Streams!$E$7/Streams!$E$15</f>
        <v>3</v>
      </c>
      <c r="BK11" s="10" t="n">
        <f aca="false">BK4*Streams!$E$7/Streams!$E$15</f>
        <v>3</v>
      </c>
      <c r="BL11" s="10" t="n">
        <f aca="false">BL4*Streams!$E$7/Streams!$E$15</f>
        <v>3</v>
      </c>
      <c r="BM11" s="10" t="n">
        <f aca="false">BM4*Streams!$E$7/Streams!$E$15</f>
        <v>3</v>
      </c>
      <c r="BN11" s="10" t="n">
        <f aca="false">BN4*Streams!$E$7/Streams!$E$15</f>
        <v>3</v>
      </c>
      <c r="BO11" s="10" t="n">
        <f aca="false">BO4*Streams!$E$7/Streams!$E$15</f>
        <v>3</v>
      </c>
      <c r="BP11" s="10" t="n">
        <f aca="false">BP4*Streams!$E$7/Streams!$E$15</f>
        <v>3</v>
      </c>
      <c r="BQ11" s="10" t="n">
        <f aca="false">BQ4*Streams!$E$7/Streams!$E$15</f>
        <v>3</v>
      </c>
      <c r="BR11" s="10" t="n">
        <f aca="false">BR4*Streams!$E$7/Streams!$E$15</f>
        <v>3</v>
      </c>
      <c r="BS11" s="10" t="n">
        <f aca="false">BS4*Streams!$E$7/Streams!$E$15</f>
        <v>3</v>
      </c>
      <c r="BT11" s="10" t="n">
        <f aca="false">BT4*Streams!$E$7/Streams!$E$15</f>
        <v>3</v>
      </c>
      <c r="BU11" s="10" t="n">
        <f aca="false">BU4*Streams!$E$7/Streams!$E$15</f>
        <v>3</v>
      </c>
      <c r="BV11" s="10" t="n">
        <f aca="false">BV4*Streams!$E$7/Streams!$E$15</f>
        <v>3</v>
      </c>
      <c r="BW11" s="10" t="n">
        <f aca="false">BW4*Streams!$E$7/Streams!$E$15</f>
        <v>3</v>
      </c>
      <c r="BX11" s="10" t="n">
        <f aca="false">BX4*Streams!$E$7/Streams!$E$15</f>
        <v>3</v>
      </c>
      <c r="BY11" s="10" t="n">
        <f aca="false">BY4*Streams!$E$7/Streams!$E$15</f>
        <v>3</v>
      </c>
      <c r="BZ11" s="10" t="n">
        <f aca="false">BZ4*Streams!$E$7/Streams!$E$15</f>
        <v>3</v>
      </c>
      <c r="CA11" s="10" t="n">
        <f aca="false">CA4*Streams!$E$7/Streams!$E$15</f>
        <v>3</v>
      </c>
      <c r="CB11" s="10" t="n">
        <f aca="false">CB4*Streams!$E$7/Streams!$E$15</f>
        <v>3</v>
      </c>
      <c r="CC11" s="10" t="n">
        <f aca="false">CC4*Streams!$E$7/Streams!$E$15</f>
        <v>3</v>
      </c>
      <c r="CD11" s="10" t="n">
        <f aca="false">CD4*Streams!$E$7/Streams!$E$15</f>
        <v>3</v>
      </c>
      <c r="CE11" s="10" t="n">
        <f aca="false">CE4*Streams!$E$7/Streams!$E$15</f>
        <v>3</v>
      </c>
      <c r="CF11" s="10" t="n">
        <f aca="false">CF4*Streams!$E$7/Streams!$E$15</f>
        <v>3</v>
      </c>
      <c r="CG11" s="10" t="n">
        <f aca="false">CG4*Streams!$E$7/Streams!$E$15</f>
        <v>3</v>
      </c>
      <c r="CH11" s="10" t="n">
        <f aca="false">CH4*Streams!$E$7/Streams!$E$15</f>
        <v>3</v>
      </c>
      <c r="CI11" s="10" t="n">
        <f aca="false">CI4*Streams!$E$7/Streams!$E$15</f>
        <v>3</v>
      </c>
      <c r="CJ11" s="10" t="n">
        <f aca="false">CJ4*Streams!$E$7/Streams!$E$15</f>
        <v>3</v>
      </c>
      <c r="CK11" s="10" t="n">
        <f aca="false">CK4*Streams!$E$7/Streams!$E$15</f>
        <v>3</v>
      </c>
      <c r="CL11" s="10" t="n">
        <f aca="false">CL4*Streams!$E$7/Streams!$E$15</f>
        <v>3</v>
      </c>
      <c r="CM11" s="10" t="n">
        <f aca="false">CM4*Streams!$E$7/Streams!$E$15</f>
        <v>3</v>
      </c>
      <c r="CN11" s="10" t="n">
        <f aca="false">CN4*Streams!$E$7/Streams!$E$15</f>
        <v>3</v>
      </c>
      <c r="CO11" s="10" t="n">
        <f aca="false">CO4*Streams!$E$7/Streams!$E$15</f>
        <v>3</v>
      </c>
      <c r="CP11" s="10" t="n">
        <f aca="false">CP4*Streams!$E$7/Streams!$E$15</f>
        <v>3</v>
      </c>
      <c r="CQ11" s="10" t="n">
        <f aca="false">CQ4*Streams!$E$7/Streams!$E$15</f>
        <v>3</v>
      </c>
      <c r="CR11" s="10" t="n">
        <f aca="false">CR4*Streams!$E$7/Streams!$E$15</f>
        <v>3</v>
      </c>
      <c r="CS11" s="10" t="n">
        <f aca="false">CS4*Streams!$E$7/Streams!$E$15</f>
        <v>3</v>
      </c>
      <c r="CT11" s="10" t="n">
        <f aca="false">CT4*Streams!$E$7/Streams!$E$15</f>
        <v>3</v>
      </c>
      <c r="CU11" s="10" t="n">
        <f aca="false">CU4*Streams!$E$7/Streams!$E$15</f>
        <v>3</v>
      </c>
      <c r="CV11" s="10" t="n">
        <f aca="false">CV4*Streams!$E$7/Streams!$E$15</f>
        <v>3</v>
      </c>
      <c r="CW11" s="10" t="n">
        <f aca="false">CW4*Streams!$E$7/Streams!$E$15</f>
        <v>3</v>
      </c>
      <c r="CX11" s="10" t="n">
        <f aca="false">CX4*Streams!$E$7/Streams!$E$15</f>
        <v>3</v>
      </c>
      <c r="CY11" s="10" t="n">
        <f aca="false">CY4*Streams!$E$7/Streams!$E$15</f>
        <v>3</v>
      </c>
      <c r="CZ11" s="10" t="n">
        <f aca="false">CZ4*Streams!$E$7/Streams!$E$15</f>
        <v>3</v>
      </c>
      <c r="DA11" s="10" t="n">
        <f aca="false">DA4*Streams!$E$7/Streams!$E$15</f>
        <v>3</v>
      </c>
      <c r="DB11" s="10" t="n">
        <f aca="false">DB4*Streams!$E$7/Streams!$E$15</f>
        <v>3</v>
      </c>
      <c r="DC11" s="10" t="n">
        <f aca="false">DC4*Streams!$E$7/Streams!$E$15</f>
        <v>3</v>
      </c>
      <c r="DD11" s="10" t="n">
        <f aca="false">DD4*Streams!$E$7/Streams!$E$15</f>
        <v>3</v>
      </c>
      <c r="DE11" s="10" t="n">
        <f aca="false">DE4*Streams!$E$7/Streams!$E$15</f>
        <v>3</v>
      </c>
      <c r="DF11" s="10" t="n">
        <f aca="false">DF4*Streams!$E$7/Streams!$E$15</f>
        <v>3</v>
      </c>
      <c r="DG11" s="10" t="n">
        <f aca="false">DG4*Streams!$E$7/Streams!$E$15</f>
        <v>3</v>
      </c>
      <c r="DH11" s="10" t="n">
        <f aca="false">DH4*Streams!$E$7/Streams!$E$15</f>
        <v>3</v>
      </c>
      <c r="DI11" s="10" t="n">
        <f aca="false">DI4*Streams!$E$7/Streams!$E$15</f>
        <v>3</v>
      </c>
      <c r="DJ11" s="10" t="n">
        <f aca="false">DJ4*Streams!$E$7/Streams!$E$15</f>
        <v>3</v>
      </c>
      <c r="DK11" s="10" t="n">
        <f aca="false">DK4*Streams!$E$7/Streams!$E$15</f>
        <v>3</v>
      </c>
      <c r="DL11" s="10" t="n">
        <f aca="false">DL4*Streams!$E$7/Streams!$E$15</f>
        <v>3</v>
      </c>
      <c r="DM11" s="10" t="n">
        <f aca="false">DM4*Streams!$E$7/Streams!$E$15</f>
        <v>3</v>
      </c>
      <c r="DN11" s="10" t="n">
        <f aca="false">DN4*Streams!$E$7/Streams!$E$15</f>
        <v>3</v>
      </c>
      <c r="DO11" s="10" t="n">
        <f aca="false">DO4*Streams!$E$7/Streams!$E$15</f>
        <v>3</v>
      </c>
      <c r="DP11" s="10" t="n">
        <f aca="false">DP4*Streams!$E$7/Streams!$E$15</f>
        <v>3</v>
      </c>
      <c r="DQ11" s="10" t="n">
        <f aca="false">DQ4*Streams!$E$7/Streams!$E$15</f>
        <v>3</v>
      </c>
      <c r="DR11" s="10" t="n">
        <f aca="false">DR4*Streams!$E$7/Streams!$E$15</f>
        <v>3</v>
      </c>
    </row>
    <row r="12" customFormat="false" ht="15" hidden="false" customHeight="false" outlineLevel="0" collapsed="false">
      <c r="A12" s="9" t="s">
        <v>181</v>
      </c>
      <c r="B12" s="10" t="n">
        <f aca="false">B4*Streams!$E$8/Streams!$E$15</f>
        <v>0</v>
      </c>
      <c r="C12" s="10" t="n">
        <f aca="false">C4*Streams!$E$8/Streams!$E$15</f>
        <v>0</v>
      </c>
      <c r="D12" s="10" t="n">
        <f aca="false">D4*Streams!$E$8/Streams!$E$15</f>
        <v>0</v>
      </c>
      <c r="E12" s="10" t="n">
        <f aca="false">E4*Streams!$E$8/Streams!$E$15</f>
        <v>0</v>
      </c>
      <c r="F12" s="10" t="n">
        <f aca="false">F4*Streams!$E$8/Streams!$E$15</f>
        <v>0</v>
      </c>
      <c r="G12" s="10" t="n">
        <f aca="false">G4*Streams!$E$8/Streams!$E$15</f>
        <v>0</v>
      </c>
      <c r="H12" s="10" t="n">
        <f aca="false">H4*Streams!$E$8/Streams!$E$15</f>
        <v>0</v>
      </c>
      <c r="I12" s="10" t="n">
        <f aca="false">I4*Streams!$E$8/Streams!$E$15</f>
        <v>0</v>
      </c>
      <c r="J12" s="10" t="n">
        <f aca="false">J4*Streams!$E$8/Streams!$E$15</f>
        <v>0</v>
      </c>
      <c r="K12" s="10" t="n">
        <f aca="false">K4*Streams!$E$8/Streams!$E$15</f>
        <v>0.642857142857143</v>
      </c>
      <c r="L12" s="10" t="n">
        <f aca="false">L4*Streams!$E$8/Streams!$E$15</f>
        <v>0.642857142857143</v>
      </c>
      <c r="M12" s="10" t="n">
        <f aca="false">M4*Streams!$E$8/Streams!$E$15</f>
        <v>0.642857142857143</v>
      </c>
      <c r="N12" s="10" t="n">
        <f aca="false">N4*Streams!$E$8/Streams!$E$15</f>
        <v>1.07142857142857</v>
      </c>
      <c r="O12" s="10" t="n">
        <f aca="false">O4*Streams!$E$8/Streams!$E$15</f>
        <v>1.07142857142857</v>
      </c>
      <c r="P12" s="10" t="n">
        <f aca="false">P4*Streams!$E$8/Streams!$E$15</f>
        <v>1.07142857142857</v>
      </c>
      <c r="Q12" s="10" t="n">
        <f aca="false">Q4*Streams!$E$8/Streams!$E$15</f>
        <v>1.5</v>
      </c>
      <c r="R12" s="10" t="n">
        <f aca="false">R4*Streams!$E$8/Streams!$E$15</f>
        <v>1.5</v>
      </c>
      <c r="S12" s="10" t="n">
        <f aca="false">S4*Streams!$E$8/Streams!$E$15</f>
        <v>1.5</v>
      </c>
      <c r="T12" s="10" t="n">
        <f aca="false">T4*Streams!$E$8/Streams!$E$15</f>
        <v>1.5</v>
      </c>
      <c r="U12" s="10" t="n">
        <f aca="false">U4*Streams!$E$8/Streams!$E$15</f>
        <v>1.5</v>
      </c>
      <c r="V12" s="10" t="n">
        <f aca="false">V4*Streams!$E$8/Streams!$E$15</f>
        <v>1.5</v>
      </c>
      <c r="W12" s="10" t="n">
        <f aca="false">W4*Streams!$E$8/Streams!$E$15</f>
        <v>1.5</v>
      </c>
      <c r="X12" s="10" t="n">
        <f aca="false">X4*Streams!$E$8/Streams!$E$15</f>
        <v>1.5</v>
      </c>
      <c r="Y12" s="10" t="n">
        <f aca="false">Y4*Streams!$E$8/Streams!$E$15</f>
        <v>1.5</v>
      </c>
      <c r="Z12" s="10" t="n">
        <f aca="false">Z4*Streams!$E$8/Streams!$E$15</f>
        <v>1.5</v>
      </c>
      <c r="AA12" s="10" t="n">
        <f aca="false">AA4*Streams!$E$8/Streams!$E$15</f>
        <v>1.5</v>
      </c>
      <c r="AB12" s="10" t="n">
        <f aca="false">AB4*Streams!$E$8/Streams!$E$15</f>
        <v>1.5</v>
      </c>
      <c r="AC12" s="10" t="n">
        <f aca="false">AC4*Streams!$E$8/Streams!$E$15</f>
        <v>1.5</v>
      </c>
      <c r="AD12" s="10" t="n">
        <f aca="false">AD4*Streams!$E$8/Streams!$E$15</f>
        <v>1.5</v>
      </c>
      <c r="AE12" s="10" t="n">
        <f aca="false">AE4*Streams!$E$8/Streams!$E$15</f>
        <v>1.5</v>
      </c>
      <c r="AF12" s="10" t="n">
        <f aca="false">AF4*Streams!$E$8/Streams!$E$15</f>
        <v>1.5</v>
      </c>
      <c r="AG12" s="10" t="n">
        <f aca="false">AG4*Streams!$E$8/Streams!$E$15</f>
        <v>1.5</v>
      </c>
      <c r="AH12" s="10" t="n">
        <f aca="false">AH4*Streams!$E$8/Streams!$E$15</f>
        <v>1.5</v>
      </c>
      <c r="AI12" s="10" t="n">
        <f aca="false">AI4*Streams!$E$8/Streams!$E$15</f>
        <v>1.5</v>
      </c>
      <c r="AJ12" s="10" t="n">
        <f aca="false">AJ4*Streams!$E$8/Streams!$E$15</f>
        <v>1.5</v>
      </c>
      <c r="AK12" s="10" t="n">
        <f aca="false">AK4*Streams!$E$8/Streams!$E$15</f>
        <v>1.5</v>
      </c>
      <c r="AL12" s="10" t="n">
        <f aca="false">AL4*Streams!$E$8/Streams!$E$15</f>
        <v>1.5</v>
      </c>
      <c r="AM12" s="10" t="n">
        <f aca="false">AM4*Streams!$E$8/Streams!$E$15</f>
        <v>1.5</v>
      </c>
      <c r="AN12" s="10" t="n">
        <f aca="false">AN4*Streams!$E$8/Streams!$E$15</f>
        <v>1.5</v>
      </c>
      <c r="AO12" s="10" t="n">
        <f aca="false">AO4*Streams!$E$8/Streams!$E$15</f>
        <v>1.5</v>
      </c>
      <c r="AP12" s="10" t="n">
        <f aca="false">AP4*Streams!$E$8/Streams!$E$15</f>
        <v>1.5</v>
      </c>
      <c r="AQ12" s="10" t="n">
        <f aca="false">AQ4*Streams!$E$8/Streams!$E$15</f>
        <v>1.5</v>
      </c>
      <c r="AR12" s="10" t="n">
        <f aca="false">AR4*Streams!$E$8/Streams!$E$15</f>
        <v>1.5</v>
      </c>
      <c r="AS12" s="10" t="n">
        <f aca="false">AS4*Streams!$E$8/Streams!$E$15</f>
        <v>1.5</v>
      </c>
      <c r="AT12" s="10" t="n">
        <f aca="false">AT4*Streams!$E$8/Streams!$E$15</f>
        <v>1.5</v>
      </c>
      <c r="AU12" s="10" t="n">
        <f aca="false">AU4*Streams!$E$8/Streams!$E$15</f>
        <v>1.5</v>
      </c>
      <c r="AV12" s="10" t="n">
        <f aca="false">AV4*Streams!$E$8/Streams!$E$15</f>
        <v>1.5</v>
      </c>
      <c r="AW12" s="10" t="n">
        <f aca="false">AW4*Streams!$E$8/Streams!$E$15</f>
        <v>1.5</v>
      </c>
      <c r="AX12" s="10" t="n">
        <f aca="false">AX4*Streams!$E$8/Streams!$E$15</f>
        <v>1.5</v>
      </c>
      <c r="AY12" s="10" t="n">
        <f aca="false">AY4*Streams!$E$8/Streams!$E$15</f>
        <v>1.5</v>
      </c>
      <c r="AZ12" s="10" t="n">
        <f aca="false">AZ4*Streams!$E$8/Streams!$E$15</f>
        <v>1.5</v>
      </c>
      <c r="BA12" s="10" t="n">
        <f aca="false">BA4*Streams!$E$8/Streams!$E$15</f>
        <v>1.5</v>
      </c>
      <c r="BB12" s="10" t="n">
        <f aca="false">BB4*Streams!$E$8/Streams!$E$15</f>
        <v>1.5</v>
      </c>
      <c r="BC12" s="10" t="n">
        <f aca="false">BC4*Streams!$E$8/Streams!$E$15</f>
        <v>1.5</v>
      </c>
      <c r="BD12" s="10" t="n">
        <f aca="false">BD4*Streams!$E$8/Streams!$E$15</f>
        <v>1.5</v>
      </c>
      <c r="BE12" s="10" t="n">
        <f aca="false">BE4*Streams!$E$8/Streams!$E$15</f>
        <v>1.5</v>
      </c>
      <c r="BF12" s="10" t="n">
        <f aca="false">BF4*Streams!$E$8/Streams!$E$15</f>
        <v>1.5</v>
      </c>
      <c r="BG12" s="10" t="n">
        <f aca="false">BG4*Streams!$E$8/Streams!$E$15</f>
        <v>1.5</v>
      </c>
      <c r="BH12" s="10" t="n">
        <f aca="false">BH4*Streams!$E$8/Streams!$E$15</f>
        <v>1.5</v>
      </c>
      <c r="BI12" s="10" t="n">
        <f aca="false">BI4*Streams!$E$8/Streams!$E$15</f>
        <v>1.5</v>
      </c>
      <c r="BJ12" s="10" t="n">
        <f aca="false">BJ4*Streams!$E$8/Streams!$E$15</f>
        <v>1.5</v>
      </c>
      <c r="BK12" s="10" t="n">
        <f aca="false">BK4*Streams!$E$8/Streams!$E$15</f>
        <v>1.5</v>
      </c>
      <c r="BL12" s="10" t="n">
        <f aca="false">BL4*Streams!$E$8/Streams!$E$15</f>
        <v>1.5</v>
      </c>
      <c r="BM12" s="10" t="n">
        <f aca="false">BM4*Streams!$E$8/Streams!$E$15</f>
        <v>1.5</v>
      </c>
      <c r="BN12" s="10" t="n">
        <f aca="false">BN4*Streams!$E$8/Streams!$E$15</f>
        <v>1.5</v>
      </c>
      <c r="BO12" s="10" t="n">
        <f aca="false">BO4*Streams!$E$8/Streams!$E$15</f>
        <v>1.5</v>
      </c>
      <c r="BP12" s="10" t="n">
        <f aca="false">BP4*Streams!$E$8/Streams!$E$15</f>
        <v>1.5</v>
      </c>
      <c r="BQ12" s="10" t="n">
        <f aca="false">BQ4*Streams!$E$8/Streams!$E$15</f>
        <v>1.5</v>
      </c>
      <c r="BR12" s="10" t="n">
        <f aca="false">BR4*Streams!$E$8/Streams!$E$15</f>
        <v>1.5</v>
      </c>
      <c r="BS12" s="10" t="n">
        <f aca="false">BS4*Streams!$E$8/Streams!$E$15</f>
        <v>1.5</v>
      </c>
      <c r="BT12" s="10" t="n">
        <f aca="false">BT4*Streams!$E$8/Streams!$E$15</f>
        <v>1.5</v>
      </c>
      <c r="BU12" s="10" t="n">
        <f aca="false">BU4*Streams!$E$8/Streams!$E$15</f>
        <v>1.5</v>
      </c>
      <c r="BV12" s="10" t="n">
        <f aca="false">BV4*Streams!$E$8/Streams!$E$15</f>
        <v>1.5</v>
      </c>
      <c r="BW12" s="10" t="n">
        <f aca="false">BW4*Streams!$E$8/Streams!$E$15</f>
        <v>1.5</v>
      </c>
      <c r="BX12" s="10" t="n">
        <f aca="false">BX4*Streams!$E$8/Streams!$E$15</f>
        <v>1.5</v>
      </c>
      <c r="BY12" s="10" t="n">
        <f aca="false">BY4*Streams!$E$8/Streams!$E$15</f>
        <v>1.5</v>
      </c>
      <c r="BZ12" s="10" t="n">
        <f aca="false">BZ4*Streams!$E$8/Streams!$E$15</f>
        <v>1.5</v>
      </c>
      <c r="CA12" s="10" t="n">
        <f aca="false">CA4*Streams!$E$8/Streams!$E$15</f>
        <v>1.5</v>
      </c>
      <c r="CB12" s="10" t="n">
        <f aca="false">CB4*Streams!$E$8/Streams!$E$15</f>
        <v>1.5</v>
      </c>
      <c r="CC12" s="10" t="n">
        <f aca="false">CC4*Streams!$E$8/Streams!$E$15</f>
        <v>1.5</v>
      </c>
      <c r="CD12" s="10" t="n">
        <f aca="false">CD4*Streams!$E$8/Streams!$E$15</f>
        <v>1.5</v>
      </c>
      <c r="CE12" s="10" t="n">
        <f aca="false">CE4*Streams!$E$8/Streams!$E$15</f>
        <v>1.5</v>
      </c>
      <c r="CF12" s="10" t="n">
        <f aca="false">CF4*Streams!$E$8/Streams!$E$15</f>
        <v>1.5</v>
      </c>
      <c r="CG12" s="10" t="n">
        <f aca="false">CG4*Streams!$E$8/Streams!$E$15</f>
        <v>1.5</v>
      </c>
      <c r="CH12" s="10" t="n">
        <f aca="false">CH4*Streams!$E$8/Streams!$E$15</f>
        <v>1.5</v>
      </c>
      <c r="CI12" s="10" t="n">
        <f aca="false">CI4*Streams!$E$8/Streams!$E$15</f>
        <v>1.5</v>
      </c>
      <c r="CJ12" s="10" t="n">
        <f aca="false">CJ4*Streams!$E$8/Streams!$E$15</f>
        <v>1.5</v>
      </c>
      <c r="CK12" s="10" t="n">
        <f aca="false">CK4*Streams!$E$8/Streams!$E$15</f>
        <v>1.5</v>
      </c>
      <c r="CL12" s="10" t="n">
        <f aca="false">CL4*Streams!$E$8/Streams!$E$15</f>
        <v>1.5</v>
      </c>
      <c r="CM12" s="10" t="n">
        <f aca="false">CM4*Streams!$E$8/Streams!$E$15</f>
        <v>1.5</v>
      </c>
      <c r="CN12" s="10" t="n">
        <f aca="false">CN4*Streams!$E$8/Streams!$E$15</f>
        <v>1.5</v>
      </c>
      <c r="CO12" s="10" t="n">
        <f aca="false">CO4*Streams!$E$8/Streams!$E$15</f>
        <v>1.5</v>
      </c>
      <c r="CP12" s="10" t="n">
        <f aca="false">CP4*Streams!$E$8/Streams!$E$15</f>
        <v>1.5</v>
      </c>
      <c r="CQ12" s="10" t="n">
        <f aca="false">CQ4*Streams!$E$8/Streams!$E$15</f>
        <v>1.5</v>
      </c>
      <c r="CR12" s="10" t="n">
        <f aca="false">CR4*Streams!$E$8/Streams!$E$15</f>
        <v>1.5</v>
      </c>
      <c r="CS12" s="10" t="n">
        <f aca="false">CS4*Streams!$E$8/Streams!$E$15</f>
        <v>1.5</v>
      </c>
      <c r="CT12" s="10" t="n">
        <f aca="false">CT4*Streams!$E$8/Streams!$E$15</f>
        <v>1.5</v>
      </c>
      <c r="CU12" s="10" t="n">
        <f aca="false">CU4*Streams!$E$8/Streams!$E$15</f>
        <v>1.5</v>
      </c>
      <c r="CV12" s="10" t="n">
        <f aca="false">CV4*Streams!$E$8/Streams!$E$15</f>
        <v>1.5</v>
      </c>
      <c r="CW12" s="10" t="n">
        <f aca="false">CW4*Streams!$E$8/Streams!$E$15</f>
        <v>1.5</v>
      </c>
      <c r="CX12" s="10" t="n">
        <f aca="false">CX4*Streams!$E$8/Streams!$E$15</f>
        <v>1.5</v>
      </c>
      <c r="CY12" s="10" t="n">
        <f aca="false">CY4*Streams!$E$8/Streams!$E$15</f>
        <v>1.5</v>
      </c>
      <c r="CZ12" s="10" t="n">
        <f aca="false">CZ4*Streams!$E$8/Streams!$E$15</f>
        <v>1.5</v>
      </c>
      <c r="DA12" s="10" t="n">
        <f aca="false">DA4*Streams!$E$8/Streams!$E$15</f>
        <v>1.5</v>
      </c>
      <c r="DB12" s="10" t="n">
        <f aca="false">DB4*Streams!$E$8/Streams!$E$15</f>
        <v>1.5</v>
      </c>
      <c r="DC12" s="10" t="n">
        <f aca="false">DC4*Streams!$E$8/Streams!$E$15</f>
        <v>1.5</v>
      </c>
      <c r="DD12" s="10" t="n">
        <f aca="false">DD4*Streams!$E$8/Streams!$E$15</f>
        <v>1.5</v>
      </c>
      <c r="DE12" s="10" t="n">
        <f aca="false">DE4*Streams!$E$8/Streams!$E$15</f>
        <v>1.5</v>
      </c>
      <c r="DF12" s="10" t="n">
        <f aca="false">DF4*Streams!$E$8/Streams!$E$15</f>
        <v>1.5</v>
      </c>
      <c r="DG12" s="10" t="n">
        <f aca="false">DG4*Streams!$E$8/Streams!$E$15</f>
        <v>1.5</v>
      </c>
      <c r="DH12" s="10" t="n">
        <f aca="false">DH4*Streams!$E$8/Streams!$E$15</f>
        <v>1.5</v>
      </c>
      <c r="DI12" s="10" t="n">
        <f aca="false">DI4*Streams!$E$8/Streams!$E$15</f>
        <v>1.5</v>
      </c>
      <c r="DJ12" s="10" t="n">
        <f aca="false">DJ4*Streams!$E$8/Streams!$E$15</f>
        <v>1.5</v>
      </c>
      <c r="DK12" s="10" t="n">
        <f aca="false">DK4*Streams!$E$8/Streams!$E$15</f>
        <v>1.5</v>
      </c>
      <c r="DL12" s="10" t="n">
        <f aca="false">DL4*Streams!$E$8/Streams!$E$15</f>
        <v>1.5</v>
      </c>
      <c r="DM12" s="10" t="n">
        <f aca="false">DM4*Streams!$E$8/Streams!$E$15</f>
        <v>1.5</v>
      </c>
      <c r="DN12" s="10" t="n">
        <f aca="false">DN4*Streams!$E$8/Streams!$E$15</f>
        <v>1.5</v>
      </c>
      <c r="DO12" s="10" t="n">
        <f aca="false">DO4*Streams!$E$8/Streams!$E$15</f>
        <v>1.5</v>
      </c>
      <c r="DP12" s="10" t="n">
        <f aca="false">DP4*Streams!$E$8/Streams!$E$15</f>
        <v>1.5</v>
      </c>
      <c r="DQ12" s="10" t="n">
        <f aca="false">DQ4*Streams!$E$8/Streams!$E$15</f>
        <v>1.5</v>
      </c>
      <c r="DR12" s="10" t="n">
        <f aca="false">DR4*Streams!$E$8/Streams!$E$15</f>
        <v>1.5</v>
      </c>
    </row>
    <row r="13" customFormat="false" ht="15" hidden="false" customHeight="false" outlineLevel="0" collapsed="false">
      <c r="A13" s="9" t="s">
        <v>182</v>
      </c>
      <c r="B13" s="10" t="n">
        <f aca="false">B4*Streams!$E$9/Streams!$E$15</f>
        <v>0</v>
      </c>
      <c r="C13" s="10" t="n">
        <f aca="false">C4*Streams!$E$9/Streams!$E$15</f>
        <v>0</v>
      </c>
      <c r="D13" s="10" t="n">
        <f aca="false">D4*Streams!$E$9/Streams!$E$15</f>
        <v>0</v>
      </c>
      <c r="E13" s="10" t="n">
        <f aca="false">E4*Streams!$E$9/Streams!$E$15</f>
        <v>0</v>
      </c>
      <c r="F13" s="10" t="n">
        <f aca="false">F4*Streams!$E$9/Streams!$E$15</f>
        <v>0</v>
      </c>
      <c r="G13" s="10" t="n">
        <f aca="false">G4*Streams!$E$9/Streams!$E$15</f>
        <v>0</v>
      </c>
      <c r="H13" s="10" t="n">
        <f aca="false">H4*Streams!$E$9/Streams!$E$15</f>
        <v>0</v>
      </c>
      <c r="I13" s="10" t="n">
        <f aca="false">I4*Streams!$E$9/Streams!$E$15</f>
        <v>0</v>
      </c>
      <c r="J13" s="10" t="n">
        <f aca="false">J4*Streams!$E$9/Streams!$E$15</f>
        <v>0</v>
      </c>
      <c r="K13" s="10" t="n">
        <f aca="false">K4*Streams!$E$9/Streams!$E$15</f>
        <v>0.385714285714286</v>
      </c>
      <c r="L13" s="10" t="n">
        <f aca="false">L4*Streams!$E$9/Streams!$E$15</f>
        <v>0.385714285714286</v>
      </c>
      <c r="M13" s="10" t="n">
        <f aca="false">M4*Streams!$E$9/Streams!$E$15</f>
        <v>0.385714285714286</v>
      </c>
      <c r="N13" s="10" t="n">
        <f aca="false">N4*Streams!$E$9/Streams!$E$15</f>
        <v>0.642857142857143</v>
      </c>
      <c r="O13" s="10" t="n">
        <f aca="false">O4*Streams!$E$9/Streams!$E$15</f>
        <v>0.642857142857143</v>
      </c>
      <c r="P13" s="10" t="n">
        <f aca="false">P4*Streams!$E$9/Streams!$E$15</f>
        <v>0.642857142857143</v>
      </c>
      <c r="Q13" s="10" t="n">
        <f aca="false">Q4*Streams!$E$9/Streams!$E$15</f>
        <v>0.9</v>
      </c>
      <c r="R13" s="10" t="n">
        <f aca="false">R4*Streams!$E$9/Streams!$E$15</f>
        <v>0.9</v>
      </c>
      <c r="S13" s="10" t="n">
        <f aca="false">S4*Streams!$E$9/Streams!$E$15</f>
        <v>0.9</v>
      </c>
      <c r="T13" s="10" t="n">
        <f aca="false">T4*Streams!$E$9/Streams!$E$15</f>
        <v>0.9</v>
      </c>
      <c r="U13" s="10" t="n">
        <f aca="false">U4*Streams!$E$9/Streams!$E$15</f>
        <v>0.9</v>
      </c>
      <c r="V13" s="10" t="n">
        <f aca="false">V4*Streams!$E$9/Streams!$E$15</f>
        <v>0.9</v>
      </c>
      <c r="W13" s="10" t="n">
        <f aca="false">W4*Streams!$E$9/Streams!$E$15</f>
        <v>0.9</v>
      </c>
      <c r="X13" s="10" t="n">
        <f aca="false">X4*Streams!$E$9/Streams!$E$15</f>
        <v>0.9</v>
      </c>
      <c r="Y13" s="10" t="n">
        <f aca="false">Y4*Streams!$E$9/Streams!$E$15</f>
        <v>0.9</v>
      </c>
      <c r="Z13" s="10" t="n">
        <f aca="false">Z4*Streams!$E$9/Streams!$E$15</f>
        <v>0.9</v>
      </c>
      <c r="AA13" s="10" t="n">
        <f aca="false">AA4*Streams!$E$9/Streams!$E$15</f>
        <v>0.9</v>
      </c>
      <c r="AB13" s="10" t="n">
        <f aca="false">AB4*Streams!$E$9/Streams!$E$15</f>
        <v>0.9</v>
      </c>
      <c r="AC13" s="10" t="n">
        <f aca="false">AC4*Streams!$E$9/Streams!$E$15</f>
        <v>0.9</v>
      </c>
      <c r="AD13" s="10" t="n">
        <f aca="false">AD4*Streams!$E$9/Streams!$E$15</f>
        <v>0.9</v>
      </c>
      <c r="AE13" s="10" t="n">
        <f aca="false">AE4*Streams!$E$9/Streams!$E$15</f>
        <v>0.9</v>
      </c>
      <c r="AF13" s="10" t="n">
        <f aca="false">AF4*Streams!$E$9/Streams!$E$15</f>
        <v>0.9</v>
      </c>
      <c r="AG13" s="10" t="n">
        <f aca="false">AG4*Streams!$E$9/Streams!$E$15</f>
        <v>0.9</v>
      </c>
      <c r="AH13" s="10" t="n">
        <f aca="false">AH4*Streams!$E$9/Streams!$E$15</f>
        <v>0.9</v>
      </c>
      <c r="AI13" s="10" t="n">
        <f aca="false">AI4*Streams!$E$9/Streams!$E$15</f>
        <v>0.9</v>
      </c>
      <c r="AJ13" s="10" t="n">
        <f aca="false">AJ4*Streams!$E$9/Streams!$E$15</f>
        <v>0.9</v>
      </c>
      <c r="AK13" s="10" t="n">
        <f aca="false">AK4*Streams!$E$9/Streams!$E$15</f>
        <v>0.9</v>
      </c>
      <c r="AL13" s="10" t="n">
        <f aca="false">AL4*Streams!$E$9/Streams!$E$15</f>
        <v>0.9</v>
      </c>
      <c r="AM13" s="10" t="n">
        <f aca="false">AM4*Streams!$E$9/Streams!$E$15</f>
        <v>0.9</v>
      </c>
      <c r="AN13" s="10" t="n">
        <f aca="false">AN4*Streams!$E$9/Streams!$E$15</f>
        <v>0.9</v>
      </c>
      <c r="AO13" s="10" t="n">
        <f aca="false">AO4*Streams!$E$9/Streams!$E$15</f>
        <v>0.9</v>
      </c>
      <c r="AP13" s="10" t="n">
        <f aca="false">AP4*Streams!$E$9/Streams!$E$15</f>
        <v>0.9</v>
      </c>
      <c r="AQ13" s="10" t="n">
        <f aca="false">AQ4*Streams!$E$9/Streams!$E$15</f>
        <v>0.9</v>
      </c>
      <c r="AR13" s="10" t="n">
        <f aca="false">AR4*Streams!$E$9/Streams!$E$15</f>
        <v>0.9</v>
      </c>
      <c r="AS13" s="10" t="n">
        <f aca="false">AS4*Streams!$E$9/Streams!$E$15</f>
        <v>0.9</v>
      </c>
      <c r="AT13" s="10" t="n">
        <f aca="false">AT4*Streams!$E$9/Streams!$E$15</f>
        <v>0.9</v>
      </c>
      <c r="AU13" s="10" t="n">
        <f aca="false">AU4*Streams!$E$9/Streams!$E$15</f>
        <v>0.9</v>
      </c>
      <c r="AV13" s="10" t="n">
        <f aca="false">AV4*Streams!$E$9/Streams!$E$15</f>
        <v>0.9</v>
      </c>
      <c r="AW13" s="10" t="n">
        <f aca="false">AW4*Streams!$E$9/Streams!$E$15</f>
        <v>0.9</v>
      </c>
      <c r="AX13" s="10" t="n">
        <f aca="false">AX4*Streams!$E$9/Streams!$E$15</f>
        <v>0.9</v>
      </c>
      <c r="AY13" s="10" t="n">
        <f aca="false">AY4*Streams!$E$9/Streams!$E$15</f>
        <v>0.9</v>
      </c>
      <c r="AZ13" s="10" t="n">
        <f aca="false">AZ4*Streams!$E$9/Streams!$E$15</f>
        <v>0.9</v>
      </c>
      <c r="BA13" s="10" t="n">
        <f aca="false">BA4*Streams!$E$9/Streams!$E$15</f>
        <v>0.9</v>
      </c>
      <c r="BB13" s="10" t="n">
        <f aca="false">BB4*Streams!$E$9/Streams!$E$15</f>
        <v>0.9</v>
      </c>
      <c r="BC13" s="10" t="n">
        <f aca="false">BC4*Streams!$E$9/Streams!$E$15</f>
        <v>0.9</v>
      </c>
      <c r="BD13" s="10" t="n">
        <f aca="false">BD4*Streams!$E$9/Streams!$E$15</f>
        <v>0.9</v>
      </c>
      <c r="BE13" s="10" t="n">
        <f aca="false">BE4*Streams!$E$9/Streams!$E$15</f>
        <v>0.9</v>
      </c>
      <c r="BF13" s="10" t="n">
        <f aca="false">BF4*Streams!$E$9/Streams!$E$15</f>
        <v>0.9</v>
      </c>
      <c r="BG13" s="10" t="n">
        <f aca="false">BG4*Streams!$E$9/Streams!$E$15</f>
        <v>0.9</v>
      </c>
      <c r="BH13" s="10" t="n">
        <f aca="false">BH4*Streams!$E$9/Streams!$E$15</f>
        <v>0.9</v>
      </c>
      <c r="BI13" s="10" t="n">
        <f aca="false">BI4*Streams!$E$9/Streams!$E$15</f>
        <v>0.9</v>
      </c>
      <c r="BJ13" s="10" t="n">
        <f aca="false">BJ4*Streams!$E$9/Streams!$E$15</f>
        <v>0.9</v>
      </c>
      <c r="BK13" s="10" t="n">
        <f aca="false">BK4*Streams!$E$9/Streams!$E$15</f>
        <v>0.9</v>
      </c>
      <c r="BL13" s="10" t="n">
        <f aca="false">BL4*Streams!$E$9/Streams!$E$15</f>
        <v>0.9</v>
      </c>
      <c r="BM13" s="10" t="n">
        <f aca="false">BM4*Streams!$E$9/Streams!$E$15</f>
        <v>0.9</v>
      </c>
      <c r="BN13" s="10" t="n">
        <f aca="false">BN4*Streams!$E$9/Streams!$E$15</f>
        <v>0.9</v>
      </c>
      <c r="BO13" s="10" t="n">
        <f aca="false">BO4*Streams!$E$9/Streams!$E$15</f>
        <v>0.9</v>
      </c>
      <c r="BP13" s="10" t="n">
        <f aca="false">BP4*Streams!$E$9/Streams!$E$15</f>
        <v>0.9</v>
      </c>
      <c r="BQ13" s="10" t="n">
        <f aca="false">BQ4*Streams!$E$9/Streams!$E$15</f>
        <v>0.9</v>
      </c>
      <c r="BR13" s="10" t="n">
        <f aca="false">BR4*Streams!$E$9/Streams!$E$15</f>
        <v>0.9</v>
      </c>
      <c r="BS13" s="10" t="n">
        <f aca="false">BS4*Streams!$E$9/Streams!$E$15</f>
        <v>0.9</v>
      </c>
      <c r="BT13" s="10" t="n">
        <f aca="false">BT4*Streams!$E$9/Streams!$E$15</f>
        <v>0.9</v>
      </c>
      <c r="BU13" s="10" t="n">
        <f aca="false">BU4*Streams!$E$9/Streams!$E$15</f>
        <v>0.9</v>
      </c>
      <c r="BV13" s="10" t="n">
        <f aca="false">BV4*Streams!$E$9/Streams!$E$15</f>
        <v>0.9</v>
      </c>
      <c r="BW13" s="10" t="n">
        <f aca="false">BW4*Streams!$E$9/Streams!$E$15</f>
        <v>0.9</v>
      </c>
      <c r="BX13" s="10" t="n">
        <f aca="false">BX4*Streams!$E$9/Streams!$E$15</f>
        <v>0.9</v>
      </c>
      <c r="BY13" s="10" t="n">
        <f aca="false">BY4*Streams!$E$9/Streams!$E$15</f>
        <v>0.9</v>
      </c>
      <c r="BZ13" s="10" t="n">
        <f aca="false">BZ4*Streams!$E$9/Streams!$E$15</f>
        <v>0.9</v>
      </c>
      <c r="CA13" s="10" t="n">
        <f aca="false">CA4*Streams!$E$9/Streams!$E$15</f>
        <v>0.9</v>
      </c>
      <c r="CB13" s="10" t="n">
        <f aca="false">CB4*Streams!$E$9/Streams!$E$15</f>
        <v>0.9</v>
      </c>
      <c r="CC13" s="10" t="n">
        <f aca="false">CC4*Streams!$E$9/Streams!$E$15</f>
        <v>0.9</v>
      </c>
      <c r="CD13" s="10" t="n">
        <f aca="false">CD4*Streams!$E$9/Streams!$E$15</f>
        <v>0.9</v>
      </c>
      <c r="CE13" s="10" t="n">
        <f aca="false">CE4*Streams!$E$9/Streams!$E$15</f>
        <v>0.9</v>
      </c>
      <c r="CF13" s="10" t="n">
        <f aca="false">CF4*Streams!$E$9/Streams!$E$15</f>
        <v>0.9</v>
      </c>
      <c r="CG13" s="10" t="n">
        <f aca="false">CG4*Streams!$E$9/Streams!$E$15</f>
        <v>0.9</v>
      </c>
      <c r="CH13" s="10" t="n">
        <f aca="false">CH4*Streams!$E$9/Streams!$E$15</f>
        <v>0.9</v>
      </c>
      <c r="CI13" s="10" t="n">
        <f aca="false">CI4*Streams!$E$9/Streams!$E$15</f>
        <v>0.9</v>
      </c>
      <c r="CJ13" s="10" t="n">
        <f aca="false">CJ4*Streams!$E$9/Streams!$E$15</f>
        <v>0.9</v>
      </c>
      <c r="CK13" s="10" t="n">
        <f aca="false">CK4*Streams!$E$9/Streams!$E$15</f>
        <v>0.9</v>
      </c>
      <c r="CL13" s="10" t="n">
        <f aca="false">CL4*Streams!$E$9/Streams!$E$15</f>
        <v>0.9</v>
      </c>
      <c r="CM13" s="10" t="n">
        <f aca="false">CM4*Streams!$E$9/Streams!$E$15</f>
        <v>0.9</v>
      </c>
      <c r="CN13" s="10" t="n">
        <f aca="false">CN4*Streams!$E$9/Streams!$E$15</f>
        <v>0.9</v>
      </c>
      <c r="CO13" s="10" t="n">
        <f aca="false">CO4*Streams!$E$9/Streams!$E$15</f>
        <v>0.9</v>
      </c>
      <c r="CP13" s="10" t="n">
        <f aca="false">CP4*Streams!$E$9/Streams!$E$15</f>
        <v>0.9</v>
      </c>
      <c r="CQ13" s="10" t="n">
        <f aca="false">CQ4*Streams!$E$9/Streams!$E$15</f>
        <v>0.9</v>
      </c>
      <c r="CR13" s="10" t="n">
        <f aca="false">CR4*Streams!$E$9/Streams!$E$15</f>
        <v>0.9</v>
      </c>
      <c r="CS13" s="10" t="n">
        <f aca="false">CS4*Streams!$E$9/Streams!$E$15</f>
        <v>0.9</v>
      </c>
      <c r="CT13" s="10" t="n">
        <f aca="false">CT4*Streams!$E$9/Streams!$E$15</f>
        <v>0.9</v>
      </c>
      <c r="CU13" s="10" t="n">
        <f aca="false">CU4*Streams!$E$9/Streams!$E$15</f>
        <v>0.9</v>
      </c>
      <c r="CV13" s="10" t="n">
        <f aca="false">CV4*Streams!$E$9/Streams!$E$15</f>
        <v>0.9</v>
      </c>
      <c r="CW13" s="10" t="n">
        <f aca="false">CW4*Streams!$E$9/Streams!$E$15</f>
        <v>0.9</v>
      </c>
      <c r="CX13" s="10" t="n">
        <f aca="false">CX4*Streams!$E$9/Streams!$E$15</f>
        <v>0.9</v>
      </c>
      <c r="CY13" s="10" t="n">
        <f aca="false">CY4*Streams!$E$9/Streams!$E$15</f>
        <v>0.9</v>
      </c>
      <c r="CZ13" s="10" t="n">
        <f aca="false">CZ4*Streams!$E$9/Streams!$E$15</f>
        <v>0.9</v>
      </c>
      <c r="DA13" s="10" t="n">
        <f aca="false">DA4*Streams!$E$9/Streams!$E$15</f>
        <v>0.9</v>
      </c>
      <c r="DB13" s="10" t="n">
        <f aca="false">DB4*Streams!$E$9/Streams!$E$15</f>
        <v>0.9</v>
      </c>
      <c r="DC13" s="10" t="n">
        <f aca="false">DC4*Streams!$E$9/Streams!$E$15</f>
        <v>0.9</v>
      </c>
      <c r="DD13" s="10" t="n">
        <f aca="false">DD4*Streams!$E$9/Streams!$E$15</f>
        <v>0.9</v>
      </c>
      <c r="DE13" s="10" t="n">
        <f aca="false">DE4*Streams!$E$9/Streams!$E$15</f>
        <v>0.9</v>
      </c>
      <c r="DF13" s="10" t="n">
        <f aca="false">DF4*Streams!$E$9/Streams!$E$15</f>
        <v>0.9</v>
      </c>
      <c r="DG13" s="10" t="n">
        <f aca="false">DG4*Streams!$E$9/Streams!$E$15</f>
        <v>0.9</v>
      </c>
      <c r="DH13" s="10" t="n">
        <f aca="false">DH4*Streams!$E$9/Streams!$E$15</f>
        <v>0.9</v>
      </c>
      <c r="DI13" s="10" t="n">
        <f aca="false">DI4*Streams!$E$9/Streams!$E$15</f>
        <v>0.9</v>
      </c>
      <c r="DJ13" s="10" t="n">
        <f aca="false">DJ4*Streams!$E$9/Streams!$E$15</f>
        <v>0.9</v>
      </c>
      <c r="DK13" s="10" t="n">
        <f aca="false">DK4*Streams!$E$9/Streams!$E$15</f>
        <v>0.9</v>
      </c>
      <c r="DL13" s="10" t="n">
        <f aca="false">DL4*Streams!$E$9/Streams!$E$15</f>
        <v>0.9</v>
      </c>
      <c r="DM13" s="10" t="n">
        <f aca="false">DM4*Streams!$E$9/Streams!$E$15</f>
        <v>0.9</v>
      </c>
      <c r="DN13" s="10" t="n">
        <f aca="false">DN4*Streams!$E$9/Streams!$E$15</f>
        <v>0.9</v>
      </c>
      <c r="DO13" s="10" t="n">
        <f aca="false">DO4*Streams!$E$9/Streams!$E$15</f>
        <v>0.9</v>
      </c>
      <c r="DP13" s="10" t="n">
        <f aca="false">DP4*Streams!$E$9/Streams!$E$15</f>
        <v>0.9</v>
      </c>
      <c r="DQ13" s="10" t="n">
        <f aca="false">DQ4*Streams!$E$9/Streams!$E$15</f>
        <v>0.9</v>
      </c>
      <c r="DR13" s="10" t="n">
        <f aca="false">DR4*Streams!$E$9/Streams!$E$15</f>
        <v>0.9</v>
      </c>
    </row>
    <row r="14" customFormat="false" ht="15" hidden="false" customHeight="false" outlineLevel="0" collapsed="false">
      <c r="A14" s="9" t="s">
        <v>183</v>
      </c>
      <c r="B14" s="10" t="n">
        <f aca="false">B4*Streams!$E$10/Streams!$E$15</f>
        <v>0</v>
      </c>
      <c r="C14" s="10" t="n">
        <f aca="false">C4*Streams!$E$10/Streams!$E$15</f>
        <v>0</v>
      </c>
      <c r="D14" s="10" t="n">
        <f aca="false">D4*Streams!$E$10/Streams!$E$15</f>
        <v>0</v>
      </c>
      <c r="E14" s="10" t="n">
        <f aca="false">E4*Streams!$E$10/Streams!$E$15</f>
        <v>0</v>
      </c>
      <c r="F14" s="10" t="n">
        <f aca="false">F4*Streams!$E$10/Streams!$E$15</f>
        <v>0</v>
      </c>
      <c r="G14" s="10" t="n">
        <f aca="false">G4*Streams!$E$10/Streams!$E$15</f>
        <v>0</v>
      </c>
      <c r="H14" s="10" t="n">
        <f aca="false">H4*Streams!$E$10/Streams!$E$15</f>
        <v>0</v>
      </c>
      <c r="I14" s="10" t="n">
        <f aca="false">I4*Streams!$E$10/Streams!$E$15</f>
        <v>0</v>
      </c>
      <c r="J14" s="10" t="n">
        <f aca="false">J4*Streams!$E$10/Streams!$E$15</f>
        <v>0</v>
      </c>
      <c r="K14" s="10" t="n">
        <f aca="false">K4*Streams!$E$10/Streams!$E$15</f>
        <v>0.771428571428572</v>
      </c>
      <c r="L14" s="10" t="n">
        <f aca="false">L4*Streams!$E$10/Streams!$E$15</f>
        <v>0.771428571428572</v>
      </c>
      <c r="M14" s="10" t="n">
        <f aca="false">M4*Streams!$E$10/Streams!$E$15</f>
        <v>0.771428571428572</v>
      </c>
      <c r="N14" s="10" t="n">
        <f aca="false">N4*Streams!$E$10/Streams!$E$15</f>
        <v>1.28571428571429</v>
      </c>
      <c r="O14" s="10" t="n">
        <f aca="false">O4*Streams!$E$10/Streams!$E$15</f>
        <v>1.28571428571429</v>
      </c>
      <c r="P14" s="10" t="n">
        <f aca="false">P4*Streams!$E$10/Streams!$E$15</f>
        <v>1.28571428571429</v>
      </c>
      <c r="Q14" s="10" t="n">
        <f aca="false">Q4*Streams!$E$10/Streams!$E$15</f>
        <v>1.8</v>
      </c>
      <c r="R14" s="10" t="n">
        <f aca="false">R4*Streams!$E$10/Streams!$E$15</f>
        <v>1.8</v>
      </c>
      <c r="S14" s="10" t="n">
        <f aca="false">S4*Streams!$E$10/Streams!$E$15</f>
        <v>1.8</v>
      </c>
      <c r="T14" s="10" t="n">
        <f aca="false">T4*Streams!$E$10/Streams!$E$15</f>
        <v>1.8</v>
      </c>
      <c r="U14" s="10" t="n">
        <f aca="false">U4*Streams!$E$10/Streams!$E$15</f>
        <v>1.8</v>
      </c>
      <c r="V14" s="10" t="n">
        <f aca="false">V4*Streams!$E$10/Streams!$E$15</f>
        <v>1.8</v>
      </c>
      <c r="W14" s="10" t="n">
        <f aca="false">W4*Streams!$E$10/Streams!$E$15</f>
        <v>1.8</v>
      </c>
      <c r="X14" s="10" t="n">
        <f aca="false">X4*Streams!$E$10/Streams!$E$15</f>
        <v>1.8</v>
      </c>
      <c r="Y14" s="10" t="n">
        <f aca="false">Y4*Streams!$E$10/Streams!$E$15</f>
        <v>1.8</v>
      </c>
      <c r="Z14" s="10" t="n">
        <f aca="false">Z4*Streams!$E$10/Streams!$E$15</f>
        <v>1.8</v>
      </c>
      <c r="AA14" s="10" t="n">
        <f aca="false">AA4*Streams!$E$10/Streams!$E$15</f>
        <v>1.8</v>
      </c>
      <c r="AB14" s="10" t="n">
        <f aca="false">AB4*Streams!$E$10/Streams!$E$15</f>
        <v>1.8</v>
      </c>
      <c r="AC14" s="10" t="n">
        <f aca="false">AC4*Streams!$E$10/Streams!$E$15</f>
        <v>1.8</v>
      </c>
      <c r="AD14" s="10" t="n">
        <f aca="false">AD4*Streams!$E$10/Streams!$E$15</f>
        <v>1.8</v>
      </c>
      <c r="AE14" s="10" t="n">
        <f aca="false">AE4*Streams!$E$10/Streams!$E$15</f>
        <v>1.8</v>
      </c>
      <c r="AF14" s="10" t="n">
        <f aca="false">AF4*Streams!$E$10/Streams!$E$15</f>
        <v>1.8</v>
      </c>
      <c r="AG14" s="10" t="n">
        <f aca="false">AG4*Streams!$E$10/Streams!$E$15</f>
        <v>1.8</v>
      </c>
      <c r="AH14" s="10" t="n">
        <f aca="false">AH4*Streams!$E$10/Streams!$E$15</f>
        <v>1.8</v>
      </c>
      <c r="AI14" s="10" t="n">
        <f aca="false">AI4*Streams!$E$10/Streams!$E$15</f>
        <v>1.8</v>
      </c>
      <c r="AJ14" s="10" t="n">
        <f aca="false">AJ4*Streams!$E$10/Streams!$E$15</f>
        <v>1.8</v>
      </c>
      <c r="AK14" s="10" t="n">
        <f aca="false">AK4*Streams!$E$10/Streams!$E$15</f>
        <v>1.8</v>
      </c>
      <c r="AL14" s="10" t="n">
        <f aca="false">AL4*Streams!$E$10/Streams!$E$15</f>
        <v>1.8</v>
      </c>
      <c r="AM14" s="10" t="n">
        <f aca="false">AM4*Streams!$E$10/Streams!$E$15</f>
        <v>1.8</v>
      </c>
      <c r="AN14" s="10" t="n">
        <f aca="false">AN4*Streams!$E$10/Streams!$E$15</f>
        <v>1.8</v>
      </c>
      <c r="AO14" s="10" t="n">
        <f aca="false">AO4*Streams!$E$10/Streams!$E$15</f>
        <v>1.8</v>
      </c>
      <c r="AP14" s="10" t="n">
        <f aca="false">AP4*Streams!$E$10/Streams!$E$15</f>
        <v>1.8</v>
      </c>
      <c r="AQ14" s="10" t="n">
        <f aca="false">AQ4*Streams!$E$10/Streams!$E$15</f>
        <v>1.8</v>
      </c>
      <c r="AR14" s="10" t="n">
        <f aca="false">AR4*Streams!$E$10/Streams!$E$15</f>
        <v>1.8</v>
      </c>
      <c r="AS14" s="10" t="n">
        <f aca="false">AS4*Streams!$E$10/Streams!$E$15</f>
        <v>1.8</v>
      </c>
      <c r="AT14" s="10" t="n">
        <f aca="false">AT4*Streams!$E$10/Streams!$E$15</f>
        <v>1.8</v>
      </c>
      <c r="AU14" s="10" t="n">
        <f aca="false">AU4*Streams!$E$10/Streams!$E$15</f>
        <v>1.8</v>
      </c>
      <c r="AV14" s="10" t="n">
        <f aca="false">AV4*Streams!$E$10/Streams!$E$15</f>
        <v>1.8</v>
      </c>
      <c r="AW14" s="10" t="n">
        <f aca="false">AW4*Streams!$E$10/Streams!$E$15</f>
        <v>1.8</v>
      </c>
      <c r="AX14" s="10" t="n">
        <f aca="false">AX4*Streams!$E$10/Streams!$E$15</f>
        <v>1.8</v>
      </c>
      <c r="AY14" s="10" t="n">
        <f aca="false">AY4*Streams!$E$10/Streams!$E$15</f>
        <v>1.8</v>
      </c>
      <c r="AZ14" s="10" t="n">
        <f aca="false">AZ4*Streams!$E$10/Streams!$E$15</f>
        <v>1.8</v>
      </c>
      <c r="BA14" s="10" t="n">
        <f aca="false">BA4*Streams!$E$10/Streams!$E$15</f>
        <v>1.8</v>
      </c>
      <c r="BB14" s="10" t="n">
        <f aca="false">BB4*Streams!$E$10/Streams!$E$15</f>
        <v>1.8</v>
      </c>
      <c r="BC14" s="10" t="n">
        <f aca="false">BC4*Streams!$E$10/Streams!$E$15</f>
        <v>1.8</v>
      </c>
      <c r="BD14" s="10" t="n">
        <f aca="false">BD4*Streams!$E$10/Streams!$E$15</f>
        <v>1.8</v>
      </c>
      <c r="BE14" s="10" t="n">
        <f aca="false">BE4*Streams!$E$10/Streams!$E$15</f>
        <v>1.8</v>
      </c>
      <c r="BF14" s="10" t="n">
        <f aca="false">BF4*Streams!$E$10/Streams!$E$15</f>
        <v>1.8</v>
      </c>
      <c r="BG14" s="10" t="n">
        <f aca="false">BG4*Streams!$E$10/Streams!$E$15</f>
        <v>1.8</v>
      </c>
      <c r="BH14" s="10" t="n">
        <f aca="false">BH4*Streams!$E$10/Streams!$E$15</f>
        <v>1.8</v>
      </c>
      <c r="BI14" s="10" t="n">
        <f aca="false">BI4*Streams!$E$10/Streams!$E$15</f>
        <v>1.8</v>
      </c>
      <c r="BJ14" s="10" t="n">
        <f aca="false">BJ4*Streams!$E$10/Streams!$E$15</f>
        <v>1.8</v>
      </c>
      <c r="BK14" s="10" t="n">
        <f aca="false">BK4*Streams!$E$10/Streams!$E$15</f>
        <v>1.8</v>
      </c>
      <c r="BL14" s="10" t="n">
        <f aca="false">BL4*Streams!$E$10/Streams!$E$15</f>
        <v>1.8</v>
      </c>
      <c r="BM14" s="10" t="n">
        <f aca="false">BM4*Streams!$E$10/Streams!$E$15</f>
        <v>1.8</v>
      </c>
      <c r="BN14" s="10" t="n">
        <f aca="false">BN4*Streams!$E$10/Streams!$E$15</f>
        <v>1.8</v>
      </c>
      <c r="BO14" s="10" t="n">
        <f aca="false">BO4*Streams!$E$10/Streams!$E$15</f>
        <v>1.8</v>
      </c>
      <c r="BP14" s="10" t="n">
        <f aca="false">BP4*Streams!$E$10/Streams!$E$15</f>
        <v>1.8</v>
      </c>
      <c r="BQ14" s="10" t="n">
        <f aca="false">BQ4*Streams!$E$10/Streams!$E$15</f>
        <v>1.8</v>
      </c>
      <c r="BR14" s="10" t="n">
        <f aca="false">BR4*Streams!$E$10/Streams!$E$15</f>
        <v>1.8</v>
      </c>
      <c r="BS14" s="10" t="n">
        <f aca="false">BS4*Streams!$E$10/Streams!$E$15</f>
        <v>1.8</v>
      </c>
      <c r="BT14" s="10" t="n">
        <f aca="false">BT4*Streams!$E$10/Streams!$E$15</f>
        <v>1.8</v>
      </c>
      <c r="BU14" s="10" t="n">
        <f aca="false">BU4*Streams!$E$10/Streams!$E$15</f>
        <v>1.8</v>
      </c>
      <c r="BV14" s="10" t="n">
        <f aca="false">BV4*Streams!$E$10/Streams!$E$15</f>
        <v>1.8</v>
      </c>
      <c r="BW14" s="10" t="n">
        <f aca="false">BW4*Streams!$E$10/Streams!$E$15</f>
        <v>1.8</v>
      </c>
      <c r="BX14" s="10" t="n">
        <f aca="false">BX4*Streams!$E$10/Streams!$E$15</f>
        <v>1.8</v>
      </c>
      <c r="BY14" s="10" t="n">
        <f aca="false">BY4*Streams!$E$10/Streams!$E$15</f>
        <v>1.8</v>
      </c>
      <c r="BZ14" s="10" t="n">
        <f aca="false">BZ4*Streams!$E$10/Streams!$E$15</f>
        <v>1.8</v>
      </c>
      <c r="CA14" s="10" t="n">
        <f aca="false">CA4*Streams!$E$10/Streams!$E$15</f>
        <v>1.8</v>
      </c>
      <c r="CB14" s="10" t="n">
        <f aca="false">CB4*Streams!$E$10/Streams!$E$15</f>
        <v>1.8</v>
      </c>
      <c r="CC14" s="10" t="n">
        <f aca="false">CC4*Streams!$E$10/Streams!$E$15</f>
        <v>1.8</v>
      </c>
      <c r="CD14" s="10" t="n">
        <f aca="false">CD4*Streams!$E$10/Streams!$E$15</f>
        <v>1.8</v>
      </c>
      <c r="CE14" s="10" t="n">
        <f aca="false">CE4*Streams!$E$10/Streams!$E$15</f>
        <v>1.8</v>
      </c>
      <c r="CF14" s="10" t="n">
        <f aca="false">CF4*Streams!$E$10/Streams!$E$15</f>
        <v>1.8</v>
      </c>
      <c r="CG14" s="10" t="n">
        <f aca="false">CG4*Streams!$E$10/Streams!$E$15</f>
        <v>1.8</v>
      </c>
      <c r="CH14" s="10" t="n">
        <f aca="false">CH4*Streams!$E$10/Streams!$E$15</f>
        <v>1.8</v>
      </c>
      <c r="CI14" s="10" t="n">
        <f aca="false">CI4*Streams!$E$10/Streams!$E$15</f>
        <v>1.8</v>
      </c>
      <c r="CJ14" s="10" t="n">
        <f aca="false">CJ4*Streams!$E$10/Streams!$E$15</f>
        <v>1.8</v>
      </c>
      <c r="CK14" s="10" t="n">
        <f aca="false">CK4*Streams!$E$10/Streams!$E$15</f>
        <v>1.8</v>
      </c>
      <c r="CL14" s="10" t="n">
        <f aca="false">CL4*Streams!$E$10/Streams!$E$15</f>
        <v>1.8</v>
      </c>
      <c r="CM14" s="10" t="n">
        <f aca="false">CM4*Streams!$E$10/Streams!$E$15</f>
        <v>1.8</v>
      </c>
      <c r="CN14" s="10" t="n">
        <f aca="false">CN4*Streams!$E$10/Streams!$E$15</f>
        <v>1.8</v>
      </c>
      <c r="CO14" s="10" t="n">
        <f aca="false">CO4*Streams!$E$10/Streams!$E$15</f>
        <v>1.8</v>
      </c>
      <c r="CP14" s="10" t="n">
        <f aca="false">CP4*Streams!$E$10/Streams!$E$15</f>
        <v>1.8</v>
      </c>
      <c r="CQ14" s="10" t="n">
        <f aca="false">CQ4*Streams!$E$10/Streams!$E$15</f>
        <v>1.8</v>
      </c>
      <c r="CR14" s="10" t="n">
        <f aca="false">CR4*Streams!$E$10/Streams!$E$15</f>
        <v>1.8</v>
      </c>
      <c r="CS14" s="10" t="n">
        <f aca="false">CS4*Streams!$E$10/Streams!$E$15</f>
        <v>1.8</v>
      </c>
      <c r="CT14" s="10" t="n">
        <f aca="false">CT4*Streams!$E$10/Streams!$E$15</f>
        <v>1.8</v>
      </c>
      <c r="CU14" s="10" t="n">
        <f aca="false">CU4*Streams!$E$10/Streams!$E$15</f>
        <v>1.8</v>
      </c>
      <c r="CV14" s="10" t="n">
        <f aca="false">CV4*Streams!$E$10/Streams!$E$15</f>
        <v>1.8</v>
      </c>
      <c r="CW14" s="10" t="n">
        <f aca="false">CW4*Streams!$E$10/Streams!$E$15</f>
        <v>1.8</v>
      </c>
      <c r="CX14" s="10" t="n">
        <f aca="false">CX4*Streams!$E$10/Streams!$E$15</f>
        <v>1.8</v>
      </c>
      <c r="CY14" s="10" t="n">
        <f aca="false">CY4*Streams!$E$10/Streams!$E$15</f>
        <v>1.8</v>
      </c>
      <c r="CZ14" s="10" t="n">
        <f aca="false">CZ4*Streams!$E$10/Streams!$E$15</f>
        <v>1.8</v>
      </c>
      <c r="DA14" s="10" t="n">
        <f aca="false">DA4*Streams!$E$10/Streams!$E$15</f>
        <v>1.8</v>
      </c>
      <c r="DB14" s="10" t="n">
        <f aca="false">DB4*Streams!$E$10/Streams!$E$15</f>
        <v>1.8</v>
      </c>
      <c r="DC14" s="10" t="n">
        <f aca="false">DC4*Streams!$E$10/Streams!$E$15</f>
        <v>1.8</v>
      </c>
      <c r="DD14" s="10" t="n">
        <f aca="false">DD4*Streams!$E$10/Streams!$E$15</f>
        <v>1.8</v>
      </c>
      <c r="DE14" s="10" t="n">
        <f aca="false">DE4*Streams!$E$10/Streams!$E$15</f>
        <v>1.8</v>
      </c>
      <c r="DF14" s="10" t="n">
        <f aca="false">DF4*Streams!$E$10/Streams!$E$15</f>
        <v>1.8</v>
      </c>
      <c r="DG14" s="10" t="n">
        <f aca="false">DG4*Streams!$E$10/Streams!$E$15</f>
        <v>1.8</v>
      </c>
      <c r="DH14" s="10" t="n">
        <f aca="false">DH4*Streams!$E$10/Streams!$E$15</f>
        <v>1.8</v>
      </c>
      <c r="DI14" s="10" t="n">
        <f aca="false">DI4*Streams!$E$10/Streams!$E$15</f>
        <v>1.8</v>
      </c>
      <c r="DJ14" s="10" t="n">
        <f aca="false">DJ4*Streams!$E$10/Streams!$E$15</f>
        <v>1.8</v>
      </c>
      <c r="DK14" s="10" t="n">
        <f aca="false">DK4*Streams!$E$10/Streams!$E$15</f>
        <v>1.8</v>
      </c>
      <c r="DL14" s="10" t="n">
        <f aca="false">DL4*Streams!$E$10/Streams!$E$15</f>
        <v>1.8</v>
      </c>
      <c r="DM14" s="10" t="n">
        <f aca="false">DM4*Streams!$E$10/Streams!$E$15</f>
        <v>1.8</v>
      </c>
      <c r="DN14" s="10" t="n">
        <f aca="false">DN4*Streams!$E$10/Streams!$E$15</f>
        <v>1.8</v>
      </c>
      <c r="DO14" s="10" t="n">
        <f aca="false">DO4*Streams!$E$10/Streams!$E$15</f>
        <v>1.8</v>
      </c>
      <c r="DP14" s="10" t="n">
        <f aca="false">DP4*Streams!$E$10/Streams!$E$15</f>
        <v>1.8</v>
      </c>
      <c r="DQ14" s="10" t="n">
        <f aca="false">DQ4*Streams!$E$10/Streams!$E$15</f>
        <v>1.8</v>
      </c>
      <c r="DR14" s="10" t="n">
        <f aca="false">DR4*Streams!$E$10/Streams!$E$15</f>
        <v>1.8</v>
      </c>
    </row>
    <row r="15" customFormat="false" ht="15" hidden="false" customHeight="false" outlineLevel="0" collapsed="false">
      <c r="A15" s="9" t="s">
        <v>184</v>
      </c>
      <c r="B15" s="10" t="n">
        <f aca="false">B4*Streams!$E$11/Streams!$E$15</f>
        <v>0</v>
      </c>
      <c r="C15" s="10" t="n">
        <f aca="false">C4*Streams!$E$11/Streams!$E$15</f>
        <v>0</v>
      </c>
      <c r="D15" s="10" t="n">
        <f aca="false">D4*Streams!$E$11/Streams!$E$15</f>
        <v>0</v>
      </c>
      <c r="E15" s="10" t="n">
        <f aca="false">E4*Streams!$E$11/Streams!$E$15</f>
        <v>0</v>
      </c>
      <c r="F15" s="10" t="n">
        <f aca="false">F4*Streams!$E$11/Streams!$E$15</f>
        <v>0</v>
      </c>
      <c r="G15" s="10" t="n">
        <f aca="false">G4*Streams!$E$11/Streams!$E$15</f>
        <v>0</v>
      </c>
      <c r="H15" s="10" t="n">
        <f aca="false">H4*Streams!$E$11/Streams!$E$15</f>
        <v>0</v>
      </c>
      <c r="I15" s="10" t="n">
        <f aca="false">I4*Streams!$E$11/Streams!$E$15</f>
        <v>0</v>
      </c>
      <c r="J15" s="10" t="n">
        <f aca="false">J4*Streams!$E$11/Streams!$E$15</f>
        <v>0</v>
      </c>
      <c r="K15" s="10" t="n">
        <f aca="false">K4*Streams!$E$11/Streams!$E$15</f>
        <v>0.257142857142857</v>
      </c>
      <c r="L15" s="10" t="n">
        <f aca="false">L4*Streams!$E$11/Streams!$E$15</f>
        <v>0.257142857142857</v>
      </c>
      <c r="M15" s="10" t="n">
        <f aca="false">M4*Streams!$E$11/Streams!$E$15</f>
        <v>0.257142857142857</v>
      </c>
      <c r="N15" s="10" t="n">
        <f aca="false">N4*Streams!$E$11/Streams!$E$15</f>
        <v>0.428571428571429</v>
      </c>
      <c r="O15" s="10" t="n">
        <f aca="false">O4*Streams!$E$11/Streams!$E$15</f>
        <v>0.428571428571429</v>
      </c>
      <c r="P15" s="10" t="n">
        <f aca="false">P4*Streams!$E$11/Streams!$E$15</f>
        <v>0.428571428571429</v>
      </c>
      <c r="Q15" s="10" t="n">
        <f aca="false">Q4*Streams!$E$11/Streams!$E$15</f>
        <v>0.6</v>
      </c>
      <c r="R15" s="10" t="n">
        <f aca="false">R4*Streams!$E$11/Streams!$E$15</f>
        <v>0.6</v>
      </c>
      <c r="S15" s="10" t="n">
        <f aca="false">S4*Streams!$E$11/Streams!$E$15</f>
        <v>0.6</v>
      </c>
      <c r="T15" s="10" t="n">
        <f aca="false">T4*Streams!$E$11/Streams!$E$15</f>
        <v>0.6</v>
      </c>
      <c r="U15" s="10" t="n">
        <f aca="false">U4*Streams!$E$11/Streams!$E$15</f>
        <v>0.6</v>
      </c>
      <c r="V15" s="10" t="n">
        <f aca="false">V4*Streams!$E$11/Streams!$E$15</f>
        <v>0.6</v>
      </c>
      <c r="W15" s="10" t="n">
        <f aca="false">W4*Streams!$E$11/Streams!$E$15</f>
        <v>0.6</v>
      </c>
      <c r="X15" s="10" t="n">
        <f aca="false">X4*Streams!$E$11/Streams!$E$15</f>
        <v>0.6</v>
      </c>
      <c r="Y15" s="10" t="n">
        <f aca="false">Y4*Streams!$E$11/Streams!$E$15</f>
        <v>0.6</v>
      </c>
      <c r="Z15" s="10" t="n">
        <f aca="false">Z4*Streams!$E$11/Streams!$E$15</f>
        <v>0.6</v>
      </c>
      <c r="AA15" s="10" t="n">
        <f aca="false">AA4*Streams!$E$11/Streams!$E$15</f>
        <v>0.6</v>
      </c>
      <c r="AB15" s="10" t="n">
        <f aca="false">AB4*Streams!$E$11/Streams!$E$15</f>
        <v>0.6</v>
      </c>
      <c r="AC15" s="10" t="n">
        <f aca="false">AC4*Streams!$E$11/Streams!$E$15</f>
        <v>0.6</v>
      </c>
      <c r="AD15" s="10" t="n">
        <f aca="false">AD4*Streams!$E$11/Streams!$E$15</f>
        <v>0.6</v>
      </c>
      <c r="AE15" s="10" t="n">
        <f aca="false">AE4*Streams!$E$11/Streams!$E$15</f>
        <v>0.6</v>
      </c>
      <c r="AF15" s="10" t="n">
        <f aca="false">AF4*Streams!$E$11/Streams!$E$15</f>
        <v>0.6</v>
      </c>
      <c r="AG15" s="10" t="n">
        <f aca="false">AG4*Streams!$E$11/Streams!$E$15</f>
        <v>0.6</v>
      </c>
      <c r="AH15" s="10" t="n">
        <f aca="false">AH4*Streams!$E$11/Streams!$E$15</f>
        <v>0.6</v>
      </c>
      <c r="AI15" s="10" t="n">
        <f aca="false">AI4*Streams!$E$11/Streams!$E$15</f>
        <v>0.6</v>
      </c>
      <c r="AJ15" s="10" t="n">
        <f aca="false">AJ4*Streams!$E$11/Streams!$E$15</f>
        <v>0.6</v>
      </c>
      <c r="AK15" s="10" t="n">
        <f aca="false">AK4*Streams!$E$11/Streams!$E$15</f>
        <v>0.6</v>
      </c>
      <c r="AL15" s="10" t="n">
        <f aca="false">AL4*Streams!$E$11/Streams!$E$15</f>
        <v>0.6</v>
      </c>
      <c r="AM15" s="10" t="n">
        <f aca="false">AM4*Streams!$E$11/Streams!$E$15</f>
        <v>0.6</v>
      </c>
      <c r="AN15" s="10" t="n">
        <f aca="false">AN4*Streams!$E$11/Streams!$E$15</f>
        <v>0.6</v>
      </c>
      <c r="AO15" s="10" t="n">
        <f aca="false">AO4*Streams!$E$11/Streams!$E$15</f>
        <v>0.6</v>
      </c>
      <c r="AP15" s="10" t="n">
        <f aca="false">AP4*Streams!$E$11/Streams!$E$15</f>
        <v>0.6</v>
      </c>
      <c r="AQ15" s="10" t="n">
        <f aca="false">AQ4*Streams!$E$11/Streams!$E$15</f>
        <v>0.6</v>
      </c>
      <c r="AR15" s="10" t="n">
        <f aca="false">AR4*Streams!$E$11/Streams!$E$15</f>
        <v>0.6</v>
      </c>
      <c r="AS15" s="10" t="n">
        <f aca="false">AS4*Streams!$E$11/Streams!$E$15</f>
        <v>0.6</v>
      </c>
      <c r="AT15" s="10" t="n">
        <f aca="false">AT4*Streams!$E$11/Streams!$E$15</f>
        <v>0.6</v>
      </c>
      <c r="AU15" s="10" t="n">
        <f aca="false">AU4*Streams!$E$11/Streams!$E$15</f>
        <v>0.6</v>
      </c>
      <c r="AV15" s="10" t="n">
        <f aca="false">AV4*Streams!$E$11/Streams!$E$15</f>
        <v>0.6</v>
      </c>
      <c r="AW15" s="10" t="n">
        <f aca="false">AW4*Streams!$E$11/Streams!$E$15</f>
        <v>0.6</v>
      </c>
      <c r="AX15" s="10" t="n">
        <f aca="false">AX4*Streams!$E$11/Streams!$E$15</f>
        <v>0.6</v>
      </c>
      <c r="AY15" s="10" t="n">
        <f aca="false">AY4*Streams!$E$11/Streams!$E$15</f>
        <v>0.6</v>
      </c>
      <c r="AZ15" s="10" t="n">
        <f aca="false">AZ4*Streams!$E$11/Streams!$E$15</f>
        <v>0.6</v>
      </c>
      <c r="BA15" s="10" t="n">
        <f aca="false">BA4*Streams!$E$11/Streams!$E$15</f>
        <v>0.6</v>
      </c>
      <c r="BB15" s="10" t="n">
        <f aca="false">BB4*Streams!$E$11/Streams!$E$15</f>
        <v>0.6</v>
      </c>
      <c r="BC15" s="10" t="n">
        <f aca="false">BC4*Streams!$E$11/Streams!$E$15</f>
        <v>0.6</v>
      </c>
      <c r="BD15" s="10" t="n">
        <f aca="false">BD4*Streams!$E$11/Streams!$E$15</f>
        <v>0.6</v>
      </c>
      <c r="BE15" s="10" t="n">
        <f aca="false">BE4*Streams!$E$11/Streams!$E$15</f>
        <v>0.6</v>
      </c>
      <c r="BF15" s="10" t="n">
        <f aca="false">BF4*Streams!$E$11/Streams!$E$15</f>
        <v>0.6</v>
      </c>
      <c r="BG15" s="10" t="n">
        <f aca="false">BG4*Streams!$E$11/Streams!$E$15</f>
        <v>0.6</v>
      </c>
      <c r="BH15" s="10" t="n">
        <f aca="false">BH4*Streams!$E$11/Streams!$E$15</f>
        <v>0.6</v>
      </c>
      <c r="BI15" s="10" t="n">
        <f aca="false">BI4*Streams!$E$11/Streams!$E$15</f>
        <v>0.6</v>
      </c>
      <c r="BJ15" s="10" t="n">
        <f aca="false">BJ4*Streams!$E$11/Streams!$E$15</f>
        <v>0.6</v>
      </c>
      <c r="BK15" s="10" t="n">
        <f aca="false">BK4*Streams!$E$11/Streams!$E$15</f>
        <v>0.6</v>
      </c>
      <c r="BL15" s="10" t="n">
        <f aca="false">BL4*Streams!$E$11/Streams!$E$15</f>
        <v>0.6</v>
      </c>
      <c r="BM15" s="10" t="n">
        <f aca="false">BM4*Streams!$E$11/Streams!$E$15</f>
        <v>0.6</v>
      </c>
      <c r="BN15" s="10" t="n">
        <f aca="false">BN4*Streams!$E$11/Streams!$E$15</f>
        <v>0.6</v>
      </c>
      <c r="BO15" s="10" t="n">
        <f aca="false">BO4*Streams!$E$11/Streams!$E$15</f>
        <v>0.6</v>
      </c>
      <c r="BP15" s="10" t="n">
        <f aca="false">BP4*Streams!$E$11/Streams!$E$15</f>
        <v>0.6</v>
      </c>
      <c r="BQ15" s="10" t="n">
        <f aca="false">BQ4*Streams!$E$11/Streams!$E$15</f>
        <v>0.6</v>
      </c>
      <c r="BR15" s="10" t="n">
        <f aca="false">BR4*Streams!$E$11/Streams!$E$15</f>
        <v>0.6</v>
      </c>
      <c r="BS15" s="10" t="n">
        <f aca="false">BS4*Streams!$E$11/Streams!$E$15</f>
        <v>0.6</v>
      </c>
      <c r="BT15" s="10" t="n">
        <f aca="false">BT4*Streams!$E$11/Streams!$E$15</f>
        <v>0.6</v>
      </c>
      <c r="BU15" s="10" t="n">
        <f aca="false">BU4*Streams!$E$11/Streams!$E$15</f>
        <v>0.6</v>
      </c>
      <c r="BV15" s="10" t="n">
        <f aca="false">BV4*Streams!$E$11/Streams!$E$15</f>
        <v>0.6</v>
      </c>
      <c r="BW15" s="10" t="n">
        <f aca="false">BW4*Streams!$E$11/Streams!$E$15</f>
        <v>0.6</v>
      </c>
      <c r="BX15" s="10" t="n">
        <f aca="false">BX4*Streams!$E$11/Streams!$E$15</f>
        <v>0.6</v>
      </c>
      <c r="BY15" s="10" t="n">
        <f aca="false">BY4*Streams!$E$11/Streams!$E$15</f>
        <v>0.6</v>
      </c>
      <c r="BZ15" s="10" t="n">
        <f aca="false">BZ4*Streams!$E$11/Streams!$E$15</f>
        <v>0.6</v>
      </c>
      <c r="CA15" s="10" t="n">
        <f aca="false">CA4*Streams!$E$11/Streams!$E$15</f>
        <v>0.6</v>
      </c>
      <c r="CB15" s="10" t="n">
        <f aca="false">CB4*Streams!$E$11/Streams!$E$15</f>
        <v>0.6</v>
      </c>
      <c r="CC15" s="10" t="n">
        <f aca="false">CC4*Streams!$E$11/Streams!$E$15</f>
        <v>0.6</v>
      </c>
      <c r="CD15" s="10" t="n">
        <f aca="false">CD4*Streams!$E$11/Streams!$E$15</f>
        <v>0.6</v>
      </c>
      <c r="CE15" s="10" t="n">
        <f aca="false">CE4*Streams!$E$11/Streams!$E$15</f>
        <v>0.6</v>
      </c>
      <c r="CF15" s="10" t="n">
        <f aca="false">CF4*Streams!$E$11/Streams!$E$15</f>
        <v>0.6</v>
      </c>
      <c r="CG15" s="10" t="n">
        <f aca="false">CG4*Streams!$E$11/Streams!$E$15</f>
        <v>0.6</v>
      </c>
      <c r="CH15" s="10" t="n">
        <f aca="false">CH4*Streams!$E$11/Streams!$E$15</f>
        <v>0.6</v>
      </c>
      <c r="CI15" s="10" t="n">
        <f aca="false">CI4*Streams!$E$11/Streams!$E$15</f>
        <v>0.6</v>
      </c>
      <c r="CJ15" s="10" t="n">
        <f aca="false">CJ4*Streams!$E$11/Streams!$E$15</f>
        <v>0.6</v>
      </c>
      <c r="CK15" s="10" t="n">
        <f aca="false">CK4*Streams!$E$11/Streams!$E$15</f>
        <v>0.6</v>
      </c>
      <c r="CL15" s="10" t="n">
        <f aca="false">CL4*Streams!$E$11/Streams!$E$15</f>
        <v>0.6</v>
      </c>
      <c r="CM15" s="10" t="n">
        <f aca="false">CM4*Streams!$E$11/Streams!$E$15</f>
        <v>0.6</v>
      </c>
      <c r="CN15" s="10" t="n">
        <f aca="false">CN4*Streams!$E$11/Streams!$E$15</f>
        <v>0.6</v>
      </c>
      <c r="CO15" s="10" t="n">
        <f aca="false">CO4*Streams!$E$11/Streams!$E$15</f>
        <v>0.6</v>
      </c>
      <c r="CP15" s="10" t="n">
        <f aca="false">CP4*Streams!$E$11/Streams!$E$15</f>
        <v>0.6</v>
      </c>
      <c r="CQ15" s="10" t="n">
        <f aca="false">CQ4*Streams!$E$11/Streams!$E$15</f>
        <v>0.6</v>
      </c>
      <c r="CR15" s="10" t="n">
        <f aca="false">CR4*Streams!$E$11/Streams!$E$15</f>
        <v>0.6</v>
      </c>
      <c r="CS15" s="10" t="n">
        <f aca="false">CS4*Streams!$E$11/Streams!$E$15</f>
        <v>0.6</v>
      </c>
      <c r="CT15" s="10" t="n">
        <f aca="false">CT4*Streams!$E$11/Streams!$E$15</f>
        <v>0.6</v>
      </c>
      <c r="CU15" s="10" t="n">
        <f aca="false">CU4*Streams!$E$11/Streams!$E$15</f>
        <v>0.6</v>
      </c>
      <c r="CV15" s="10" t="n">
        <f aca="false">CV4*Streams!$E$11/Streams!$E$15</f>
        <v>0.6</v>
      </c>
      <c r="CW15" s="10" t="n">
        <f aca="false">CW4*Streams!$E$11/Streams!$E$15</f>
        <v>0.6</v>
      </c>
      <c r="CX15" s="10" t="n">
        <f aca="false">CX4*Streams!$E$11/Streams!$E$15</f>
        <v>0.6</v>
      </c>
      <c r="CY15" s="10" t="n">
        <f aca="false">CY4*Streams!$E$11/Streams!$E$15</f>
        <v>0.6</v>
      </c>
      <c r="CZ15" s="10" t="n">
        <f aca="false">CZ4*Streams!$E$11/Streams!$E$15</f>
        <v>0.6</v>
      </c>
      <c r="DA15" s="10" t="n">
        <f aca="false">DA4*Streams!$E$11/Streams!$E$15</f>
        <v>0.6</v>
      </c>
      <c r="DB15" s="10" t="n">
        <f aca="false">DB4*Streams!$E$11/Streams!$E$15</f>
        <v>0.6</v>
      </c>
      <c r="DC15" s="10" t="n">
        <f aca="false">DC4*Streams!$E$11/Streams!$E$15</f>
        <v>0.6</v>
      </c>
      <c r="DD15" s="10" t="n">
        <f aca="false">DD4*Streams!$E$11/Streams!$E$15</f>
        <v>0.6</v>
      </c>
      <c r="DE15" s="10" t="n">
        <f aca="false">DE4*Streams!$E$11/Streams!$E$15</f>
        <v>0.6</v>
      </c>
      <c r="DF15" s="10" t="n">
        <f aca="false">DF4*Streams!$E$11/Streams!$E$15</f>
        <v>0.6</v>
      </c>
      <c r="DG15" s="10" t="n">
        <f aca="false">DG4*Streams!$E$11/Streams!$E$15</f>
        <v>0.6</v>
      </c>
      <c r="DH15" s="10" t="n">
        <f aca="false">DH4*Streams!$E$11/Streams!$E$15</f>
        <v>0.6</v>
      </c>
      <c r="DI15" s="10" t="n">
        <f aca="false">DI4*Streams!$E$11/Streams!$E$15</f>
        <v>0.6</v>
      </c>
      <c r="DJ15" s="10" t="n">
        <f aca="false">DJ4*Streams!$E$11/Streams!$E$15</f>
        <v>0.6</v>
      </c>
      <c r="DK15" s="10" t="n">
        <f aca="false">DK4*Streams!$E$11/Streams!$E$15</f>
        <v>0.6</v>
      </c>
      <c r="DL15" s="10" t="n">
        <f aca="false">DL4*Streams!$E$11/Streams!$E$15</f>
        <v>0.6</v>
      </c>
      <c r="DM15" s="10" t="n">
        <f aca="false">DM4*Streams!$E$11/Streams!$E$15</f>
        <v>0.6</v>
      </c>
      <c r="DN15" s="10" t="n">
        <f aca="false">DN4*Streams!$E$11/Streams!$E$15</f>
        <v>0.6</v>
      </c>
      <c r="DO15" s="10" t="n">
        <f aca="false">DO4*Streams!$E$11/Streams!$E$15</f>
        <v>0.6</v>
      </c>
      <c r="DP15" s="10" t="n">
        <f aca="false">DP4*Streams!$E$11/Streams!$E$15</f>
        <v>0.6</v>
      </c>
      <c r="DQ15" s="10" t="n">
        <f aca="false">DQ4*Streams!$E$11/Streams!$E$15</f>
        <v>0.6</v>
      </c>
      <c r="DR15" s="10" t="n">
        <f aca="false">DR4*Streams!$E$11/Streams!$E$15</f>
        <v>0.6</v>
      </c>
    </row>
    <row r="16" customFormat="false" ht="15" hidden="false" customHeight="false" outlineLevel="0" collapsed="false">
      <c r="A16" s="9" t="s">
        <v>185</v>
      </c>
      <c r="B16" s="10" t="n">
        <f aca="false">B4*Streams!$E$12/Streams!$E$15</f>
        <v>0</v>
      </c>
      <c r="C16" s="10" t="n">
        <f aca="false">C4*Streams!$E$12/Streams!$E$15</f>
        <v>0</v>
      </c>
      <c r="D16" s="10" t="n">
        <f aca="false">D4*Streams!$E$12/Streams!$E$15</f>
        <v>0</v>
      </c>
      <c r="E16" s="10" t="n">
        <f aca="false">E4*Streams!$E$12/Streams!$E$15</f>
        <v>0</v>
      </c>
      <c r="F16" s="10" t="n">
        <f aca="false">F4*Streams!$E$12/Streams!$E$15</f>
        <v>0</v>
      </c>
      <c r="G16" s="10" t="n">
        <f aca="false">G4*Streams!$E$12/Streams!$E$15</f>
        <v>0</v>
      </c>
      <c r="H16" s="10" t="n">
        <f aca="false">H4*Streams!$E$12/Streams!$E$15</f>
        <v>0</v>
      </c>
      <c r="I16" s="10" t="n">
        <f aca="false">I4*Streams!$E$12/Streams!$E$15</f>
        <v>0</v>
      </c>
      <c r="J16" s="10" t="n">
        <f aca="false">J4*Streams!$E$12/Streams!$E$15</f>
        <v>0</v>
      </c>
      <c r="K16" s="10" t="n">
        <f aca="false">K4*Streams!$E$12/Streams!$E$15</f>
        <v>0.257142857142857</v>
      </c>
      <c r="L16" s="10" t="n">
        <f aca="false">L4*Streams!$E$12/Streams!$E$15</f>
        <v>0.257142857142857</v>
      </c>
      <c r="M16" s="10" t="n">
        <f aca="false">M4*Streams!$E$12/Streams!$E$15</f>
        <v>0.257142857142857</v>
      </c>
      <c r="N16" s="10" t="n">
        <f aca="false">N4*Streams!$E$12/Streams!$E$15</f>
        <v>0.428571428571429</v>
      </c>
      <c r="O16" s="10" t="n">
        <f aca="false">O4*Streams!$E$12/Streams!$E$15</f>
        <v>0.428571428571429</v>
      </c>
      <c r="P16" s="10" t="n">
        <f aca="false">P4*Streams!$E$12/Streams!$E$15</f>
        <v>0.428571428571429</v>
      </c>
      <c r="Q16" s="10" t="n">
        <f aca="false">Q4*Streams!$E$12/Streams!$E$15</f>
        <v>0.6</v>
      </c>
      <c r="R16" s="10" t="n">
        <f aca="false">R4*Streams!$E$12/Streams!$E$15</f>
        <v>0.6</v>
      </c>
      <c r="S16" s="10" t="n">
        <f aca="false">S4*Streams!$E$12/Streams!$E$15</f>
        <v>0.6</v>
      </c>
      <c r="T16" s="10" t="n">
        <f aca="false">T4*Streams!$E$12/Streams!$E$15</f>
        <v>0.6</v>
      </c>
      <c r="U16" s="10" t="n">
        <f aca="false">U4*Streams!$E$12/Streams!$E$15</f>
        <v>0.6</v>
      </c>
      <c r="V16" s="10" t="n">
        <f aca="false">V4*Streams!$E$12/Streams!$E$15</f>
        <v>0.6</v>
      </c>
      <c r="W16" s="10" t="n">
        <f aca="false">W4*Streams!$E$12/Streams!$E$15</f>
        <v>0.6</v>
      </c>
      <c r="X16" s="10" t="n">
        <f aca="false">X4*Streams!$E$12/Streams!$E$15</f>
        <v>0.6</v>
      </c>
      <c r="Y16" s="10" t="n">
        <f aca="false">Y4*Streams!$E$12/Streams!$E$15</f>
        <v>0.6</v>
      </c>
      <c r="Z16" s="10" t="n">
        <f aca="false">Z4*Streams!$E$12/Streams!$E$15</f>
        <v>0.6</v>
      </c>
      <c r="AA16" s="10" t="n">
        <f aca="false">AA4*Streams!$E$12/Streams!$E$15</f>
        <v>0.6</v>
      </c>
      <c r="AB16" s="10" t="n">
        <f aca="false">AB4*Streams!$E$12/Streams!$E$15</f>
        <v>0.6</v>
      </c>
      <c r="AC16" s="10" t="n">
        <f aca="false">AC4*Streams!$E$12/Streams!$E$15</f>
        <v>0.6</v>
      </c>
      <c r="AD16" s="10" t="n">
        <f aca="false">AD4*Streams!$E$12/Streams!$E$15</f>
        <v>0.6</v>
      </c>
      <c r="AE16" s="10" t="n">
        <f aca="false">AE4*Streams!$E$12/Streams!$E$15</f>
        <v>0.6</v>
      </c>
      <c r="AF16" s="10" t="n">
        <f aca="false">AF4*Streams!$E$12/Streams!$E$15</f>
        <v>0.6</v>
      </c>
      <c r="AG16" s="10" t="n">
        <f aca="false">AG4*Streams!$E$12/Streams!$E$15</f>
        <v>0.6</v>
      </c>
      <c r="AH16" s="10" t="n">
        <f aca="false">AH4*Streams!$E$12/Streams!$E$15</f>
        <v>0.6</v>
      </c>
      <c r="AI16" s="10" t="n">
        <f aca="false">AI4*Streams!$E$12/Streams!$E$15</f>
        <v>0.6</v>
      </c>
      <c r="AJ16" s="10" t="n">
        <f aca="false">AJ4*Streams!$E$12/Streams!$E$15</f>
        <v>0.6</v>
      </c>
      <c r="AK16" s="10" t="n">
        <f aca="false">AK4*Streams!$E$12/Streams!$E$15</f>
        <v>0.6</v>
      </c>
      <c r="AL16" s="10" t="n">
        <f aca="false">AL4*Streams!$E$12/Streams!$E$15</f>
        <v>0.6</v>
      </c>
      <c r="AM16" s="10" t="n">
        <f aca="false">AM4*Streams!$E$12/Streams!$E$15</f>
        <v>0.6</v>
      </c>
      <c r="AN16" s="10" t="n">
        <f aca="false">AN4*Streams!$E$12/Streams!$E$15</f>
        <v>0.6</v>
      </c>
      <c r="AO16" s="10" t="n">
        <f aca="false">AO4*Streams!$E$12/Streams!$E$15</f>
        <v>0.6</v>
      </c>
      <c r="AP16" s="10" t="n">
        <f aca="false">AP4*Streams!$E$12/Streams!$E$15</f>
        <v>0.6</v>
      </c>
      <c r="AQ16" s="10" t="n">
        <f aca="false">AQ4*Streams!$E$12/Streams!$E$15</f>
        <v>0.6</v>
      </c>
      <c r="AR16" s="10" t="n">
        <f aca="false">AR4*Streams!$E$12/Streams!$E$15</f>
        <v>0.6</v>
      </c>
      <c r="AS16" s="10" t="n">
        <f aca="false">AS4*Streams!$E$12/Streams!$E$15</f>
        <v>0.6</v>
      </c>
      <c r="AT16" s="10" t="n">
        <f aca="false">AT4*Streams!$E$12/Streams!$E$15</f>
        <v>0.6</v>
      </c>
      <c r="AU16" s="10" t="n">
        <f aca="false">AU4*Streams!$E$12/Streams!$E$15</f>
        <v>0.6</v>
      </c>
      <c r="AV16" s="10" t="n">
        <f aca="false">AV4*Streams!$E$12/Streams!$E$15</f>
        <v>0.6</v>
      </c>
      <c r="AW16" s="10" t="n">
        <f aca="false">AW4*Streams!$E$12/Streams!$E$15</f>
        <v>0.6</v>
      </c>
      <c r="AX16" s="10" t="n">
        <f aca="false">AX4*Streams!$E$12/Streams!$E$15</f>
        <v>0.6</v>
      </c>
      <c r="AY16" s="10" t="n">
        <f aca="false">AY4*Streams!$E$12/Streams!$E$15</f>
        <v>0.6</v>
      </c>
      <c r="AZ16" s="10" t="n">
        <f aca="false">AZ4*Streams!$E$12/Streams!$E$15</f>
        <v>0.6</v>
      </c>
      <c r="BA16" s="10" t="n">
        <f aca="false">BA4*Streams!$E$12/Streams!$E$15</f>
        <v>0.6</v>
      </c>
      <c r="BB16" s="10" t="n">
        <f aca="false">BB4*Streams!$E$12/Streams!$E$15</f>
        <v>0.6</v>
      </c>
      <c r="BC16" s="10" t="n">
        <f aca="false">BC4*Streams!$E$12/Streams!$E$15</f>
        <v>0.6</v>
      </c>
      <c r="BD16" s="10" t="n">
        <f aca="false">BD4*Streams!$E$12/Streams!$E$15</f>
        <v>0.6</v>
      </c>
      <c r="BE16" s="10" t="n">
        <f aca="false">BE4*Streams!$E$12/Streams!$E$15</f>
        <v>0.6</v>
      </c>
      <c r="BF16" s="10" t="n">
        <f aca="false">BF4*Streams!$E$12/Streams!$E$15</f>
        <v>0.6</v>
      </c>
      <c r="BG16" s="10" t="n">
        <f aca="false">BG4*Streams!$E$12/Streams!$E$15</f>
        <v>0.6</v>
      </c>
      <c r="BH16" s="10" t="n">
        <f aca="false">BH4*Streams!$E$12/Streams!$E$15</f>
        <v>0.6</v>
      </c>
      <c r="BI16" s="10" t="n">
        <f aca="false">BI4*Streams!$E$12/Streams!$E$15</f>
        <v>0.6</v>
      </c>
      <c r="BJ16" s="10" t="n">
        <f aca="false">BJ4*Streams!$E$12/Streams!$E$15</f>
        <v>0.6</v>
      </c>
      <c r="BK16" s="10" t="n">
        <f aca="false">BK4*Streams!$E$12/Streams!$E$15</f>
        <v>0.6</v>
      </c>
      <c r="BL16" s="10" t="n">
        <f aca="false">BL4*Streams!$E$12/Streams!$E$15</f>
        <v>0.6</v>
      </c>
      <c r="BM16" s="10" t="n">
        <f aca="false">BM4*Streams!$E$12/Streams!$E$15</f>
        <v>0.6</v>
      </c>
      <c r="BN16" s="10" t="n">
        <f aca="false">BN4*Streams!$E$12/Streams!$E$15</f>
        <v>0.6</v>
      </c>
      <c r="BO16" s="10" t="n">
        <f aca="false">BO4*Streams!$E$12/Streams!$E$15</f>
        <v>0.6</v>
      </c>
      <c r="BP16" s="10" t="n">
        <f aca="false">BP4*Streams!$E$12/Streams!$E$15</f>
        <v>0.6</v>
      </c>
      <c r="BQ16" s="10" t="n">
        <f aca="false">BQ4*Streams!$E$12/Streams!$E$15</f>
        <v>0.6</v>
      </c>
      <c r="BR16" s="10" t="n">
        <f aca="false">BR4*Streams!$E$12/Streams!$E$15</f>
        <v>0.6</v>
      </c>
      <c r="BS16" s="10" t="n">
        <f aca="false">BS4*Streams!$E$12/Streams!$E$15</f>
        <v>0.6</v>
      </c>
      <c r="BT16" s="10" t="n">
        <f aca="false">BT4*Streams!$E$12/Streams!$E$15</f>
        <v>0.6</v>
      </c>
      <c r="BU16" s="10" t="n">
        <f aca="false">BU4*Streams!$E$12/Streams!$E$15</f>
        <v>0.6</v>
      </c>
      <c r="BV16" s="10" t="n">
        <f aca="false">BV4*Streams!$E$12/Streams!$E$15</f>
        <v>0.6</v>
      </c>
      <c r="BW16" s="10" t="n">
        <f aca="false">BW4*Streams!$E$12/Streams!$E$15</f>
        <v>0.6</v>
      </c>
      <c r="BX16" s="10" t="n">
        <f aca="false">BX4*Streams!$E$12/Streams!$E$15</f>
        <v>0.6</v>
      </c>
      <c r="BY16" s="10" t="n">
        <f aca="false">BY4*Streams!$E$12/Streams!$E$15</f>
        <v>0.6</v>
      </c>
      <c r="BZ16" s="10" t="n">
        <f aca="false">BZ4*Streams!$E$12/Streams!$E$15</f>
        <v>0.6</v>
      </c>
      <c r="CA16" s="10" t="n">
        <f aca="false">CA4*Streams!$E$12/Streams!$E$15</f>
        <v>0.6</v>
      </c>
      <c r="CB16" s="10" t="n">
        <f aca="false">CB4*Streams!$E$12/Streams!$E$15</f>
        <v>0.6</v>
      </c>
      <c r="CC16" s="10" t="n">
        <f aca="false">CC4*Streams!$E$12/Streams!$E$15</f>
        <v>0.6</v>
      </c>
      <c r="CD16" s="10" t="n">
        <f aca="false">CD4*Streams!$E$12/Streams!$E$15</f>
        <v>0.6</v>
      </c>
      <c r="CE16" s="10" t="n">
        <f aca="false">CE4*Streams!$E$12/Streams!$E$15</f>
        <v>0.6</v>
      </c>
      <c r="CF16" s="10" t="n">
        <f aca="false">CF4*Streams!$E$12/Streams!$E$15</f>
        <v>0.6</v>
      </c>
      <c r="CG16" s="10" t="n">
        <f aca="false">CG4*Streams!$E$12/Streams!$E$15</f>
        <v>0.6</v>
      </c>
      <c r="CH16" s="10" t="n">
        <f aca="false">CH4*Streams!$E$12/Streams!$E$15</f>
        <v>0.6</v>
      </c>
      <c r="CI16" s="10" t="n">
        <f aca="false">CI4*Streams!$E$12/Streams!$E$15</f>
        <v>0.6</v>
      </c>
      <c r="CJ16" s="10" t="n">
        <f aca="false">CJ4*Streams!$E$12/Streams!$E$15</f>
        <v>0.6</v>
      </c>
      <c r="CK16" s="10" t="n">
        <f aca="false">CK4*Streams!$E$12/Streams!$E$15</f>
        <v>0.6</v>
      </c>
      <c r="CL16" s="10" t="n">
        <f aca="false">CL4*Streams!$E$12/Streams!$E$15</f>
        <v>0.6</v>
      </c>
      <c r="CM16" s="10" t="n">
        <f aca="false">CM4*Streams!$E$12/Streams!$E$15</f>
        <v>0.6</v>
      </c>
      <c r="CN16" s="10" t="n">
        <f aca="false">CN4*Streams!$E$12/Streams!$E$15</f>
        <v>0.6</v>
      </c>
      <c r="CO16" s="10" t="n">
        <f aca="false">CO4*Streams!$E$12/Streams!$E$15</f>
        <v>0.6</v>
      </c>
      <c r="CP16" s="10" t="n">
        <f aca="false">CP4*Streams!$E$12/Streams!$E$15</f>
        <v>0.6</v>
      </c>
      <c r="CQ16" s="10" t="n">
        <f aca="false">CQ4*Streams!$E$12/Streams!$E$15</f>
        <v>0.6</v>
      </c>
      <c r="CR16" s="10" t="n">
        <f aca="false">CR4*Streams!$E$12/Streams!$E$15</f>
        <v>0.6</v>
      </c>
      <c r="CS16" s="10" t="n">
        <f aca="false">CS4*Streams!$E$12/Streams!$E$15</f>
        <v>0.6</v>
      </c>
      <c r="CT16" s="10" t="n">
        <f aca="false">CT4*Streams!$E$12/Streams!$E$15</f>
        <v>0.6</v>
      </c>
      <c r="CU16" s="10" t="n">
        <f aca="false">CU4*Streams!$E$12/Streams!$E$15</f>
        <v>0.6</v>
      </c>
      <c r="CV16" s="10" t="n">
        <f aca="false">CV4*Streams!$E$12/Streams!$E$15</f>
        <v>0.6</v>
      </c>
      <c r="CW16" s="10" t="n">
        <f aca="false">CW4*Streams!$E$12/Streams!$E$15</f>
        <v>0.6</v>
      </c>
      <c r="CX16" s="10" t="n">
        <f aca="false">CX4*Streams!$E$12/Streams!$E$15</f>
        <v>0.6</v>
      </c>
      <c r="CY16" s="10" t="n">
        <f aca="false">CY4*Streams!$E$12/Streams!$E$15</f>
        <v>0.6</v>
      </c>
      <c r="CZ16" s="10" t="n">
        <f aca="false">CZ4*Streams!$E$12/Streams!$E$15</f>
        <v>0.6</v>
      </c>
      <c r="DA16" s="10" t="n">
        <f aca="false">DA4*Streams!$E$12/Streams!$E$15</f>
        <v>0.6</v>
      </c>
      <c r="DB16" s="10" t="n">
        <f aca="false">DB4*Streams!$E$12/Streams!$E$15</f>
        <v>0.6</v>
      </c>
      <c r="DC16" s="10" t="n">
        <f aca="false">DC4*Streams!$E$12/Streams!$E$15</f>
        <v>0.6</v>
      </c>
      <c r="DD16" s="10" t="n">
        <f aca="false">DD4*Streams!$E$12/Streams!$E$15</f>
        <v>0.6</v>
      </c>
      <c r="DE16" s="10" t="n">
        <f aca="false">DE4*Streams!$E$12/Streams!$E$15</f>
        <v>0.6</v>
      </c>
      <c r="DF16" s="10" t="n">
        <f aca="false">DF4*Streams!$E$12/Streams!$E$15</f>
        <v>0.6</v>
      </c>
      <c r="DG16" s="10" t="n">
        <f aca="false">DG4*Streams!$E$12/Streams!$E$15</f>
        <v>0.6</v>
      </c>
      <c r="DH16" s="10" t="n">
        <f aca="false">DH4*Streams!$E$12/Streams!$E$15</f>
        <v>0.6</v>
      </c>
      <c r="DI16" s="10" t="n">
        <f aca="false">DI4*Streams!$E$12/Streams!$E$15</f>
        <v>0.6</v>
      </c>
      <c r="DJ16" s="10" t="n">
        <f aca="false">DJ4*Streams!$E$12/Streams!$E$15</f>
        <v>0.6</v>
      </c>
      <c r="DK16" s="10" t="n">
        <f aca="false">DK4*Streams!$E$12/Streams!$E$15</f>
        <v>0.6</v>
      </c>
      <c r="DL16" s="10" t="n">
        <f aca="false">DL4*Streams!$E$12/Streams!$E$15</f>
        <v>0.6</v>
      </c>
      <c r="DM16" s="10" t="n">
        <f aca="false">DM4*Streams!$E$12/Streams!$E$15</f>
        <v>0.6</v>
      </c>
      <c r="DN16" s="10" t="n">
        <f aca="false">DN4*Streams!$E$12/Streams!$E$15</f>
        <v>0.6</v>
      </c>
      <c r="DO16" s="10" t="n">
        <f aca="false">DO4*Streams!$E$12/Streams!$E$15</f>
        <v>0.6</v>
      </c>
      <c r="DP16" s="10" t="n">
        <f aca="false">DP4*Streams!$E$12/Streams!$E$15</f>
        <v>0.6</v>
      </c>
      <c r="DQ16" s="10" t="n">
        <f aca="false">DQ4*Streams!$E$12/Streams!$E$15</f>
        <v>0.6</v>
      </c>
      <c r="DR16" s="10" t="n">
        <f aca="false">DR4*Streams!$E$12/Streams!$E$15</f>
        <v>0.6</v>
      </c>
    </row>
    <row r="17" customFormat="false" ht="15" hidden="false" customHeight="false" outlineLevel="0" collapsed="false">
      <c r="A17" s="9" t="s">
        <v>186</v>
      </c>
      <c r="B17" s="10" t="n">
        <f aca="false">B4*Streams!$E$13/Streams!$E$15</f>
        <v>0</v>
      </c>
      <c r="C17" s="10" t="n">
        <f aca="false">C4*Streams!$E$13/Streams!$E$15</f>
        <v>0</v>
      </c>
      <c r="D17" s="10" t="n">
        <f aca="false">D4*Streams!$E$13/Streams!$E$15</f>
        <v>0</v>
      </c>
      <c r="E17" s="10" t="n">
        <f aca="false">E4*Streams!$E$13/Streams!$E$15</f>
        <v>0</v>
      </c>
      <c r="F17" s="10" t="n">
        <f aca="false">F4*Streams!$E$13/Streams!$E$15</f>
        <v>0</v>
      </c>
      <c r="G17" s="10" t="n">
        <f aca="false">G4*Streams!$E$13/Streams!$E$15</f>
        <v>0</v>
      </c>
      <c r="H17" s="10" t="n">
        <f aca="false">H4*Streams!$E$13/Streams!$E$15</f>
        <v>0</v>
      </c>
      <c r="I17" s="10" t="n">
        <f aca="false">I4*Streams!$E$13/Streams!$E$15</f>
        <v>0</v>
      </c>
      <c r="J17" s="10" t="n">
        <f aca="false">J4*Streams!$E$13/Streams!$E$15</f>
        <v>0</v>
      </c>
      <c r="K17" s="10" t="n">
        <f aca="false">K4*Streams!$E$13/Streams!$E$15</f>
        <v>0.514285714285714</v>
      </c>
      <c r="L17" s="10" t="n">
        <f aca="false">L4*Streams!$E$13/Streams!$E$15</f>
        <v>0.514285714285714</v>
      </c>
      <c r="M17" s="10" t="n">
        <f aca="false">M4*Streams!$E$13/Streams!$E$15</f>
        <v>0.514285714285714</v>
      </c>
      <c r="N17" s="10" t="n">
        <f aca="false">N4*Streams!$E$13/Streams!$E$15</f>
        <v>0.857142857142857</v>
      </c>
      <c r="O17" s="10" t="n">
        <f aca="false">O4*Streams!$E$13/Streams!$E$15</f>
        <v>0.857142857142857</v>
      </c>
      <c r="P17" s="10" t="n">
        <f aca="false">P4*Streams!$E$13/Streams!$E$15</f>
        <v>0.857142857142857</v>
      </c>
      <c r="Q17" s="10" t="n">
        <f aca="false">Q4*Streams!$E$13/Streams!$E$15</f>
        <v>1.2</v>
      </c>
      <c r="R17" s="10" t="n">
        <f aca="false">R4*Streams!$E$13/Streams!$E$15</f>
        <v>1.2</v>
      </c>
      <c r="S17" s="10" t="n">
        <f aca="false">S4*Streams!$E$13/Streams!$E$15</f>
        <v>1.2</v>
      </c>
      <c r="T17" s="10" t="n">
        <f aca="false">T4*Streams!$E$13/Streams!$E$15</f>
        <v>1.2</v>
      </c>
      <c r="U17" s="10" t="n">
        <f aca="false">U4*Streams!$E$13/Streams!$E$15</f>
        <v>1.2</v>
      </c>
      <c r="V17" s="10" t="n">
        <f aca="false">V4*Streams!$E$13/Streams!$E$15</f>
        <v>1.2</v>
      </c>
      <c r="W17" s="10" t="n">
        <f aca="false">W4*Streams!$E$13/Streams!$E$15</f>
        <v>1.2</v>
      </c>
      <c r="X17" s="10" t="n">
        <f aca="false">X4*Streams!$E$13/Streams!$E$15</f>
        <v>1.2</v>
      </c>
      <c r="Y17" s="10" t="n">
        <f aca="false">Y4*Streams!$E$13/Streams!$E$15</f>
        <v>1.2</v>
      </c>
      <c r="Z17" s="10" t="n">
        <f aca="false">Z4*Streams!$E$13/Streams!$E$15</f>
        <v>1.2</v>
      </c>
      <c r="AA17" s="10" t="n">
        <f aca="false">AA4*Streams!$E$13/Streams!$E$15</f>
        <v>1.2</v>
      </c>
      <c r="AB17" s="10" t="n">
        <f aca="false">AB4*Streams!$E$13/Streams!$E$15</f>
        <v>1.2</v>
      </c>
      <c r="AC17" s="10" t="n">
        <f aca="false">AC4*Streams!$E$13/Streams!$E$15</f>
        <v>1.2</v>
      </c>
      <c r="AD17" s="10" t="n">
        <f aca="false">AD4*Streams!$E$13/Streams!$E$15</f>
        <v>1.2</v>
      </c>
      <c r="AE17" s="10" t="n">
        <f aca="false">AE4*Streams!$E$13/Streams!$E$15</f>
        <v>1.2</v>
      </c>
      <c r="AF17" s="10" t="n">
        <f aca="false">AF4*Streams!$E$13/Streams!$E$15</f>
        <v>1.2</v>
      </c>
      <c r="AG17" s="10" t="n">
        <f aca="false">AG4*Streams!$E$13/Streams!$E$15</f>
        <v>1.2</v>
      </c>
      <c r="AH17" s="10" t="n">
        <f aca="false">AH4*Streams!$E$13/Streams!$E$15</f>
        <v>1.2</v>
      </c>
      <c r="AI17" s="10" t="n">
        <f aca="false">AI4*Streams!$E$13/Streams!$E$15</f>
        <v>1.2</v>
      </c>
      <c r="AJ17" s="10" t="n">
        <f aca="false">AJ4*Streams!$E$13/Streams!$E$15</f>
        <v>1.2</v>
      </c>
      <c r="AK17" s="10" t="n">
        <f aca="false">AK4*Streams!$E$13/Streams!$E$15</f>
        <v>1.2</v>
      </c>
      <c r="AL17" s="10" t="n">
        <f aca="false">AL4*Streams!$E$13/Streams!$E$15</f>
        <v>1.2</v>
      </c>
      <c r="AM17" s="10" t="n">
        <f aca="false">AM4*Streams!$E$13/Streams!$E$15</f>
        <v>1.2</v>
      </c>
      <c r="AN17" s="10" t="n">
        <f aca="false">AN4*Streams!$E$13/Streams!$E$15</f>
        <v>1.2</v>
      </c>
      <c r="AO17" s="10" t="n">
        <f aca="false">AO4*Streams!$E$13/Streams!$E$15</f>
        <v>1.2</v>
      </c>
      <c r="AP17" s="10" t="n">
        <f aca="false">AP4*Streams!$E$13/Streams!$E$15</f>
        <v>1.2</v>
      </c>
      <c r="AQ17" s="10" t="n">
        <f aca="false">AQ4*Streams!$E$13/Streams!$E$15</f>
        <v>1.2</v>
      </c>
      <c r="AR17" s="10" t="n">
        <f aca="false">AR4*Streams!$E$13/Streams!$E$15</f>
        <v>1.2</v>
      </c>
      <c r="AS17" s="10" t="n">
        <f aca="false">AS4*Streams!$E$13/Streams!$E$15</f>
        <v>1.2</v>
      </c>
      <c r="AT17" s="10" t="n">
        <f aca="false">AT4*Streams!$E$13/Streams!$E$15</f>
        <v>1.2</v>
      </c>
      <c r="AU17" s="10" t="n">
        <f aca="false">AU4*Streams!$E$13/Streams!$E$15</f>
        <v>1.2</v>
      </c>
      <c r="AV17" s="10" t="n">
        <f aca="false">AV4*Streams!$E$13/Streams!$E$15</f>
        <v>1.2</v>
      </c>
      <c r="AW17" s="10" t="n">
        <f aca="false">AW4*Streams!$E$13/Streams!$E$15</f>
        <v>1.2</v>
      </c>
      <c r="AX17" s="10" t="n">
        <f aca="false">AX4*Streams!$E$13/Streams!$E$15</f>
        <v>1.2</v>
      </c>
      <c r="AY17" s="10" t="n">
        <f aca="false">AY4*Streams!$E$13/Streams!$E$15</f>
        <v>1.2</v>
      </c>
      <c r="AZ17" s="10" t="n">
        <f aca="false">AZ4*Streams!$E$13/Streams!$E$15</f>
        <v>1.2</v>
      </c>
      <c r="BA17" s="10" t="n">
        <f aca="false">BA4*Streams!$E$13/Streams!$E$15</f>
        <v>1.2</v>
      </c>
      <c r="BB17" s="10" t="n">
        <f aca="false">BB4*Streams!$E$13/Streams!$E$15</f>
        <v>1.2</v>
      </c>
      <c r="BC17" s="10" t="n">
        <f aca="false">BC4*Streams!$E$13/Streams!$E$15</f>
        <v>1.2</v>
      </c>
      <c r="BD17" s="10" t="n">
        <f aca="false">BD4*Streams!$E$13/Streams!$E$15</f>
        <v>1.2</v>
      </c>
      <c r="BE17" s="10" t="n">
        <f aca="false">BE4*Streams!$E$13/Streams!$E$15</f>
        <v>1.2</v>
      </c>
      <c r="BF17" s="10" t="n">
        <f aca="false">BF4*Streams!$E$13/Streams!$E$15</f>
        <v>1.2</v>
      </c>
      <c r="BG17" s="10" t="n">
        <f aca="false">BG4*Streams!$E$13/Streams!$E$15</f>
        <v>1.2</v>
      </c>
      <c r="BH17" s="10" t="n">
        <f aca="false">BH4*Streams!$E$13/Streams!$E$15</f>
        <v>1.2</v>
      </c>
      <c r="BI17" s="10" t="n">
        <f aca="false">BI4*Streams!$E$13/Streams!$E$15</f>
        <v>1.2</v>
      </c>
      <c r="BJ17" s="10" t="n">
        <f aca="false">BJ4*Streams!$E$13/Streams!$E$15</f>
        <v>1.2</v>
      </c>
      <c r="BK17" s="10" t="n">
        <f aca="false">BK4*Streams!$E$13/Streams!$E$15</f>
        <v>1.2</v>
      </c>
      <c r="BL17" s="10" t="n">
        <f aca="false">BL4*Streams!$E$13/Streams!$E$15</f>
        <v>1.2</v>
      </c>
      <c r="BM17" s="10" t="n">
        <f aca="false">BM4*Streams!$E$13/Streams!$E$15</f>
        <v>1.2</v>
      </c>
      <c r="BN17" s="10" t="n">
        <f aca="false">BN4*Streams!$E$13/Streams!$E$15</f>
        <v>1.2</v>
      </c>
      <c r="BO17" s="10" t="n">
        <f aca="false">BO4*Streams!$E$13/Streams!$E$15</f>
        <v>1.2</v>
      </c>
      <c r="BP17" s="10" t="n">
        <f aca="false">BP4*Streams!$E$13/Streams!$E$15</f>
        <v>1.2</v>
      </c>
      <c r="BQ17" s="10" t="n">
        <f aca="false">BQ4*Streams!$E$13/Streams!$E$15</f>
        <v>1.2</v>
      </c>
      <c r="BR17" s="10" t="n">
        <f aca="false">BR4*Streams!$E$13/Streams!$E$15</f>
        <v>1.2</v>
      </c>
      <c r="BS17" s="10" t="n">
        <f aca="false">BS4*Streams!$E$13/Streams!$E$15</f>
        <v>1.2</v>
      </c>
      <c r="BT17" s="10" t="n">
        <f aca="false">BT4*Streams!$E$13/Streams!$E$15</f>
        <v>1.2</v>
      </c>
      <c r="BU17" s="10" t="n">
        <f aca="false">BU4*Streams!$E$13/Streams!$E$15</f>
        <v>1.2</v>
      </c>
      <c r="BV17" s="10" t="n">
        <f aca="false">BV4*Streams!$E$13/Streams!$E$15</f>
        <v>1.2</v>
      </c>
      <c r="BW17" s="10" t="n">
        <f aca="false">BW4*Streams!$E$13/Streams!$E$15</f>
        <v>1.2</v>
      </c>
      <c r="BX17" s="10" t="n">
        <f aca="false">BX4*Streams!$E$13/Streams!$E$15</f>
        <v>1.2</v>
      </c>
      <c r="BY17" s="10" t="n">
        <f aca="false">BY4*Streams!$E$13/Streams!$E$15</f>
        <v>1.2</v>
      </c>
      <c r="BZ17" s="10" t="n">
        <f aca="false">BZ4*Streams!$E$13/Streams!$E$15</f>
        <v>1.2</v>
      </c>
      <c r="CA17" s="10" t="n">
        <f aca="false">CA4*Streams!$E$13/Streams!$E$15</f>
        <v>1.2</v>
      </c>
      <c r="CB17" s="10" t="n">
        <f aca="false">CB4*Streams!$E$13/Streams!$E$15</f>
        <v>1.2</v>
      </c>
      <c r="CC17" s="10" t="n">
        <f aca="false">CC4*Streams!$E$13/Streams!$E$15</f>
        <v>1.2</v>
      </c>
      <c r="CD17" s="10" t="n">
        <f aca="false">CD4*Streams!$E$13/Streams!$E$15</f>
        <v>1.2</v>
      </c>
      <c r="CE17" s="10" t="n">
        <f aca="false">CE4*Streams!$E$13/Streams!$E$15</f>
        <v>1.2</v>
      </c>
      <c r="CF17" s="10" t="n">
        <f aca="false">CF4*Streams!$E$13/Streams!$E$15</f>
        <v>1.2</v>
      </c>
      <c r="CG17" s="10" t="n">
        <f aca="false">CG4*Streams!$E$13/Streams!$E$15</f>
        <v>1.2</v>
      </c>
      <c r="CH17" s="10" t="n">
        <f aca="false">CH4*Streams!$E$13/Streams!$E$15</f>
        <v>1.2</v>
      </c>
      <c r="CI17" s="10" t="n">
        <f aca="false">CI4*Streams!$E$13/Streams!$E$15</f>
        <v>1.2</v>
      </c>
      <c r="CJ17" s="10" t="n">
        <f aca="false">CJ4*Streams!$E$13/Streams!$E$15</f>
        <v>1.2</v>
      </c>
      <c r="CK17" s="10" t="n">
        <f aca="false">CK4*Streams!$E$13/Streams!$E$15</f>
        <v>1.2</v>
      </c>
      <c r="CL17" s="10" t="n">
        <f aca="false">CL4*Streams!$E$13/Streams!$E$15</f>
        <v>1.2</v>
      </c>
      <c r="CM17" s="10" t="n">
        <f aca="false">CM4*Streams!$E$13/Streams!$E$15</f>
        <v>1.2</v>
      </c>
      <c r="CN17" s="10" t="n">
        <f aca="false">CN4*Streams!$E$13/Streams!$E$15</f>
        <v>1.2</v>
      </c>
      <c r="CO17" s="10" t="n">
        <f aca="false">CO4*Streams!$E$13/Streams!$E$15</f>
        <v>1.2</v>
      </c>
      <c r="CP17" s="10" t="n">
        <f aca="false">CP4*Streams!$E$13/Streams!$E$15</f>
        <v>1.2</v>
      </c>
      <c r="CQ17" s="10" t="n">
        <f aca="false">CQ4*Streams!$E$13/Streams!$E$15</f>
        <v>1.2</v>
      </c>
      <c r="CR17" s="10" t="n">
        <f aca="false">CR4*Streams!$E$13/Streams!$E$15</f>
        <v>1.2</v>
      </c>
      <c r="CS17" s="10" t="n">
        <f aca="false">CS4*Streams!$E$13/Streams!$E$15</f>
        <v>1.2</v>
      </c>
      <c r="CT17" s="10" t="n">
        <f aca="false">CT4*Streams!$E$13/Streams!$E$15</f>
        <v>1.2</v>
      </c>
      <c r="CU17" s="10" t="n">
        <f aca="false">CU4*Streams!$E$13/Streams!$E$15</f>
        <v>1.2</v>
      </c>
      <c r="CV17" s="10" t="n">
        <f aca="false">CV4*Streams!$E$13/Streams!$E$15</f>
        <v>1.2</v>
      </c>
      <c r="CW17" s="10" t="n">
        <f aca="false">CW4*Streams!$E$13/Streams!$E$15</f>
        <v>1.2</v>
      </c>
      <c r="CX17" s="10" t="n">
        <f aca="false">CX4*Streams!$E$13/Streams!$E$15</f>
        <v>1.2</v>
      </c>
      <c r="CY17" s="10" t="n">
        <f aca="false">CY4*Streams!$E$13/Streams!$E$15</f>
        <v>1.2</v>
      </c>
      <c r="CZ17" s="10" t="n">
        <f aca="false">CZ4*Streams!$E$13/Streams!$E$15</f>
        <v>1.2</v>
      </c>
      <c r="DA17" s="10" t="n">
        <f aca="false">DA4*Streams!$E$13/Streams!$E$15</f>
        <v>1.2</v>
      </c>
      <c r="DB17" s="10" t="n">
        <f aca="false">DB4*Streams!$E$13/Streams!$E$15</f>
        <v>1.2</v>
      </c>
      <c r="DC17" s="10" t="n">
        <f aca="false">DC4*Streams!$E$13/Streams!$E$15</f>
        <v>1.2</v>
      </c>
      <c r="DD17" s="10" t="n">
        <f aca="false">DD4*Streams!$E$13/Streams!$E$15</f>
        <v>1.2</v>
      </c>
      <c r="DE17" s="10" t="n">
        <f aca="false">DE4*Streams!$E$13/Streams!$E$15</f>
        <v>1.2</v>
      </c>
      <c r="DF17" s="10" t="n">
        <f aca="false">DF4*Streams!$E$13/Streams!$E$15</f>
        <v>1.2</v>
      </c>
      <c r="DG17" s="10" t="n">
        <f aca="false">DG4*Streams!$E$13/Streams!$E$15</f>
        <v>1.2</v>
      </c>
      <c r="DH17" s="10" t="n">
        <f aca="false">DH4*Streams!$E$13/Streams!$E$15</f>
        <v>1.2</v>
      </c>
      <c r="DI17" s="10" t="n">
        <f aca="false">DI4*Streams!$E$13/Streams!$E$15</f>
        <v>1.2</v>
      </c>
      <c r="DJ17" s="10" t="n">
        <f aca="false">DJ4*Streams!$E$13/Streams!$E$15</f>
        <v>1.2</v>
      </c>
      <c r="DK17" s="10" t="n">
        <f aca="false">DK4*Streams!$E$13/Streams!$E$15</f>
        <v>1.2</v>
      </c>
      <c r="DL17" s="10" t="n">
        <f aca="false">DL4*Streams!$E$13/Streams!$E$15</f>
        <v>1.2</v>
      </c>
      <c r="DM17" s="10" t="n">
        <f aca="false">DM4*Streams!$E$13/Streams!$E$15</f>
        <v>1.2</v>
      </c>
      <c r="DN17" s="10" t="n">
        <f aca="false">DN4*Streams!$E$13/Streams!$E$15</f>
        <v>1.2</v>
      </c>
      <c r="DO17" s="10" t="n">
        <f aca="false">DO4*Streams!$E$13/Streams!$E$15</f>
        <v>1.2</v>
      </c>
      <c r="DP17" s="10" t="n">
        <f aca="false">DP4*Streams!$E$13/Streams!$E$15</f>
        <v>1.2</v>
      </c>
      <c r="DQ17" s="10" t="n">
        <f aca="false">DQ4*Streams!$E$13/Streams!$E$15</f>
        <v>1.2</v>
      </c>
      <c r="DR17" s="10" t="n">
        <f aca="false">DR4*Streams!$E$13/Streams!$E$15</f>
        <v>1.2</v>
      </c>
    </row>
    <row r="18" customFormat="false" ht="15" hidden="false" customHeight="false" outlineLevel="0" collapsed="false">
      <c r="A18" s="9" t="s">
        <v>187</v>
      </c>
      <c r="B18" s="10" t="n">
        <f aca="false">B4*Streams!$E$14/Streams!$E$15</f>
        <v>0</v>
      </c>
      <c r="C18" s="10" t="n">
        <f aca="false">C4*Streams!$E$14/Streams!$E$15</f>
        <v>0</v>
      </c>
      <c r="D18" s="10" t="n">
        <f aca="false">D4*Streams!$E$14/Streams!$E$15</f>
        <v>0</v>
      </c>
      <c r="E18" s="10" t="n">
        <f aca="false">E4*Streams!$E$14/Streams!$E$15</f>
        <v>0</v>
      </c>
      <c r="F18" s="10" t="n">
        <f aca="false">F4*Streams!$E$14/Streams!$E$15</f>
        <v>0</v>
      </c>
      <c r="G18" s="10" t="n">
        <f aca="false">G4*Streams!$E$14/Streams!$E$15</f>
        <v>0</v>
      </c>
      <c r="H18" s="10" t="n">
        <f aca="false">H4*Streams!$E$14/Streams!$E$15</f>
        <v>0</v>
      </c>
      <c r="I18" s="10" t="n">
        <f aca="false">I4*Streams!$E$14/Streams!$E$15</f>
        <v>0</v>
      </c>
      <c r="J18" s="10" t="n">
        <f aca="false">J4*Streams!$E$14/Streams!$E$15</f>
        <v>0</v>
      </c>
      <c r="K18" s="10" t="n">
        <f aca="false">K4*Streams!$E$14/Streams!$E$15</f>
        <v>0.257142857142857</v>
      </c>
      <c r="L18" s="10" t="n">
        <f aca="false">L4*Streams!$E$14/Streams!$E$15</f>
        <v>0.257142857142857</v>
      </c>
      <c r="M18" s="10" t="n">
        <f aca="false">M4*Streams!$E$14/Streams!$E$15</f>
        <v>0.257142857142857</v>
      </c>
      <c r="N18" s="10" t="n">
        <f aca="false">N4*Streams!$E$14/Streams!$E$15</f>
        <v>0.428571428571429</v>
      </c>
      <c r="O18" s="10" t="n">
        <f aca="false">O4*Streams!$E$14/Streams!$E$15</f>
        <v>0.428571428571429</v>
      </c>
      <c r="P18" s="10" t="n">
        <f aca="false">P4*Streams!$E$14/Streams!$E$15</f>
        <v>0.428571428571429</v>
      </c>
      <c r="Q18" s="10" t="n">
        <f aca="false">Q4*Streams!$E$14/Streams!$E$15</f>
        <v>0.6</v>
      </c>
      <c r="R18" s="10" t="n">
        <f aca="false">R4*Streams!$E$14/Streams!$E$15</f>
        <v>0.6</v>
      </c>
      <c r="S18" s="10" t="n">
        <f aca="false">S4*Streams!$E$14/Streams!$E$15</f>
        <v>0.6</v>
      </c>
      <c r="T18" s="10" t="n">
        <f aca="false">T4*Streams!$E$14/Streams!$E$15</f>
        <v>0.6</v>
      </c>
      <c r="U18" s="10" t="n">
        <f aca="false">U4*Streams!$E$14/Streams!$E$15</f>
        <v>0.6</v>
      </c>
      <c r="V18" s="10" t="n">
        <f aca="false">V4*Streams!$E$14/Streams!$E$15</f>
        <v>0.6</v>
      </c>
      <c r="W18" s="10" t="n">
        <f aca="false">W4*Streams!$E$14/Streams!$E$15</f>
        <v>0.6</v>
      </c>
      <c r="X18" s="10" t="n">
        <f aca="false">X4*Streams!$E$14/Streams!$E$15</f>
        <v>0.6</v>
      </c>
      <c r="Y18" s="10" t="n">
        <f aca="false">Y4*Streams!$E$14/Streams!$E$15</f>
        <v>0.6</v>
      </c>
      <c r="Z18" s="10" t="n">
        <f aca="false">Z4*Streams!$E$14/Streams!$E$15</f>
        <v>0.6</v>
      </c>
      <c r="AA18" s="10" t="n">
        <f aca="false">AA4*Streams!$E$14/Streams!$E$15</f>
        <v>0.6</v>
      </c>
      <c r="AB18" s="10" t="n">
        <f aca="false">AB4*Streams!$E$14/Streams!$E$15</f>
        <v>0.6</v>
      </c>
      <c r="AC18" s="10" t="n">
        <f aca="false">AC4*Streams!$E$14/Streams!$E$15</f>
        <v>0.6</v>
      </c>
      <c r="AD18" s="10" t="n">
        <f aca="false">AD4*Streams!$E$14/Streams!$E$15</f>
        <v>0.6</v>
      </c>
      <c r="AE18" s="10" t="n">
        <f aca="false">AE4*Streams!$E$14/Streams!$E$15</f>
        <v>0.6</v>
      </c>
      <c r="AF18" s="10" t="n">
        <f aca="false">AF4*Streams!$E$14/Streams!$E$15</f>
        <v>0.6</v>
      </c>
      <c r="AG18" s="10" t="n">
        <f aca="false">AG4*Streams!$E$14/Streams!$E$15</f>
        <v>0.6</v>
      </c>
      <c r="AH18" s="10" t="n">
        <f aca="false">AH4*Streams!$E$14/Streams!$E$15</f>
        <v>0.6</v>
      </c>
      <c r="AI18" s="10" t="n">
        <f aca="false">AI4*Streams!$E$14/Streams!$E$15</f>
        <v>0.6</v>
      </c>
      <c r="AJ18" s="10" t="n">
        <f aca="false">AJ4*Streams!$E$14/Streams!$E$15</f>
        <v>0.6</v>
      </c>
      <c r="AK18" s="10" t="n">
        <f aca="false">AK4*Streams!$E$14/Streams!$E$15</f>
        <v>0.6</v>
      </c>
      <c r="AL18" s="10" t="n">
        <f aca="false">AL4*Streams!$E$14/Streams!$E$15</f>
        <v>0.6</v>
      </c>
      <c r="AM18" s="10" t="n">
        <f aca="false">AM4*Streams!$E$14/Streams!$E$15</f>
        <v>0.6</v>
      </c>
      <c r="AN18" s="10" t="n">
        <f aca="false">AN4*Streams!$E$14/Streams!$E$15</f>
        <v>0.6</v>
      </c>
      <c r="AO18" s="10" t="n">
        <f aca="false">AO4*Streams!$E$14/Streams!$E$15</f>
        <v>0.6</v>
      </c>
      <c r="AP18" s="10" t="n">
        <f aca="false">AP4*Streams!$E$14/Streams!$E$15</f>
        <v>0.6</v>
      </c>
      <c r="AQ18" s="10" t="n">
        <f aca="false">AQ4*Streams!$E$14/Streams!$E$15</f>
        <v>0.6</v>
      </c>
      <c r="AR18" s="10" t="n">
        <f aca="false">AR4*Streams!$E$14/Streams!$E$15</f>
        <v>0.6</v>
      </c>
      <c r="AS18" s="10" t="n">
        <f aca="false">AS4*Streams!$E$14/Streams!$E$15</f>
        <v>0.6</v>
      </c>
      <c r="AT18" s="10" t="n">
        <f aca="false">AT4*Streams!$E$14/Streams!$E$15</f>
        <v>0.6</v>
      </c>
      <c r="AU18" s="10" t="n">
        <f aca="false">AU4*Streams!$E$14/Streams!$E$15</f>
        <v>0.6</v>
      </c>
      <c r="AV18" s="10" t="n">
        <f aca="false">AV4*Streams!$E$14/Streams!$E$15</f>
        <v>0.6</v>
      </c>
      <c r="AW18" s="10" t="n">
        <f aca="false">AW4*Streams!$E$14/Streams!$E$15</f>
        <v>0.6</v>
      </c>
      <c r="AX18" s="10" t="n">
        <f aca="false">AX4*Streams!$E$14/Streams!$E$15</f>
        <v>0.6</v>
      </c>
      <c r="AY18" s="10" t="n">
        <f aca="false">AY4*Streams!$E$14/Streams!$E$15</f>
        <v>0.6</v>
      </c>
      <c r="AZ18" s="10" t="n">
        <f aca="false">AZ4*Streams!$E$14/Streams!$E$15</f>
        <v>0.6</v>
      </c>
      <c r="BA18" s="10" t="n">
        <f aca="false">BA4*Streams!$E$14/Streams!$E$15</f>
        <v>0.6</v>
      </c>
      <c r="BB18" s="10" t="n">
        <f aca="false">BB4*Streams!$E$14/Streams!$E$15</f>
        <v>0.6</v>
      </c>
      <c r="BC18" s="10" t="n">
        <f aca="false">BC4*Streams!$E$14/Streams!$E$15</f>
        <v>0.6</v>
      </c>
      <c r="BD18" s="10" t="n">
        <f aca="false">BD4*Streams!$E$14/Streams!$E$15</f>
        <v>0.6</v>
      </c>
      <c r="BE18" s="10" t="n">
        <f aca="false">BE4*Streams!$E$14/Streams!$E$15</f>
        <v>0.6</v>
      </c>
      <c r="BF18" s="10" t="n">
        <f aca="false">BF4*Streams!$E$14/Streams!$E$15</f>
        <v>0.6</v>
      </c>
      <c r="BG18" s="10" t="n">
        <f aca="false">BG4*Streams!$E$14/Streams!$E$15</f>
        <v>0.6</v>
      </c>
      <c r="BH18" s="10" t="n">
        <f aca="false">BH4*Streams!$E$14/Streams!$E$15</f>
        <v>0.6</v>
      </c>
      <c r="BI18" s="10" t="n">
        <f aca="false">BI4*Streams!$E$14/Streams!$E$15</f>
        <v>0.6</v>
      </c>
      <c r="BJ18" s="10" t="n">
        <f aca="false">BJ4*Streams!$E$14/Streams!$E$15</f>
        <v>0.6</v>
      </c>
      <c r="BK18" s="10" t="n">
        <f aca="false">BK4*Streams!$E$14/Streams!$E$15</f>
        <v>0.6</v>
      </c>
      <c r="BL18" s="10" t="n">
        <f aca="false">BL4*Streams!$E$14/Streams!$E$15</f>
        <v>0.6</v>
      </c>
      <c r="BM18" s="10" t="n">
        <f aca="false">BM4*Streams!$E$14/Streams!$E$15</f>
        <v>0.6</v>
      </c>
      <c r="BN18" s="10" t="n">
        <f aca="false">BN4*Streams!$E$14/Streams!$E$15</f>
        <v>0.6</v>
      </c>
      <c r="BO18" s="10" t="n">
        <f aca="false">BO4*Streams!$E$14/Streams!$E$15</f>
        <v>0.6</v>
      </c>
      <c r="BP18" s="10" t="n">
        <f aca="false">BP4*Streams!$E$14/Streams!$E$15</f>
        <v>0.6</v>
      </c>
      <c r="BQ18" s="10" t="n">
        <f aca="false">BQ4*Streams!$E$14/Streams!$E$15</f>
        <v>0.6</v>
      </c>
      <c r="BR18" s="10" t="n">
        <f aca="false">BR4*Streams!$E$14/Streams!$E$15</f>
        <v>0.6</v>
      </c>
      <c r="BS18" s="10" t="n">
        <f aca="false">BS4*Streams!$E$14/Streams!$E$15</f>
        <v>0.6</v>
      </c>
      <c r="BT18" s="10" t="n">
        <f aca="false">BT4*Streams!$E$14/Streams!$E$15</f>
        <v>0.6</v>
      </c>
      <c r="BU18" s="10" t="n">
        <f aca="false">BU4*Streams!$E$14/Streams!$E$15</f>
        <v>0.6</v>
      </c>
      <c r="BV18" s="10" t="n">
        <f aca="false">BV4*Streams!$E$14/Streams!$E$15</f>
        <v>0.6</v>
      </c>
      <c r="BW18" s="10" t="n">
        <f aca="false">BW4*Streams!$E$14/Streams!$E$15</f>
        <v>0.6</v>
      </c>
      <c r="BX18" s="10" t="n">
        <f aca="false">BX4*Streams!$E$14/Streams!$E$15</f>
        <v>0.6</v>
      </c>
      <c r="BY18" s="10" t="n">
        <f aca="false">BY4*Streams!$E$14/Streams!$E$15</f>
        <v>0.6</v>
      </c>
      <c r="BZ18" s="10" t="n">
        <f aca="false">BZ4*Streams!$E$14/Streams!$E$15</f>
        <v>0.6</v>
      </c>
      <c r="CA18" s="10" t="n">
        <f aca="false">CA4*Streams!$E$14/Streams!$E$15</f>
        <v>0.6</v>
      </c>
      <c r="CB18" s="10" t="n">
        <f aca="false">CB4*Streams!$E$14/Streams!$E$15</f>
        <v>0.6</v>
      </c>
      <c r="CC18" s="10" t="n">
        <f aca="false">CC4*Streams!$E$14/Streams!$E$15</f>
        <v>0.6</v>
      </c>
      <c r="CD18" s="10" t="n">
        <f aca="false">CD4*Streams!$E$14/Streams!$E$15</f>
        <v>0.6</v>
      </c>
      <c r="CE18" s="10" t="n">
        <f aca="false">CE4*Streams!$E$14/Streams!$E$15</f>
        <v>0.6</v>
      </c>
      <c r="CF18" s="10" t="n">
        <f aca="false">CF4*Streams!$E$14/Streams!$E$15</f>
        <v>0.6</v>
      </c>
      <c r="CG18" s="10" t="n">
        <f aca="false">CG4*Streams!$E$14/Streams!$E$15</f>
        <v>0.6</v>
      </c>
      <c r="CH18" s="10" t="n">
        <f aca="false">CH4*Streams!$E$14/Streams!$E$15</f>
        <v>0.6</v>
      </c>
      <c r="CI18" s="10" t="n">
        <f aca="false">CI4*Streams!$E$14/Streams!$E$15</f>
        <v>0.6</v>
      </c>
      <c r="CJ18" s="10" t="n">
        <f aca="false">CJ4*Streams!$E$14/Streams!$E$15</f>
        <v>0.6</v>
      </c>
      <c r="CK18" s="10" t="n">
        <f aca="false">CK4*Streams!$E$14/Streams!$E$15</f>
        <v>0.6</v>
      </c>
      <c r="CL18" s="10" t="n">
        <f aca="false">CL4*Streams!$E$14/Streams!$E$15</f>
        <v>0.6</v>
      </c>
      <c r="CM18" s="10" t="n">
        <f aca="false">CM4*Streams!$E$14/Streams!$E$15</f>
        <v>0.6</v>
      </c>
      <c r="CN18" s="10" t="n">
        <f aca="false">CN4*Streams!$E$14/Streams!$E$15</f>
        <v>0.6</v>
      </c>
      <c r="CO18" s="10" t="n">
        <f aca="false">CO4*Streams!$E$14/Streams!$E$15</f>
        <v>0.6</v>
      </c>
      <c r="CP18" s="10" t="n">
        <f aca="false">CP4*Streams!$E$14/Streams!$E$15</f>
        <v>0.6</v>
      </c>
      <c r="CQ18" s="10" t="n">
        <f aca="false">CQ4*Streams!$E$14/Streams!$E$15</f>
        <v>0.6</v>
      </c>
      <c r="CR18" s="10" t="n">
        <f aca="false">CR4*Streams!$E$14/Streams!$E$15</f>
        <v>0.6</v>
      </c>
      <c r="CS18" s="10" t="n">
        <f aca="false">CS4*Streams!$E$14/Streams!$E$15</f>
        <v>0.6</v>
      </c>
      <c r="CT18" s="10" t="n">
        <f aca="false">CT4*Streams!$E$14/Streams!$E$15</f>
        <v>0.6</v>
      </c>
      <c r="CU18" s="10" t="n">
        <f aca="false">CU4*Streams!$E$14/Streams!$E$15</f>
        <v>0.6</v>
      </c>
      <c r="CV18" s="10" t="n">
        <f aca="false">CV4*Streams!$E$14/Streams!$E$15</f>
        <v>0.6</v>
      </c>
      <c r="CW18" s="10" t="n">
        <f aca="false">CW4*Streams!$E$14/Streams!$E$15</f>
        <v>0.6</v>
      </c>
      <c r="CX18" s="10" t="n">
        <f aca="false">CX4*Streams!$E$14/Streams!$E$15</f>
        <v>0.6</v>
      </c>
      <c r="CY18" s="10" t="n">
        <f aca="false">CY4*Streams!$E$14/Streams!$E$15</f>
        <v>0.6</v>
      </c>
      <c r="CZ18" s="10" t="n">
        <f aca="false">CZ4*Streams!$E$14/Streams!$E$15</f>
        <v>0.6</v>
      </c>
      <c r="DA18" s="10" t="n">
        <f aca="false">DA4*Streams!$E$14/Streams!$E$15</f>
        <v>0.6</v>
      </c>
      <c r="DB18" s="10" t="n">
        <f aca="false">DB4*Streams!$E$14/Streams!$E$15</f>
        <v>0.6</v>
      </c>
      <c r="DC18" s="10" t="n">
        <f aca="false">DC4*Streams!$E$14/Streams!$E$15</f>
        <v>0.6</v>
      </c>
      <c r="DD18" s="10" t="n">
        <f aca="false">DD4*Streams!$E$14/Streams!$E$15</f>
        <v>0.6</v>
      </c>
      <c r="DE18" s="10" t="n">
        <f aca="false">DE4*Streams!$E$14/Streams!$E$15</f>
        <v>0.6</v>
      </c>
      <c r="DF18" s="10" t="n">
        <f aca="false">DF4*Streams!$E$14/Streams!$E$15</f>
        <v>0.6</v>
      </c>
      <c r="DG18" s="10" t="n">
        <f aca="false">DG4*Streams!$E$14/Streams!$E$15</f>
        <v>0.6</v>
      </c>
      <c r="DH18" s="10" t="n">
        <f aca="false">DH4*Streams!$E$14/Streams!$E$15</f>
        <v>0.6</v>
      </c>
      <c r="DI18" s="10" t="n">
        <f aca="false">DI4*Streams!$E$14/Streams!$E$15</f>
        <v>0.6</v>
      </c>
      <c r="DJ18" s="10" t="n">
        <f aca="false">DJ4*Streams!$E$14/Streams!$E$15</f>
        <v>0.6</v>
      </c>
      <c r="DK18" s="10" t="n">
        <f aca="false">DK4*Streams!$E$14/Streams!$E$15</f>
        <v>0.6</v>
      </c>
      <c r="DL18" s="10" t="n">
        <f aca="false">DL4*Streams!$E$14/Streams!$E$15</f>
        <v>0.6</v>
      </c>
      <c r="DM18" s="10" t="n">
        <f aca="false">DM4*Streams!$E$14/Streams!$E$15</f>
        <v>0.6</v>
      </c>
      <c r="DN18" s="10" t="n">
        <f aca="false">DN4*Streams!$E$14/Streams!$E$15</f>
        <v>0.6</v>
      </c>
      <c r="DO18" s="10" t="n">
        <f aca="false">DO4*Streams!$E$14/Streams!$E$15</f>
        <v>0.6</v>
      </c>
      <c r="DP18" s="10" t="n">
        <f aca="false">DP4*Streams!$E$14/Streams!$E$15</f>
        <v>0.6</v>
      </c>
      <c r="DQ18" s="10" t="n">
        <f aca="false">DQ4*Streams!$E$14/Streams!$E$15</f>
        <v>0.6</v>
      </c>
      <c r="DR18" s="10" t="n">
        <f aca="false">DR4*Streams!$E$14/Streams!$E$15</f>
        <v>0.6</v>
      </c>
    </row>
    <row r="19" customFormat="false" ht="15" hidden="false" customHeight="false" outlineLevel="0" collapsed="false">
      <c r="A19" s="12" t="s">
        <v>188</v>
      </c>
      <c r="B19" s="13" t="n">
        <f aca="false">SUM(B6:B18)</f>
        <v>0</v>
      </c>
      <c r="C19" s="13" t="n">
        <f aca="false">SUM(C6:C18)</f>
        <v>0</v>
      </c>
      <c r="D19" s="13" t="n">
        <f aca="false">SUM(D6:D18)</f>
        <v>0</v>
      </c>
      <c r="E19" s="13" t="n">
        <f aca="false">SUM(E6:E18)</f>
        <v>0</v>
      </c>
      <c r="F19" s="13" t="n">
        <f aca="false">SUM(F6:F18)</f>
        <v>0</v>
      </c>
      <c r="G19" s="13" t="n">
        <f aca="false">SUM(G6:G18)</f>
        <v>0</v>
      </c>
      <c r="H19" s="13" t="n">
        <f aca="false">SUM(H6:H18)</f>
        <v>0</v>
      </c>
      <c r="I19" s="13" t="n">
        <f aca="false">SUM(I6:I18)</f>
        <v>0</v>
      </c>
      <c r="J19" s="13" t="n">
        <f aca="false">SUM(J6:J18)</f>
        <v>0</v>
      </c>
      <c r="K19" s="13" t="n">
        <f aca="false">SUM(K6:K18)</f>
        <v>9</v>
      </c>
      <c r="L19" s="13" t="n">
        <f aca="false">SUM(L6:L18)</f>
        <v>9</v>
      </c>
      <c r="M19" s="13" t="n">
        <f aca="false">SUM(M6:M18)</f>
        <v>9</v>
      </c>
      <c r="N19" s="13" t="n">
        <f aca="false">SUM(N6:N18)</f>
        <v>15</v>
      </c>
      <c r="O19" s="13" t="n">
        <f aca="false">SUM(O6:O18)</f>
        <v>15</v>
      </c>
      <c r="P19" s="13" t="n">
        <f aca="false">SUM(P6:P18)</f>
        <v>15</v>
      </c>
      <c r="Q19" s="13" t="n">
        <f aca="false">SUM(Q6:Q18)</f>
        <v>21</v>
      </c>
      <c r="R19" s="13" t="n">
        <f aca="false">SUM(R6:R18)</f>
        <v>21</v>
      </c>
      <c r="S19" s="13" t="n">
        <f aca="false">SUM(S6:S18)</f>
        <v>21</v>
      </c>
      <c r="T19" s="13" t="n">
        <f aca="false">SUM(T6:T18)</f>
        <v>21</v>
      </c>
      <c r="U19" s="13" t="n">
        <f aca="false">SUM(U6:U18)</f>
        <v>21</v>
      </c>
      <c r="V19" s="13" t="n">
        <f aca="false">SUM(V6:V18)</f>
        <v>21</v>
      </c>
      <c r="W19" s="13" t="n">
        <f aca="false">SUM(W6:W18)</f>
        <v>21</v>
      </c>
      <c r="X19" s="13" t="n">
        <f aca="false">SUM(X6:X18)</f>
        <v>21</v>
      </c>
      <c r="Y19" s="13" t="n">
        <f aca="false">SUM(Y6:Y18)</f>
        <v>21</v>
      </c>
      <c r="Z19" s="13" t="n">
        <f aca="false">SUM(Z6:Z18)</f>
        <v>21</v>
      </c>
      <c r="AA19" s="13" t="n">
        <f aca="false">SUM(AA6:AA18)</f>
        <v>21</v>
      </c>
      <c r="AB19" s="13" t="n">
        <f aca="false">SUM(AB6:AB18)</f>
        <v>21</v>
      </c>
      <c r="AC19" s="13" t="n">
        <f aca="false">SUM(AC6:AC18)</f>
        <v>21</v>
      </c>
      <c r="AD19" s="13" t="n">
        <f aca="false">SUM(AD6:AD18)</f>
        <v>21</v>
      </c>
      <c r="AE19" s="13" t="n">
        <f aca="false">SUM(AE6:AE18)</f>
        <v>21</v>
      </c>
      <c r="AF19" s="13" t="n">
        <f aca="false">SUM(AF6:AF18)</f>
        <v>21</v>
      </c>
      <c r="AG19" s="13" t="n">
        <f aca="false">SUM(AG6:AG18)</f>
        <v>21</v>
      </c>
      <c r="AH19" s="13" t="n">
        <f aca="false">SUM(AH6:AH18)</f>
        <v>21</v>
      </c>
      <c r="AI19" s="13" t="n">
        <f aca="false">SUM(AI6:AI18)</f>
        <v>21</v>
      </c>
      <c r="AJ19" s="13" t="n">
        <f aca="false">SUM(AJ6:AJ18)</f>
        <v>21</v>
      </c>
      <c r="AK19" s="13" t="n">
        <f aca="false">SUM(AK6:AK18)</f>
        <v>21</v>
      </c>
      <c r="AL19" s="13" t="n">
        <f aca="false">SUM(AL6:AL18)</f>
        <v>21</v>
      </c>
      <c r="AM19" s="13" t="n">
        <f aca="false">SUM(AM6:AM18)</f>
        <v>21</v>
      </c>
      <c r="AN19" s="13" t="n">
        <f aca="false">SUM(AN6:AN18)</f>
        <v>21</v>
      </c>
      <c r="AO19" s="13" t="n">
        <f aca="false">SUM(AO6:AO18)</f>
        <v>21</v>
      </c>
      <c r="AP19" s="13" t="n">
        <f aca="false">SUM(AP6:AP18)</f>
        <v>21</v>
      </c>
      <c r="AQ19" s="13" t="n">
        <f aca="false">SUM(AQ6:AQ18)</f>
        <v>21</v>
      </c>
      <c r="AR19" s="13" t="n">
        <f aca="false">SUM(AR6:AR18)</f>
        <v>21</v>
      </c>
      <c r="AS19" s="13" t="n">
        <f aca="false">SUM(AS6:AS18)</f>
        <v>21</v>
      </c>
      <c r="AT19" s="13" t="n">
        <f aca="false">SUM(AT6:AT18)</f>
        <v>21</v>
      </c>
      <c r="AU19" s="13" t="n">
        <f aca="false">SUM(AU6:AU18)</f>
        <v>21</v>
      </c>
      <c r="AV19" s="13" t="n">
        <f aca="false">SUM(AV6:AV18)</f>
        <v>21</v>
      </c>
      <c r="AW19" s="13" t="n">
        <f aca="false">SUM(AW6:AW18)</f>
        <v>21</v>
      </c>
      <c r="AX19" s="13" t="n">
        <f aca="false">SUM(AX6:AX18)</f>
        <v>21</v>
      </c>
      <c r="AY19" s="13" t="n">
        <f aca="false">SUM(AY6:AY18)</f>
        <v>21</v>
      </c>
      <c r="AZ19" s="13" t="n">
        <f aca="false">SUM(AZ6:AZ18)</f>
        <v>21</v>
      </c>
      <c r="BA19" s="13" t="n">
        <f aca="false">SUM(BA6:BA18)</f>
        <v>21</v>
      </c>
      <c r="BB19" s="13" t="n">
        <f aca="false">SUM(BB6:BB18)</f>
        <v>21</v>
      </c>
      <c r="BC19" s="13" t="n">
        <f aca="false">SUM(BC6:BC18)</f>
        <v>21</v>
      </c>
      <c r="BD19" s="13" t="n">
        <f aca="false">SUM(BD6:BD18)</f>
        <v>21</v>
      </c>
      <c r="BE19" s="13" t="n">
        <f aca="false">SUM(BE6:BE18)</f>
        <v>21</v>
      </c>
      <c r="BF19" s="13" t="n">
        <f aca="false">SUM(BF6:BF18)</f>
        <v>21</v>
      </c>
      <c r="BG19" s="13" t="n">
        <f aca="false">SUM(BG6:BG18)</f>
        <v>21</v>
      </c>
      <c r="BH19" s="13" t="n">
        <f aca="false">SUM(BH6:BH18)</f>
        <v>21</v>
      </c>
      <c r="BI19" s="13" t="n">
        <f aca="false">SUM(BI6:BI18)</f>
        <v>21</v>
      </c>
      <c r="BJ19" s="13" t="n">
        <f aca="false">SUM(BJ6:BJ18)</f>
        <v>21</v>
      </c>
      <c r="BK19" s="13" t="n">
        <f aca="false">SUM(BK6:BK18)</f>
        <v>21</v>
      </c>
      <c r="BL19" s="13" t="n">
        <f aca="false">SUM(BL6:BL18)</f>
        <v>21</v>
      </c>
      <c r="BM19" s="13" t="n">
        <f aca="false">SUM(BM6:BM18)</f>
        <v>21</v>
      </c>
      <c r="BN19" s="13" t="n">
        <f aca="false">SUM(BN6:BN18)</f>
        <v>21</v>
      </c>
      <c r="BO19" s="13" t="n">
        <f aca="false">SUM(BO6:BO18)</f>
        <v>21</v>
      </c>
      <c r="BP19" s="13" t="n">
        <f aca="false">SUM(BP6:BP18)</f>
        <v>21</v>
      </c>
      <c r="BQ19" s="13" t="n">
        <f aca="false">SUM(BQ6:BQ18)</f>
        <v>21</v>
      </c>
      <c r="BR19" s="13" t="n">
        <f aca="false">SUM(BR6:BR18)</f>
        <v>21</v>
      </c>
      <c r="BS19" s="13" t="n">
        <f aca="false">SUM(BS6:BS18)</f>
        <v>21</v>
      </c>
      <c r="BT19" s="13" t="n">
        <f aca="false">SUM(BT6:BT18)</f>
        <v>21</v>
      </c>
      <c r="BU19" s="13" t="n">
        <f aca="false">SUM(BU6:BU18)</f>
        <v>21</v>
      </c>
      <c r="BV19" s="13" t="n">
        <f aca="false">SUM(BV6:BV18)</f>
        <v>21</v>
      </c>
      <c r="BW19" s="13" t="n">
        <f aca="false">SUM(BW6:BW18)</f>
        <v>21</v>
      </c>
      <c r="BX19" s="13" t="n">
        <f aca="false">SUM(BX6:BX18)</f>
        <v>21</v>
      </c>
      <c r="BY19" s="13" t="n">
        <f aca="false">SUM(BY6:BY18)</f>
        <v>21</v>
      </c>
      <c r="BZ19" s="13" t="n">
        <f aca="false">SUM(BZ6:BZ18)</f>
        <v>21</v>
      </c>
      <c r="CA19" s="13" t="n">
        <f aca="false">SUM(CA6:CA18)</f>
        <v>21</v>
      </c>
      <c r="CB19" s="13" t="n">
        <f aca="false">SUM(CB6:CB18)</f>
        <v>21</v>
      </c>
      <c r="CC19" s="13" t="n">
        <f aca="false">SUM(CC6:CC18)</f>
        <v>21</v>
      </c>
      <c r="CD19" s="13" t="n">
        <f aca="false">SUM(CD6:CD18)</f>
        <v>21</v>
      </c>
      <c r="CE19" s="13" t="n">
        <f aca="false">SUM(CE6:CE18)</f>
        <v>21</v>
      </c>
      <c r="CF19" s="13" t="n">
        <f aca="false">SUM(CF6:CF18)</f>
        <v>21</v>
      </c>
      <c r="CG19" s="13" t="n">
        <f aca="false">SUM(CG6:CG18)</f>
        <v>21</v>
      </c>
      <c r="CH19" s="13" t="n">
        <f aca="false">SUM(CH6:CH18)</f>
        <v>21</v>
      </c>
      <c r="CI19" s="13" t="n">
        <f aca="false">SUM(CI6:CI18)</f>
        <v>21</v>
      </c>
      <c r="CJ19" s="13" t="n">
        <f aca="false">SUM(CJ6:CJ18)</f>
        <v>21</v>
      </c>
      <c r="CK19" s="13" t="n">
        <f aca="false">SUM(CK6:CK18)</f>
        <v>21</v>
      </c>
      <c r="CL19" s="13" t="n">
        <f aca="false">SUM(CL6:CL18)</f>
        <v>21</v>
      </c>
      <c r="CM19" s="13" t="n">
        <f aca="false">SUM(CM6:CM18)</f>
        <v>21</v>
      </c>
      <c r="CN19" s="13" t="n">
        <f aca="false">SUM(CN6:CN18)</f>
        <v>21</v>
      </c>
      <c r="CO19" s="13" t="n">
        <f aca="false">SUM(CO6:CO18)</f>
        <v>21</v>
      </c>
      <c r="CP19" s="13" t="n">
        <f aca="false">SUM(CP6:CP18)</f>
        <v>21</v>
      </c>
      <c r="CQ19" s="13" t="n">
        <f aca="false">SUM(CQ6:CQ18)</f>
        <v>21</v>
      </c>
      <c r="CR19" s="13" t="n">
        <f aca="false">SUM(CR6:CR18)</f>
        <v>21</v>
      </c>
      <c r="CS19" s="13" t="n">
        <f aca="false">SUM(CS6:CS18)</f>
        <v>21</v>
      </c>
      <c r="CT19" s="13" t="n">
        <f aca="false">SUM(CT6:CT18)</f>
        <v>21</v>
      </c>
      <c r="CU19" s="13" t="n">
        <f aca="false">SUM(CU6:CU18)</f>
        <v>21</v>
      </c>
      <c r="CV19" s="13" t="n">
        <f aca="false">SUM(CV6:CV18)</f>
        <v>21</v>
      </c>
      <c r="CW19" s="13" t="n">
        <f aca="false">SUM(CW6:CW18)</f>
        <v>21</v>
      </c>
      <c r="CX19" s="13" t="n">
        <f aca="false">SUM(CX6:CX18)</f>
        <v>21</v>
      </c>
      <c r="CY19" s="13" t="n">
        <f aca="false">SUM(CY6:CY18)</f>
        <v>21</v>
      </c>
      <c r="CZ19" s="13" t="n">
        <f aca="false">SUM(CZ6:CZ18)</f>
        <v>21</v>
      </c>
      <c r="DA19" s="13" t="n">
        <f aca="false">SUM(DA6:DA18)</f>
        <v>21</v>
      </c>
      <c r="DB19" s="13" t="n">
        <f aca="false">SUM(DB6:DB18)</f>
        <v>21</v>
      </c>
      <c r="DC19" s="13" t="n">
        <f aca="false">SUM(DC6:DC18)</f>
        <v>21</v>
      </c>
      <c r="DD19" s="13" t="n">
        <f aca="false">SUM(DD6:DD18)</f>
        <v>21</v>
      </c>
      <c r="DE19" s="13" t="n">
        <f aca="false">SUM(DE6:DE18)</f>
        <v>21</v>
      </c>
      <c r="DF19" s="13" t="n">
        <f aca="false">SUM(DF6:DF18)</f>
        <v>21</v>
      </c>
      <c r="DG19" s="13" t="n">
        <f aca="false">SUM(DG6:DG18)</f>
        <v>21</v>
      </c>
      <c r="DH19" s="13" t="n">
        <f aca="false">SUM(DH6:DH18)</f>
        <v>21</v>
      </c>
      <c r="DI19" s="13" t="n">
        <f aca="false">SUM(DI6:DI18)</f>
        <v>21</v>
      </c>
      <c r="DJ19" s="13" t="n">
        <f aca="false">SUM(DJ6:DJ18)</f>
        <v>21</v>
      </c>
      <c r="DK19" s="13" t="n">
        <f aca="false">SUM(DK6:DK18)</f>
        <v>21</v>
      </c>
      <c r="DL19" s="13" t="n">
        <f aca="false">SUM(DL6:DL18)</f>
        <v>21</v>
      </c>
      <c r="DM19" s="13" t="n">
        <f aca="false">SUM(DM6:DM18)</f>
        <v>21</v>
      </c>
      <c r="DN19" s="13" t="n">
        <f aca="false">SUM(DN6:DN18)</f>
        <v>21</v>
      </c>
      <c r="DO19" s="13" t="n">
        <f aca="false">SUM(DO6:DO18)</f>
        <v>21</v>
      </c>
      <c r="DP19" s="13" t="n">
        <f aca="false">SUM(DP6:DP18)</f>
        <v>21</v>
      </c>
      <c r="DQ19" s="13" t="n">
        <f aca="false">SUM(DQ6:DQ18)</f>
        <v>21</v>
      </c>
      <c r="DR19" s="13" t="n">
        <f aca="false">SUM(DR6:DR18)</f>
        <v>21</v>
      </c>
    </row>
    <row r="20" customFormat="false" ht="15" hidden="false" customHeight="false" outlineLevel="0" collapsed="false">
      <c r="A20" s="9" t="s">
        <v>189</v>
      </c>
      <c r="B20" s="10" t="n">
        <f aca="false">B19*Inputs!$B$16/Inputs!$B$18</f>
        <v>0</v>
      </c>
      <c r="C20" s="10" t="n">
        <f aca="false">C19*Inputs!$B$16/Inputs!$B$18</f>
        <v>0</v>
      </c>
      <c r="D20" s="10" t="n">
        <f aca="false">D19*Inputs!$B$16/Inputs!$B$18</f>
        <v>0</v>
      </c>
      <c r="E20" s="10" t="n">
        <f aca="false">E19*Inputs!$B$16/Inputs!$B$18</f>
        <v>0</v>
      </c>
      <c r="F20" s="10" t="n">
        <f aca="false">F19*Inputs!$B$16/Inputs!$B$18</f>
        <v>0</v>
      </c>
      <c r="G20" s="10" t="n">
        <f aca="false">G19*Inputs!$B$16/Inputs!$B$18</f>
        <v>0</v>
      </c>
      <c r="H20" s="10" t="n">
        <f aca="false">H19*Inputs!$B$16/Inputs!$B$18</f>
        <v>0</v>
      </c>
      <c r="I20" s="10" t="n">
        <f aca="false">I19*Inputs!$B$16/Inputs!$B$18</f>
        <v>0</v>
      </c>
      <c r="J20" s="10" t="n">
        <f aca="false">J19*Inputs!$B$16/Inputs!$B$18</f>
        <v>0</v>
      </c>
      <c r="K20" s="10" t="n">
        <f aca="false">K19*Inputs!$B$16/Inputs!$B$18</f>
        <v>0</v>
      </c>
      <c r="L20" s="10" t="n">
        <f aca="false">L19*Inputs!$B$16/Inputs!$B$18</f>
        <v>0</v>
      </c>
      <c r="M20" s="10" t="n">
        <f aca="false">M19*Inputs!$B$16/Inputs!$B$18</f>
        <v>0</v>
      </c>
      <c r="N20" s="10" t="n">
        <f aca="false">N19*Inputs!$B$16/Inputs!$B$18</f>
        <v>0</v>
      </c>
      <c r="O20" s="10" t="n">
        <f aca="false">O19*Inputs!$B$16/Inputs!$B$18</f>
        <v>0</v>
      </c>
      <c r="P20" s="10" t="n">
        <f aca="false">P19*Inputs!$B$16/Inputs!$B$18</f>
        <v>0</v>
      </c>
      <c r="Q20" s="10" t="n">
        <f aca="false">Q19*Inputs!$B$16/Inputs!$B$18</f>
        <v>0</v>
      </c>
      <c r="R20" s="10" t="n">
        <f aca="false">R19*Inputs!$B$16/Inputs!$B$18</f>
        <v>0</v>
      </c>
      <c r="S20" s="10" t="n">
        <f aca="false">S19*Inputs!$B$16/Inputs!$B$18</f>
        <v>0</v>
      </c>
      <c r="T20" s="10" t="n">
        <f aca="false">T19*Inputs!$B$16/Inputs!$B$18</f>
        <v>0</v>
      </c>
      <c r="U20" s="10" t="n">
        <f aca="false">U19*Inputs!$B$16/Inputs!$B$18</f>
        <v>0</v>
      </c>
      <c r="V20" s="10" t="n">
        <f aca="false">V19*Inputs!$B$16/Inputs!$B$18</f>
        <v>0</v>
      </c>
      <c r="W20" s="10" t="n">
        <f aca="false">W19*Inputs!$B$16/Inputs!$B$18</f>
        <v>0</v>
      </c>
      <c r="X20" s="10" t="n">
        <f aca="false">X19*Inputs!$B$16/Inputs!$B$18</f>
        <v>0</v>
      </c>
      <c r="Y20" s="10" t="n">
        <f aca="false">Y19*Inputs!$B$16/Inputs!$B$18</f>
        <v>0</v>
      </c>
      <c r="Z20" s="10" t="n">
        <f aca="false">Z19*Inputs!$B$16/Inputs!$B$18</f>
        <v>0</v>
      </c>
      <c r="AA20" s="10" t="n">
        <f aca="false">AA19*Inputs!$B$16/Inputs!$B$18</f>
        <v>0</v>
      </c>
      <c r="AB20" s="10" t="n">
        <f aca="false">AB19*Inputs!$B$16/Inputs!$B$18</f>
        <v>0</v>
      </c>
      <c r="AC20" s="10" t="n">
        <f aca="false">AC19*Inputs!$B$16/Inputs!$B$18</f>
        <v>0</v>
      </c>
      <c r="AD20" s="10" t="n">
        <f aca="false">AD19*Inputs!$B$16/Inputs!$B$18</f>
        <v>0</v>
      </c>
      <c r="AE20" s="10" t="n">
        <f aca="false">AE19*Inputs!$B$16/Inputs!$B$18</f>
        <v>0</v>
      </c>
      <c r="AF20" s="10" t="n">
        <f aca="false">AF19*Inputs!$B$16/Inputs!$B$18</f>
        <v>0</v>
      </c>
      <c r="AG20" s="10" t="n">
        <f aca="false">AG19*Inputs!$B$16/Inputs!$B$18</f>
        <v>0</v>
      </c>
      <c r="AH20" s="10" t="n">
        <f aca="false">AH19*Inputs!$B$16/Inputs!$B$18</f>
        <v>0</v>
      </c>
      <c r="AI20" s="10" t="n">
        <f aca="false">AI19*Inputs!$B$16/Inputs!$B$18</f>
        <v>0</v>
      </c>
      <c r="AJ20" s="10" t="n">
        <f aca="false">AJ19*Inputs!$B$16/Inputs!$B$18</f>
        <v>0</v>
      </c>
      <c r="AK20" s="10" t="n">
        <f aca="false">AK19*Inputs!$B$16/Inputs!$B$18</f>
        <v>0</v>
      </c>
      <c r="AL20" s="10" t="n">
        <f aca="false">AL19*Inputs!$B$16/Inputs!$B$18</f>
        <v>0</v>
      </c>
      <c r="AM20" s="10" t="n">
        <f aca="false">AM19*Inputs!$B$16/Inputs!$B$18</f>
        <v>0</v>
      </c>
      <c r="AN20" s="10" t="n">
        <f aca="false">AN19*Inputs!$B$16/Inputs!$B$18</f>
        <v>0</v>
      </c>
      <c r="AO20" s="10" t="n">
        <f aca="false">AO19*Inputs!$B$16/Inputs!$B$18</f>
        <v>0</v>
      </c>
      <c r="AP20" s="10" t="n">
        <f aca="false">AP19*Inputs!$B$16/Inputs!$B$18</f>
        <v>0</v>
      </c>
      <c r="AQ20" s="10" t="n">
        <f aca="false">AQ19*Inputs!$B$16/Inputs!$B$18</f>
        <v>0</v>
      </c>
      <c r="AR20" s="10" t="n">
        <f aca="false">AR19*Inputs!$B$16/Inputs!$B$18</f>
        <v>0</v>
      </c>
      <c r="AS20" s="10" t="n">
        <f aca="false">AS19*Inputs!$B$16/Inputs!$B$18</f>
        <v>0</v>
      </c>
      <c r="AT20" s="10" t="n">
        <f aca="false">AT19*Inputs!$B$16/Inputs!$B$18</f>
        <v>0</v>
      </c>
      <c r="AU20" s="10" t="n">
        <f aca="false">AU19*Inputs!$B$16/Inputs!$B$18</f>
        <v>0</v>
      </c>
      <c r="AV20" s="10" t="n">
        <f aca="false">AV19*Inputs!$B$16/Inputs!$B$18</f>
        <v>0</v>
      </c>
      <c r="AW20" s="10" t="n">
        <f aca="false">AW19*Inputs!$B$16/Inputs!$B$18</f>
        <v>0</v>
      </c>
      <c r="AX20" s="10" t="n">
        <f aca="false">AX19*Inputs!$B$16/Inputs!$B$18</f>
        <v>0</v>
      </c>
      <c r="AY20" s="10" t="n">
        <f aca="false">AY19*Inputs!$B$16/Inputs!$B$18</f>
        <v>0</v>
      </c>
      <c r="AZ20" s="10" t="n">
        <f aca="false">AZ19*Inputs!$B$16/Inputs!$B$18</f>
        <v>0</v>
      </c>
      <c r="BA20" s="10" t="n">
        <f aca="false">BA19*Inputs!$B$16/Inputs!$B$18</f>
        <v>0</v>
      </c>
      <c r="BB20" s="10" t="n">
        <f aca="false">BB19*Inputs!$B$16/Inputs!$B$18</f>
        <v>0</v>
      </c>
      <c r="BC20" s="10" t="n">
        <f aca="false">BC19*Inputs!$B$16/Inputs!$B$18</f>
        <v>0</v>
      </c>
      <c r="BD20" s="10" t="n">
        <f aca="false">BD19*Inputs!$B$16/Inputs!$B$18</f>
        <v>0</v>
      </c>
      <c r="BE20" s="10" t="n">
        <f aca="false">BE19*Inputs!$B$16/Inputs!$B$18</f>
        <v>0</v>
      </c>
      <c r="BF20" s="10" t="n">
        <f aca="false">BF19*Inputs!$B$16/Inputs!$B$18</f>
        <v>0</v>
      </c>
      <c r="BG20" s="10" t="n">
        <f aca="false">BG19*Inputs!$B$16/Inputs!$B$18</f>
        <v>0</v>
      </c>
      <c r="BH20" s="10" t="n">
        <f aca="false">BH19*Inputs!$B$16/Inputs!$B$18</f>
        <v>0</v>
      </c>
      <c r="BI20" s="10" t="n">
        <f aca="false">BI19*Inputs!$B$16/Inputs!$B$18</f>
        <v>0</v>
      </c>
      <c r="BJ20" s="10" t="n">
        <f aca="false">BJ19*Inputs!$B$16/Inputs!$B$18</f>
        <v>0</v>
      </c>
      <c r="BK20" s="10" t="n">
        <f aca="false">BK19*Inputs!$B$16/Inputs!$B$18</f>
        <v>0</v>
      </c>
      <c r="BL20" s="10" t="n">
        <f aca="false">BL19*Inputs!$B$16/Inputs!$B$18</f>
        <v>0</v>
      </c>
      <c r="BM20" s="10" t="n">
        <f aca="false">BM19*Inputs!$B$16/Inputs!$B$18</f>
        <v>0</v>
      </c>
      <c r="BN20" s="10" t="n">
        <f aca="false">BN19*Inputs!$B$16/Inputs!$B$18</f>
        <v>0</v>
      </c>
      <c r="BO20" s="10" t="n">
        <f aca="false">BO19*Inputs!$B$16/Inputs!$B$18</f>
        <v>0</v>
      </c>
      <c r="BP20" s="10" t="n">
        <f aca="false">BP19*Inputs!$B$16/Inputs!$B$18</f>
        <v>0</v>
      </c>
      <c r="BQ20" s="10" t="n">
        <f aca="false">BQ19*Inputs!$B$16/Inputs!$B$18</f>
        <v>0</v>
      </c>
      <c r="BR20" s="10" t="n">
        <f aca="false">BR19*Inputs!$B$16/Inputs!$B$18</f>
        <v>0</v>
      </c>
      <c r="BS20" s="10" t="n">
        <f aca="false">BS19*Inputs!$B$16/Inputs!$B$18</f>
        <v>0</v>
      </c>
      <c r="BT20" s="10" t="n">
        <f aca="false">BT19*Inputs!$B$16/Inputs!$B$18</f>
        <v>0</v>
      </c>
      <c r="BU20" s="10" t="n">
        <f aca="false">BU19*Inputs!$B$16/Inputs!$B$18</f>
        <v>0</v>
      </c>
      <c r="BV20" s="10" t="n">
        <f aca="false">BV19*Inputs!$B$16/Inputs!$B$18</f>
        <v>0</v>
      </c>
      <c r="BW20" s="10" t="n">
        <f aca="false">BW19*Inputs!$B$16/Inputs!$B$18</f>
        <v>0</v>
      </c>
      <c r="BX20" s="10" t="n">
        <f aca="false">BX19*Inputs!$B$16/Inputs!$B$18</f>
        <v>0</v>
      </c>
      <c r="BY20" s="10" t="n">
        <f aca="false">BY19*Inputs!$B$16/Inputs!$B$18</f>
        <v>0</v>
      </c>
      <c r="BZ20" s="10" t="n">
        <f aca="false">BZ19*Inputs!$B$16/Inputs!$B$18</f>
        <v>0</v>
      </c>
      <c r="CA20" s="10" t="n">
        <f aca="false">CA19*Inputs!$B$16/Inputs!$B$18</f>
        <v>0</v>
      </c>
      <c r="CB20" s="10" t="n">
        <f aca="false">CB19*Inputs!$B$16/Inputs!$B$18</f>
        <v>0</v>
      </c>
      <c r="CC20" s="10" t="n">
        <f aca="false">CC19*Inputs!$B$16/Inputs!$B$18</f>
        <v>0</v>
      </c>
      <c r="CD20" s="10" t="n">
        <f aca="false">CD19*Inputs!$B$16/Inputs!$B$18</f>
        <v>0</v>
      </c>
      <c r="CE20" s="10" t="n">
        <f aca="false">CE19*Inputs!$B$16/Inputs!$B$18</f>
        <v>0</v>
      </c>
      <c r="CF20" s="10" t="n">
        <f aca="false">CF19*Inputs!$B$16/Inputs!$B$18</f>
        <v>0</v>
      </c>
      <c r="CG20" s="10" t="n">
        <f aca="false">CG19*Inputs!$B$16/Inputs!$B$18</f>
        <v>0</v>
      </c>
      <c r="CH20" s="10" t="n">
        <f aca="false">CH19*Inputs!$B$16/Inputs!$B$18</f>
        <v>0</v>
      </c>
      <c r="CI20" s="10" t="n">
        <f aca="false">CI19*Inputs!$B$16/Inputs!$B$18</f>
        <v>0</v>
      </c>
      <c r="CJ20" s="10" t="n">
        <f aca="false">CJ19*Inputs!$B$16/Inputs!$B$18</f>
        <v>0</v>
      </c>
      <c r="CK20" s="10" t="n">
        <f aca="false">CK19*Inputs!$B$16/Inputs!$B$18</f>
        <v>0</v>
      </c>
      <c r="CL20" s="10" t="n">
        <f aca="false">CL19*Inputs!$B$16/Inputs!$B$18</f>
        <v>0</v>
      </c>
      <c r="CM20" s="10" t="n">
        <f aca="false">CM19*Inputs!$B$16/Inputs!$B$18</f>
        <v>0</v>
      </c>
      <c r="CN20" s="10" t="n">
        <f aca="false">CN19*Inputs!$B$16/Inputs!$B$18</f>
        <v>0</v>
      </c>
      <c r="CO20" s="10" t="n">
        <f aca="false">CO19*Inputs!$B$16/Inputs!$B$18</f>
        <v>0</v>
      </c>
      <c r="CP20" s="10" t="n">
        <f aca="false">CP19*Inputs!$B$16/Inputs!$B$18</f>
        <v>0</v>
      </c>
      <c r="CQ20" s="10" t="n">
        <f aca="false">CQ19*Inputs!$B$16/Inputs!$B$18</f>
        <v>0</v>
      </c>
      <c r="CR20" s="10" t="n">
        <f aca="false">CR19*Inputs!$B$16/Inputs!$B$18</f>
        <v>0</v>
      </c>
      <c r="CS20" s="10" t="n">
        <f aca="false">CS19*Inputs!$B$16/Inputs!$B$18</f>
        <v>0</v>
      </c>
      <c r="CT20" s="10" t="n">
        <f aca="false">CT19*Inputs!$B$16/Inputs!$B$18</f>
        <v>0</v>
      </c>
      <c r="CU20" s="10" t="n">
        <f aca="false">CU19*Inputs!$B$16/Inputs!$B$18</f>
        <v>0</v>
      </c>
      <c r="CV20" s="10" t="n">
        <f aca="false">CV19*Inputs!$B$16/Inputs!$B$18</f>
        <v>0</v>
      </c>
      <c r="CW20" s="10" t="n">
        <f aca="false">CW19*Inputs!$B$16/Inputs!$B$18</f>
        <v>0</v>
      </c>
      <c r="CX20" s="10" t="n">
        <f aca="false">CX19*Inputs!$B$16/Inputs!$B$18</f>
        <v>0</v>
      </c>
      <c r="CY20" s="10" t="n">
        <f aca="false">CY19*Inputs!$B$16/Inputs!$B$18</f>
        <v>0</v>
      </c>
      <c r="CZ20" s="10" t="n">
        <f aca="false">CZ19*Inputs!$B$16/Inputs!$B$18</f>
        <v>0</v>
      </c>
      <c r="DA20" s="10" t="n">
        <f aca="false">DA19*Inputs!$B$16/Inputs!$B$18</f>
        <v>0</v>
      </c>
      <c r="DB20" s="10" t="n">
        <f aca="false">DB19*Inputs!$B$16/Inputs!$B$18</f>
        <v>0</v>
      </c>
      <c r="DC20" s="10" t="n">
        <f aca="false">DC19*Inputs!$B$16/Inputs!$B$18</f>
        <v>0</v>
      </c>
      <c r="DD20" s="10" t="n">
        <f aca="false">DD19*Inputs!$B$16/Inputs!$B$18</f>
        <v>0</v>
      </c>
      <c r="DE20" s="10" t="n">
        <f aca="false">DE19*Inputs!$B$16/Inputs!$B$18</f>
        <v>0</v>
      </c>
      <c r="DF20" s="10" t="n">
        <f aca="false">DF19*Inputs!$B$16/Inputs!$B$18</f>
        <v>0</v>
      </c>
      <c r="DG20" s="10" t="n">
        <f aca="false">DG19*Inputs!$B$16/Inputs!$B$18</f>
        <v>0</v>
      </c>
      <c r="DH20" s="10" t="n">
        <f aca="false">DH19*Inputs!$B$16/Inputs!$B$18</f>
        <v>0</v>
      </c>
      <c r="DI20" s="10" t="n">
        <f aca="false">DI19*Inputs!$B$16/Inputs!$B$18</f>
        <v>0</v>
      </c>
      <c r="DJ20" s="10" t="n">
        <f aca="false">DJ19*Inputs!$B$16/Inputs!$B$18</f>
        <v>0</v>
      </c>
      <c r="DK20" s="10" t="n">
        <f aca="false">DK19*Inputs!$B$16/Inputs!$B$18</f>
        <v>0</v>
      </c>
      <c r="DL20" s="10" t="n">
        <f aca="false">DL19*Inputs!$B$16/Inputs!$B$18</f>
        <v>0</v>
      </c>
      <c r="DM20" s="10" t="n">
        <f aca="false">DM19*Inputs!$B$16/Inputs!$B$18</f>
        <v>0</v>
      </c>
      <c r="DN20" s="10" t="n">
        <f aca="false">DN19*Inputs!$B$16/Inputs!$B$18</f>
        <v>0</v>
      </c>
      <c r="DO20" s="10" t="n">
        <f aca="false">DO19*Inputs!$B$16/Inputs!$B$18</f>
        <v>0</v>
      </c>
      <c r="DP20" s="10" t="n">
        <f aca="false">DP19*Inputs!$B$16/Inputs!$B$18</f>
        <v>0</v>
      </c>
      <c r="DQ20" s="10" t="n">
        <f aca="false">DQ19*Inputs!$B$16/Inputs!$B$18</f>
        <v>0</v>
      </c>
      <c r="DR20" s="10" t="n">
        <f aca="false">DR19*Inputs!$B$16/Inputs!$B$18</f>
        <v>0</v>
      </c>
    </row>
    <row r="21" customFormat="false" ht="15" hidden="false" customHeight="false" outlineLevel="0" collapsed="false">
      <c r="A21" s="9" t="s">
        <v>190</v>
      </c>
      <c r="B21" s="10" t="n">
        <f aca="false">B20-Inputs!$B$34</f>
        <v>0</v>
      </c>
      <c r="C21" s="11" t="n">
        <f aca="false">C20-B20</f>
        <v>0</v>
      </c>
      <c r="D21" s="11" t="n">
        <f aca="false">D20-C20</f>
        <v>0</v>
      </c>
      <c r="E21" s="11" t="n">
        <f aca="false">E20-D20</f>
        <v>0</v>
      </c>
      <c r="F21" s="11" t="n">
        <f aca="false">F20-E20</f>
        <v>0</v>
      </c>
      <c r="G21" s="11" t="n">
        <f aca="false">G20-F20</f>
        <v>0</v>
      </c>
      <c r="H21" s="11" t="n">
        <f aca="false">H20-G20</f>
        <v>0</v>
      </c>
      <c r="I21" s="11" t="n">
        <f aca="false">I20-H20</f>
        <v>0</v>
      </c>
      <c r="J21" s="11" t="n">
        <f aca="false">J20-I20</f>
        <v>0</v>
      </c>
      <c r="K21" s="11" t="n">
        <f aca="false">K20-J20</f>
        <v>0</v>
      </c>
      <c r="L21" s="11" t="n">
        <f aca="false">L20-K20</f>
        <v>0</v>
      </c>
      <c r="M21" s="11" t="n">
        <f aca="false">M20-L20</f>
        <v>0</v>
      </c>
      <c r="N21" s="11" t="n">
        <f aca="false">N20-M20</f>
        <v>0</v>
      </c>
      <c r="O21" s="11" t="n">
        <f aca="false">O20-N20</f>
        <v>0</v>
      </c>
      <c r="P21" s="11" t="n">
        <f aca="false">P20-O20</f>
        <v>0</v>
      </c>
      <c r="Q21" s="11" t="n">
        <f aca="false">Q20-P20</f>
        <v>0</v>
      </c>
      <c r="R21" s="11" t="n">
        <f aca="false">R20-Q20</f>
        <v>0</v>
      </c>
      <c r="S21" s="11" t="n">
        <f aca="false">S20-R20</f>
        <v>0</v>
      </c>
      <c r="T21" s="11" t="n">
        <f aca="false">T20-S20</f>
        <v>0</v>
      </c>
      <c r="U21" s="11" t="n">
        <f aca="false">U20-T20</f>
        <v>0</v>
      </c>
      <c r="V21" s="11" t="n">
        <f aca="false">V20-U20</f>
        <v>0</v>
      </c>
      <c r="W21" s="11" t="n">
        <f aca="false">W20-V20</f>
        <v>0</v>
      </c>
      <c r="X21" s="11" t="n">
        <f aca="false">X20-W20</f>
        <v>0</v>
      </c>
      <c r="Y21" s="11" t="n">
        <f aca="false">Y20-X20</f>
        <v>0</v>
      </c>
      <c r="Z21" s="11" t="n">
        <f aca="false">Z20-Y20</f>
        <v>0</v>
      </c>
      <c r="AA21" s="11" t="n">
        <f aca="false">AA20-Z20</f>
        <v>0</v>
      </c>
      <c r="AB21" s="11" t="n">
        <f aca="false">AB20-AA20</f>
        <v>0</v>
      </c>
      <c r="AC21" s="11" t="n">
        <f aca="false">AC20-AB20</f>
        <v>0</v>
      </c>
      <c r="AD21" s="11" t="n">
        <f aca="false">AD20-AC20</f>
        <v>0</v>
      </c>
      <c r="AE21" s="11" t="n">
        <f aca="false">AE20-AD20</f>
        <v>0</v>
      </c>
      <c r="AF21" s="11" t="n">
        <f aca="false">AF20-AE20</f>
        <v>0</v>
      </c>
      <c r="AG21" s="11" t="n">
        <f aca="false">AG20-AF20</f>
        <v>0</v>
      </c>
      <c r="AH21" s="11" t="n">
        <f aca="false">AH20-AG20</f>
        <v>0</v>
      </c>
      <c r="AI21" s="11" t="n">
        <f aca="false">AI20-AH20</f>
        <v>0</v>
      </c>
      <c r="AJ21" s="11" t="n">
        <f aca="false">AJ20-AI20</f>
        <v>0</v>
      </c>
      <c r="AK21" s="11" t="n">
        <f aca="false">AK20-AJ20</f>
        <v>0</v>
      </c>
      <c r="AL21" s="11" t="n">
        <f aca="false">AL20-AK20</f>
        <v>0</v>
      </c>
      <c r="AM21" s="11" t="n">
        <f aca="false">AM20-AL20</f>
        <v>0</v>
      </c>
      <c r="AN21" s="11" t="n">
        <f aca="false">AN20-AM20</f>
        <v>0</v>
      </c>
      <c r="AO21" s="11" t="n">
        <f aca="false">AO20-AN20</f>
        <v>0</v>
      </c>
      <c r="AP21" s="11" t="n">
        <f aca="false">AP20-AO20</f>
        <v>0</v>
      </c>
      <c r="AQ21" s="11" t="n">
        <f aca="false">AQ20-AP20</f>
        <v>0</v>
      </c>
      <c r="AR21" s="11" t="n">
        <f aca="false">AR20-AQ20</f>
        <v>0</v>
      </c>
      <c r="AS21" s="11" t="n">
        <f aca="false">AS20-AR20</f>
        <v>0</v>
      </c>
      <c r="AT21" s="11" t="n">
        <f aca="false">AT20-AS20</f>
        <v>0</v>
      </c>
      <c r="AU21" s="11" t="n">
        <f aca="false">AU20-AT20</f>
        <v>0</v>
      </c>
      <c r="AV21" s="11" t="n">
        <f aca="false">AV20-AU20</f>
        <v>0</v>
      </c>
      <c r="AW21" s="11" t="n">
        <f aca="false">AW20-AV20</f>
        <v>0</v>
      </c>
      <c r="AX21" s="11" t="n">
        <f aca="false">AX20-AW20</f>
        <v>0</v>
      </c>
      <c r="AY21" s="11" t="n">
        <f aca="false">AY20-AX20</f>
        <v>0</v>
      </c>
      <c r="AZ21" s="11" t="n">
        <f aca="false">AZ20-AY20</f>
        <v>0</v>
      </c>
      <c r="BA21" s="11" t="n">
        <f aca="false">BA20-AZ20</f>
        <v>0</v>
      </c>
      <c r="BB21" s="11" t="n">
        <f aca="false">BB20-BA20</f>
        <v>0</v>
      </c>
      <c r="BC21" s="11" t="n">
        <f aca="false">BC20-BB20</f>
        <v>0</v>
      </c>
      <c r="BD21" s="11" t="n">
        <f aca="false">BD20-BC20</f>
        <v>0</v>
      </c>
      <c r="BE21" s="11" t="n">
        <f aca="false">BE20-BD20</f>
        <v>0</v>
      </c>
      <c r="BF21" s="11" t="n">
        <f aca="false">BF20-BE20</f>
        <v>0</v>
      </c>
      <c r="BG21" s="11" t="n">
        <f aca="false">BG20-BF20</f>
        <v>0</v>
      </c>
      <c r="BH21" s="11" t="n">
        <f aca="false">BH20-BG20</f>
        <v>0</v>
      </c>
      <c r="BI21" s="11" t="n">
        <f aca="false">BI20-BH20</f>
        <v>0</v>
      </c>
      <c r="BJ21" s="11" t="n">
        <f aca="false">BJ20-BI20</f>
        <v>0</v>
      </c>
      <c r="BK21" s="11" t="n">
        <f aca="false">BK20-BJ20</f>
        <v>0</v>
      </c>
      <c r="BL21" s="11" t="n">
        <f aca="false">BL20-BK20</f>
        <v>0</v>
      </c>
      <c r="BM21" s="11" t="n">
        <f aca="false">BM20-BL20</f>
        <v>0</v>
      </c>
      <c r="BN21" s="11" t="n">
        <f aca="false">BN20-BM20</f>
        <v>0</v>
      </c>
      <c r="BO21" s="11" t="n">
        <f aca="false">BO20-BN20</f>
        <v>0</v>
      </c>
      <c r="BP21" s="11" t="n">
        <f aca="false">BP20-BO20</f>
        <v>0</v>
      </c>
      <c r="BQ21" s="11" t="n">
        <f aca="false">BQ20-BP20</f>
        <v>0</v>
      </c>
      <c r="BR21" s="11" t="n">
        <f aca="false">BR20-BQ20</f>
        <v>0</v>
      </c>
      <c r="BS21" s="11" t="n">
        <f aca="false">BS20-BR20</f>
        <v>0</v>
      </c>
      <c r="BT21" s="11" t="n">
        <f aca="false">BT20-BS20</f>
        <v>0</v>
      </c>
      <c r="BU21" s="11" t="n">
        <f aca="false">BU20-BT20</f>
        <v>0</v>
      </c>
      <c r="BV21" s="11" t="n">
        <f aca="false">BV20-BU20</f>
        <v>0</v>
      </c>
      <c r="BW21" s="11" t="n">
        <f aca="false">BW20-BV20</f>
        <v>0</v>
      </c>
      <c r="BX21" s="11" t="n">
        <f aca="false">BX20-BW20</f>
        <v>0</v>
      </c>
      <c r="BY21" s="11" t="n">
        <f aca="false">BY20-BX20</f>
        <v>0</v>
      </c>
      <c r="BZ21" s="11" t="n">
        <f aca="false">BZ20-BY20</f>
        <v>0</v>
      </c>
      <c r="CA21" s="11" t="n">
        <f aca="false">CA20-BZ20</f>
        <v>0</v>
      </c>
      <c r="CB21" s="11" t="n">
        <f aca="false">CB20-CA20</f>
        <v>0</v>
      </c>
      <c r="CC21" s="11" t="n">
        <f aca="false">CC20-CB20</f>
        <v>0</v>
      </c>
      <c r="CD21" s="11" t="n">
        <f aca="false">CD20-CC20</f>
        <v>0</v>
      </c>
      <c r="CE21" s="11" t="n">
        <f aca="false">CE20-CD20</f>
        <v>0</v>
      </c>
      <c r="CF21" s="11" t="n">
        <f aca="false">CF20-CE20</f>
        <v>0</v>
      </c>
      <c r="CG21" s="11" t="n">
        <f aca="false">CG20-CF20</f>
        <v>0</v>
      </c>
      <c r="CH21" s="11" t="n">
        <f aca="false">CH20-CG20</f>
        <v>0</v>
      </c>
      <c r="CI21" s="11" t="n">
        <f aca="false">CI20-CH20</f>
        <v>0</v>
      </c>
      <c r="CJ21" s="11" t="n">
        <f aca="false">CJ20-CI20</f>
        <v>0</v>
      </c>
      <c r="CK21" s="11" t="n">
        <f aca="false">CK20-CJ20</f>
        <v>0</v>
      </c>
      <c r="CL21" s="11" t="n">
        <f aca="false">CL20-CK20</f>
        <v>0</v>
      </c>
      <c r="CM21" s="11" t="n">
        <f aca="false">CM20-CL20</f>
        <v>0</v>
      </c>
      <c r="CN21" s="11" t="n">
        <f aca="false">CN20-CM20</f>
        <v>0</v>
      </c>
      <c r="CO21" s="11" t="n">
        <f aca="false">CO20-CN20</f>
        <v>0</v>
      </c>
      <c r="CP21" s="11" t="n">
        <f aca="false">CP20-CO20</f>
        <v>0</v>
      </c>
      <c r="CQ21" s="11" t="n">
        <f aca="false">CQ20-CP20</f>
        <v>0</v>
      </c>
      <c r="CR21" s="11" t="n">
        <f aca="false">CR20-CQ20</f>
        <v>0</v>
      </c>
      <c r="CS21" s="11" t="n">
        <f aca="false">CS20-CR20</f>
        <v>0</v>
      </c>
      <c r="CT21" s="11" t="n">
        <f aca="false">CT20-CS20</f>
        <v>0</v>
      </c>
      <c r="CU21" s="11" t="n">
        <f aca="false">CU20-CT20</f>
        <v>0</v>
      </c>
      <c r="CV21" s="11" t="n">
        <f aca="false">CV20-CU20</f>
        <v>0</v>
      </c>
      <c r="CW21" s="11" t="n">
        <f aca="false">CW20-CV20</f>
        <v>0</v>
      </c>
      <c r="CX21" s="11" t="n">
        <f aca="false">CX20-CW20</f>
        <v>0</v>
      </c>
      <c r="CY21" s="11" t="n">
        <f aca="false">CY20-CX20</f>
        <v>0</v>
      </c>
      <c r="CZ21" s="11" t="n">
        <f aca="false">CZ20-CY20</f>
        <v>0</v>
      </c>
      <c r="DA21" s="11" t="n">
        <f aca="false">DA20-CZ20</f>
        <v>0</v>
      </c>
      <c r="DB21" s="11" t="n">
        <f aca="false">DB20-DA20</f>
        <v>0</v>
      </c>
      <c r="DC21" s="11" t="n">
        <f aca="false">DC20-DB20</f>
        <v>0</v>
      </c>
      <c r="DD21" s="11" t="n">
        <f aca="false">DD20-DC20</f>
        <v>0</v>
      </c>
      <c r="DE21" s="11" t="n">
        <f aca="false">DE20-DD20</f>
        <v>0</v>
      </c>
      <c r="DF21" s="11" t="n">
        <f aca="false">DF20-DE20</f>
        <v>0</v>
      </c>
      <c r="DG21" s="11" t="n">
        <f aca="false">DG20-DF20</f>
        <v>0</v>
      </c>
      <c r="DH21" s="11" t="n">
        <f aca="false">DH20-DG20</f>
        <v>0</v>
      </c>
      <c r="DI21" s="11" t="n">
        <f aca="false">DI20-DH20</f>
        <v>0</v>
      </c>
      <c r="DJ21" s="11" t="n">
        <f aca="false">DJ20-DI20</f>
        <v>0</v>
      </c>
      <c r="DK21" s="11" t="n">
        <f aca="false">DK20-DJ20</f>
        <v>0</v>
      </c>
      <c r="DL21" s="11" t="n">
        <f aca="false">DL20-DK20</f>
        <v>0</v>
      </c>
      <c r="DM21" s="11" t="n">
        <f aca="false">DM20-DL20</f>
        <v>0</v>
      </c>
      <c r="DN21" s="11" t="n">
        <f aca="false">DN20-DM20</f>
        <v>0</v>
      </c>
      <c r="DO21" s="11" t="n">
        <f aca="false">DO20-DN20</f>
        <v>0</v>
      </c>
      <c r="DP21" s="11" t="n">
        <f aca="false">DP20-DO20</f>
        <v>0</v>
      </c>
      <c r="DQ21" s="11" t="n">
        <f aca="false">DQ20-DP20</f>
        <v>0</v>
      </c>
      <c r="DR21" s="11" t="n">
        <f aca="false">DR20-DQ20</f>
        <v>0</v>
      </c>
    </row>
    <row r="22" customFormat="false" ht="15" hidden="false" customHeight="false" outlineLevel="0" collapsed="false">
      <c r="A22" s="9" t="s">
        <v>191</v>
      </c>
      <c r="B22" s="11" t="n">
        <f aca="false">B19-B21</f>
        <v>0</v>
      </c>
      <c r="C22" s="11" t="n">
        <f aca="false">C19-C21</f>
        <v>0</v>
      </c>
      <c r="D22" s="11" t="n">
        <f aca="false">D19-D21</f>
        <v>0</v>
      </c>
      <c r="E22" s="11" t="n">
        <f aca="false">E19-E21</f>
        <v>0</v>
      </c>
      <c r="F22" s="11" t="n">
        <f aca="false">F19-F21</f>
        <v>0</v>
      </c>
      <c r="G22" s="11" t="n">
        <f aca="false">G19-G21</f>
        <v>0</v>
      </c>
      <c r="H22" s="11" t="n">
        <f aca="false">H19-H21</f>
        <v>0</v>
      </c>
      <c r="I22" s="11" t="n">
        <f aca="false">I19-I21</f>
        <v>0</v>
      </c>
      <c r="J22" s="11" t="n">
        <f aca="false">J19-J21</f>
        <v>0</v>
      </c>
      <c r="K22" s="11" t="n">
        <f aca="false">K19-K21</f>
        <v>9</v>
      </c>
      <c r="L22" s="11" t="n">
        <f aca="false">L19-L21</f>
        <v>9</v>
      </c>
      <c r="M22" s="11" t="n">
        <f aca="false">M19-M21</f>
        <v>9</v>
      </c>
      <c r="N22" s="11" t="n">
        <f aca="false">N19-N21</f>
        <v>15</v>
      </c>
      <c r="O22" s="11" t="n">
        <f aca="false">O19-O21</f>
        <v>15</v>
      </c>
      <c r="P22" s="11" t="n">
        <f aca="false">P19-P21</f>
        <v>15</v>
      </c>
      <c r="Q22" s="11" t="n">
        <f aca="false">Q19-Q21</f>
        <v>21</v>
      </c>
      <c r="R22" s="11" t="n">
        <f aca="false">R19-R21</f>
        <v>21</v>
      </c>
      <c r="S22" s="11" t="n">
        <f aca="false">S19-S21</f>
        <v>21</v>
      </c>
      <c r="T22" s="11" t="n">
        <f aca="false">T19-T21</f>
        <v>21</v>
      </c>
      <c r="U22" s="11" t="n">
        <f aca="false">U19-U21</f>
        <v>21</v>
      </c>
      <c r="V22" s="11" t="n">
        <f aca="false">V19-V21</f>
        <v>21</v>
      </c>
      <c r="W22" s="11" t="n">
        <f aca="false">W19-W21</f>
        <v>21</v>
      </c>
      <c r="X22" s="11" t="n">
        <f aca="false">X19-X21</f>
        <v>21</v>
      </c>
      <c r="Y22" s="11" t="n">
        <f aca="false">Y19-Y21</f>
        <v>21</v>
      </c>
      <c r="Z22" s="11" t="n">
        <f aca="false">Z19-Z21</f>
        <v>21</v>
      </c>
      <c r="AA22" s="11" t="n">
        <f aca="false">AA19-AA21</f>
        <v>21</v>
      </c>
      <c r="AB22" s="11" t="n">
        <f aca="false">AB19-AB21</f>
        <v>21</v>
      </c>
      <c r="AC22" s="11" t="n">
        <f aca="false">AC19-AC21</f>
        <v>21</v>
      </c>
      <c r="AD22" s="11" t="n">
        <f aca="false">AD19-AD21</f>
        <v>21</v>
      </c>
      <c r="AE22" s="11" t="n">
        <f aca="false">AE19-AE21</f>
        <v>21</v>
      </c>
      <c r="AF22" s="11" t="n">
        <f aca="false">AF19-AF21</f>
        <v>21</v>
      </c>
      <c r="AG22" s="11" t="n">
        <f aca="false">AG19-AG21</f>
        <v>21</v>
      </c>
      <c r="AH22" s="11" t="n">
        <f aca="false">AH19-AH21</f>
        <v>21</v>
      </c>
      <c r="AI22" s="11" t="n">
        <f aca="false">AI19-AI21</f>
        <v>21</v>
      </c>
      <c r="AJ22" s="11" t="n">
        <f aca="false">AJ19-AJ21</f>
        <v>21</v>
      </c>
      <c r="AK22" s="11" t="n">
        <f aca="false">AK19-AK21</f>
        <v>21</v>
      </c>
      <c r="AL22" s="11" t="n">
        <f aca="false">AL19-AL21</f>
        <v>21</v>
      </c>
      <c r="AM22" s="11" t="n">
        <f aca="false">AM19-AM21</f>
        <v>21</v>
      </c>
      <c r="AN22" s="11" t="n">
        <f aca="false">AN19-AN21</f>
        <v>21</v>
      </c>
      <c r="AO22" s="11" t="n">
        <f aca="false">AO19-AO21</f>
        <v>21</v>
      </c>
      <c r="AP22" s="11" t="n">
        <f aca="false">AP19-AP21</f>
        <v>21</v>
      </c>
      <c r="AQ22" s="11" t="n">
        <f aca="false">AQ19-AQ21</f>
        <v>21</v>
      </c>
      <c r="AR22" s="11" t="n">
        <f aca="false">AR19-AR21</f>
        <v>21</v>
      </c>
      <c r="AS22" s="11" t="n">
        <f aca="false">AS19-AS21</f>
        <v>21</v>
      </c>
      <c r="AT22" s="11" t="n">
        <f aca="false">AT19-AT21</f>
        <v>21</v>
      </c>
      <c r="AU22" s="11" t="n">
        <f aca="false">AU19-AU21</f>
        <v>21</v>
      </c>
      <c r="AV22" s="11" t="n">
        <f aca="false">AV19-AV21</f>
        <v>21</v>
      </c>
      <c r="AW22" s="11" t="n">
        <f aca="false">AW19-AW21</f>
        <v>21</v>
      </c>
      <c r="AX22" s="11" t="n">
        <f aca="false">AX19-AX21</f>
        <v>21</v>
      </c>
      <c r="AY22" s="11" t="n">
        <f aca="false">AY19-AY21</f>
        <v>21</v>
      </c>
      <c r="AZ22" s="11" t="n">
        <f aca="false">AZ19-AZ21</f>
        <v>21</v>
      </c>
      <c r="BA22" s="11" t="n">
        <f aca="false">BA19-BA21</f>
        <v>21</v>
      </c>
      <c r="BB22" s="11" t="n">
        <f aca="false">BB19-BB21</f>
        <v>21</v>
      </c>
      <c r="BC22" s="11" t="n">
        <f aca="false">BC19-BC21</f>
        <v>21</v>
      </c>
      <c r="BD22" s="11" t="n">
        <f aca="false">BD19-BD21</f>
        <v>21</v>
      </c>
      <c r="BE22" s="11" t="n">
        <f aca="false">BE19-BE21</f>
        <v>21</v>
      </c>
      <c r="BF22" s="11" t="n">
        <f aca="false">BF19-BF21</f>
        <v>21</v>
      </c>
      <c r="BG22" s="11" t="n">
        <f aca="false">BG19-BG21</f>
        <v>21</v>
      </c>
      <c r="BH22" s="11" t="n">
        <f aca="false">BH19-BH21</f>
        <v>21</v>
      </c>
      <c r="BI22" s="11" t="n">
        <f aca="false">BI19-BI21</f>
        <v>21</v>
      </c>
      <c r="BJ22" s="11" t="n">
        <f aca="false">BJ19-BJ21</f>
        <v>21</v>
      </c>
      <c r="BK22" s="11" t="n">
        <f aca="false">BK19-BK21</f>
        <v>21</v>
      </c>
      <c r="BL22" s="11" t="n">
        <f aca="false">BL19-BL21</f>
        <v>21</v>
      </c>
      <c r="BM22" s="11" t="n">
        <f aca="false">BM19-BM21</f>
        <v>21</v>
      </c>
      <c r="BN22" s="11" t="n">
        <f aca="false">BN19-BN21</f>
        <v>21</v>
      </c>
      <c r="BO22" s="11" t="n">
        <f aca="false">BO19-BO21</f>
        <v>21</v>
      </c>
      <c r="BP22" s="11" t="n">
        <f aca="false">BP19-BP21</f>
        <v>21</v>
      </c>
      <c r="BQ22" s="11" t="n">
        <f aca="false">BQ19-BQ21</f>
        <v>21</v>
      </c>
      <c r="BR22" s="11" t="n">
        <f aca="false">BR19-BR21</f>
        <v>21</v>
      </c>
      <c r="BS22" s="11" t="n">
        <f aca="false">BS19-BS21</f>
        <v>21</v>
      </c>
      <c r="BT22" s="11" t="n">
        <f aca="false">BT19-BT21</f>
        <v>21</v>
      </c>
      <c r="BU22" s="11" t="n">
        <f aca="false">BU19-BU21</f>
        <v>21</v>
      </c>
      <c r="BV22" s="11" t="n">
        <f aca="false">BV19-BV21</f>
        <v>21</v>
      </c>
      <c r="BW22" s="11" t="n">
        <f aca="false">BW19-BW21</f>
        <v>21</v>
      </c>
      <c r="BX22" s="11" t="n">
        <f aca="false">BX19-BX21</f>
        <v>21</v>
      </c>
      <c r="BY22" s="11" t="n">
        <f aca="false">BY19-BY21</f>
        <v>21</v>
      </c>
      <c r="BZ22" s="11" t="n">
        <f aca="false">BZ19-BZ21</f>
        <v>21</v>
      </c>
      <c r="CA22" s="11" t="n">
        <f aca="false">CA19-CA21</f>
        <v>21</v>
      </c>
      <c r="CB22" s="11" t="n">
        <f aca="false">CB19-CB21</f>
        <v>21</v>
      </c>
      <c r="CC22" s="11" t="n">
        <f aca="false">CC19-CC21</f>
        <v>21</v>
      </c>
      <c r="CD22" s="11" t="n">
        <f aca="false">CD19-CD21</f>
        <v>21</v>
      </c>
      <c r="CE22" s="11" t="n">
        <f aca="false">CE19-CE21</f>
        <v>21</v>
      </c>
      <c r="CF22" s="11" t="n">
        <f aca="false">CF19-CF21</f>
        <v>21</v>
      </c>
      <c r="CG22" s="11" t="n">
        <f aca="false">CG19-CG21</f>
        <v>21</v>
      </c>
      <c r="CH22" s="11" t="n">
        <f aca="false">CH19-CH21</f>
        <v>21</v>
      </c>
      <c r="CI22" s="11" t="n">
        <f aca="false">CI19-CI21</f>
        <v>21</v>
      </c>
      <c r="CJ22" s="11" t="n">
        <f aca="false">CJ19-CJ21</f>
        <v>21</v>
      </c>
      <c r="CK22" s="11" t="n">
        <f aca="false">CK19-CK21</f>
        <v>21</v>
      </c>
      <c r="CL22" s="11" t="n">
        <f aca="false">CL19-CL21</f>
        <v>21</v>
      </c>
      <c r="CM22" s="11" t="n">
        <f aca="false">CM19-CM21</f>
        <v>21</v>
      </c>
      <c r="CN22" s="11" t="n">
        <f aca="false">CN19-CN21</f>
        <v>21</v>
      </c>
      <c r="CO22" s="11" t="n">
        <f aca="false">CO19-CO21</f>
        <v>21</v>
      </c>
      <c r="CP22" s="11" t="n">
        <f aca="false">CP19-CP21</f>
        <v>21</v>
      </c>
      <c r="CQ22" s="11" t="n">
        <f aca="false">CQ19-CQ21</f>
        <v>21</v>
      </c>
      <c r="CR22" s="11" t="n">
        <f aca="false">CR19-CR21</f>
        <v>21</v>
      </c>
      <c r="CS22" s="11" t="n">
        <f aca="false">CS19-CS21</f>
        <v>21</v>
      </c>
      <c r="CT22" s="11" t="n">
        <f aca="false">CT19-CT21</f>
        <v>21</v>
      </c>
      <c r="CU22" s="11" t="n">
        <f aca="false">CU19-CU21</f>
        <v>21</v>
      </c>
      <c r="CV22" s="11" t="n">
        <f aca="false">CV19-CV21</f>
        <v>21</v>
      </c>
      <c r="CW22" s="11" t="n">
        <f aca="false">CW19-CW21</f>
        <v>21</v>
      </c>
      <c r="CX22" s="11" t="n">
        <f aca="false">CX19-CX21</f>
        <v>21</v>
      </c>
      <c r="CY22" s="11" t="n">
        <f aca="false">CY19-CY21</f>
        <v>21</v>
      </c>
      <c r="CZ22" s="11" t="n">
        <f aca="false">CZ19-CZ21</f>
        <v>21</v>
      </c>
      <c r="DA22" s="11" t="n">
        <f aca="false">DA19-DA21</f>
        <v>21</v>
      </c>
      <c r="DB22" s="11" t="n">
        <f aca="false">DB19-DB21</f>
        <v>21</v>
      </c>
      <c r="DC22" s="11" t="n">
        <f aca="false">DC19-DC21</f>
        <v>21</v>
      </c>
      <c r="DD22" s="11" t="n">
        <f aca="false">DD19-DD21</f>
        <v>21</v>
      </c>
      <c r="DE22" s="11" t="n">
        <f aca="false">DE19-DE21</f>
        <v>21</v>
      </c>
      <c r="DF22" s="11" t="n">
        <f aca="false">DF19-DF21</f>
        <v>21</v>
      </c>
      <c r="DG22" s="11" t="n">
        <f aca="false">DG19-DG21</f>
        <v>21</v>
      </c>
      <c r="DH22" s="11" t="n">
        <f aca="false">DH19-DH21</f>
        <v>21</v>
      </c>
      <c r="DI22" s="11" t="n">
        <f aca="false">DI19-DI21</f>
        <v>21</v>
      </c>
      <c r="DJ22" s="11" t="n">
        <f aca="false">DJ19-DJ21</f>
        <v>21</v>
      </c>
      <c r="DK22" s="11" t="n">
        <f aca="false">DK19-DK21</f>
        <v>21</v>
      </c>
      <c r="DL22" s="11" t="n">
        <f aca="false">DL19-DL21</f>
        <v>21</v>
      </c>
      <c r="DM22" s="11" t="n">
        <f aca="false">DM19-DM21</f>
        <v>21</v>
      </c>
      <c r="DN22" s="11" t="n">
        <f aca="false">DN19-DN21</f>
        <v>21</v>
      </c>
      <c r="DO22" s="11" t="n">
        <f aca="false">DO19-DO21</f>
        <v>21</v>
      </c>
      <c r="DP22" s="11" t="n">
        <f aca="false">DP19-DP21</f>
        <v>21</v>
      </c>
      <c r="DQ22" s="11" t="n">
        <f aca="false">DQ19-DQ21</f>
        <v>21</v>
      </c>
      <c r="DR22" s="11" t="n">
        <f aca="false">DR19-DR21</f>
        <v>21</v>
      </c>
    </row>
    <row r="23" customFormat="false" ht="15" hidden="false" customHeight="false" outlineLevel="0" collapsed="false">
      <c r="A23" s="9" t="s">
        <v>192</v>
      </c>
      <c r="B23" s="10" t="n">
        <f aca="false">B19*Inputs!$B$4</f>
        <v>0</v>
      </c>
      <c r="C23" s="10" t="n">
        <f aca="false">C19*Inputs!$B$4</f>
        <v>0</v>
      </c>
      <c r="D23" s="10" t="n">
        <f aca="false">D19*Inputs!$B$4</f>
        <v>0</v>
      </c>
      <c r="E23" s="10" t="n">
        <f aca="false">E19*Inputs!$B$4</f>
        <v>0</v>
      </c>
      <c r="F23" s="10" t="n">
        <f aca="false">F19*Inputs!$B$4</f>
        <v>0</v>
      </c>
      <c r="G23" s="10" t="n">
        <f aca="false">G19*Inputs!$B$4</f>
        <v>0</v>
      </c>
      <c r="H23" s="10" t="n">
        <f aca="false">H19*Inputs!$B$4</f>
        <v>0</v>
      </c>
      <c r="I23" s="10" t="n">
        <f aca="false">I19*Inputs!$B$4</f>
        <v>0</v>
      </c>
      <c r="J23" s="10" t="n">
        <f aca="false">J19*Inputs!$B$4</f>
        <v>0</v>
      </c>
      <c r="K23" s="10" t="n">
        <f aca="false">K19*Inputs!$B$4</f>
        <v>3.6</v>
      </c>
      <c r="L23" s="10" t="n">
        <f aca="false">L19*Inputs!$B$4</f>
        <v>3.6</v>
      </c>
      <c r="M23" s="10" t="n">
        <f aca="false">M19*Inputs!$B$4</f>
        <v>3.6</v>
      </c>
      <c r="N23" s="10" t="n">
        <f aca="false">N19*Inputs!$B$4</f>
        <v>6</v>
      </c>
      <c r="O23" s="10" t="n">
        <f aca="false">O19*Inputs!$B$4</f>
        <v>6</v>
      </c>
      <c r="P23" s="10" t="n">
        <f aca="false">P19*Inputs!$B$4</f>
        <v>6</v>
      </c>
      <c r="Q23" s="10" t="n">
        <f aca="false">Q19*Inputs!$B$4</f>
        <v>8.4</v>
      </c>
      <c r="R23" s="10" t="n">
        <f aca="false">R19*Inputs!$B$4</f>
        <v>8.4</v>
      </c>
      <c r="S23" s="10" t="n">
        <f aca="false">S19*Inputs!$B$4</f>
        <v>8.4</v>
      </c>
      <c r="T23" s="10" t="n">
        <f aca="false">T19*Inputs!$B$4</f>
        <v>8.4</v>
      </c>
      <c r="U23" s="10" t="n">
        <f aca="false">U19*Inputs!$B$4</f>
        <v>8.4</v>
      </c>
      <c r="V23" s="10" t="n">
        <f aca="false">V19*Inputs!$B$4</f>
        <v>8.4</v>
      </c>
      <c r="W23" s="10" t="n">
        <f aca="false">W19*Inputs!$B$4</f>
        <v>8.4</v>
      </c>
      <c r="X23" s="10" t="n">
        <f aca="false">X19*Inputs!$B$4</f>
        <v>8.4</v>
      </c>
      <c r="Y23" s="10" t="n">
        <f aca="false">Y19*Inputs!$B$4</f>
        <v>8.4</v>
      </c>
      <c r="Z23" s="10" t="n">
        <f aca="false">Z19*Inputs!$B$4</f>
        <v>8.4</v>
      </c>
      <c r="AA23" s="10" t="n">
        <f aca="false">AA19*Inputs!$B$4</f>
        <v>8.4</v>
      </c>
      <c r="AB23" s="10" t="n">
        <f aca="false">AB19*Inputs!$B$4</f>
        <v>8.4</v>
      </c>
      <c r="AC23" s="10" t="n">
        <f aca="false">AC19*Inputs!$B$4</f>
        <v>8.4</v>
      </c>
      <c r="AD23" s="10" t="n">
        <f aca="false">AD19*Inputs!$B$4</f>
        <v>8.4</v>
      </c>
      <c r="AE23" s="10" t="n">
        <f aca="false">AE19*Inputs!$B$4</f>
        <v>8.4</v>
      </c>
      <c r="AF23" s="10" t="n">
        <f aca="false">AF19*Inputs!$B$4</f>
        <v>8.4</v>
      </c>
      <c r="AG23" s="10" t="n">
        <f aca="false">AG19*Inputs!$B$4</f>
        <v>8.4</v>
      </c>
      <c r="AH23" s="10" t="n">
        <f aca="false">AH19*Inputs!$B$4</f>
        <v>8.4</v>
      </c>
      <c r="AI23" s="10" t="n">
        <f aca="false">AI19*Inputs!$B$4</f>
        <v>8.4</v>
      </c>
      <c r="AJ23" s="10" t="n">
        <f aca="false">AJ19*Inputs!$B$4</f>
        <v>8.4</v>
      </c>
      <c r="AK23" s="10" t="n">
        <f aca="false">AK19*Inputs!$B$4</f>
        <v>8.4</v>
      </c>
      <c r="AL23" s="10" t="n">
        <f aca="false">AL19*Inputs!$B$4</f>
        <v>8.4</v>
      </c>
      <c r="AM23" s="10" t="n">
        <f aca="false">AM19*Inputs!$B$4</f>
        <v>8.4</v>
      </c>
      <c r="AN23" s="10" t="n">
        <f aca="false">AN19*Inputs!$B$4</f>
        <v>8.4</v>
      </c>
      <c r="AO23" s="10" t="n">
        <f aca="false">AO19*Inputs!$B$4</f>
        <v>8.4</v>
      </c>
      <c r="AP23" s="10" t="n">
        <f aca="false">AP19*Inputs!$B$4</f>
        <v>8.4</v>
      </c>
      <c r="AQ23" s="10" t="n">
        <f aca="false">AQ19*Inputs!$B$4</f>
        <v>8.4</v>
      </c>
      <c r="AR23" s="10" t="n">
        <f aca="false">AR19*Inputs!$B$4</f>
        <v>8.4</v>
      </c>
      <c r="AS23" s="10" t="n">
        <f aca="false">AS19*Inputs!$B$4</f>
        <v>8.4</v>
      </c>
      <c r="AT23" s="10" t="n">
        <f aca="false">AT19*Inputs!$B$4</f>
        <v>8.4</v>
      </c>
      <c r="AU23" s="10" t="n">
        <f aca="false">AU19*Inputs!$B$4</f>
        <v>8.4</v>
      </c>
      <c r="AV23" s="10" t="n">
        <f aca="false">AV19*Inputs!$B$4</f>
        <v>8.4</v>
      </c>
      <c r="AW23" s="10" t="n">
        <f aca="false">AW19*Inputs!$B$4</f>
        <v>8.4</v>
      </c>
      <c r="AX23" s="10" t="n">
        <f aca="false">AX19*Inputs!$B$4</f>
        <v>8.4</v>
      </c>
      <c r="AY23" s="10" t="n">
        <f aca="false">AY19*Inputs!$B$4</f>
        <v>8.4</v>
      </c>
      <c r="AZ23" s="10" t="n">
        <f aca="false">AZ19*Inputs!$B$4</f>
        <v>8.4</v>
      </c>
      <c r="BA23" s="10" t="n">
        <f aca="false">BA19*Inputs!$B$4</f>
        <v>8.4</v>
      </c>
      <c r="BB23" s="10" t="n">
        <f aca="false">BB19*Inputs!$B$4</f>
        <v>8.4</v>
      </c>
      <c r="BC23" s="10" t="n">
        <f aca="false">BC19*Inputs!$B$4</f>
        <v>8.4</v>
      </c>
      <c r="BD23" s="10" t="n">
        <f aca="false">BD19*Inputs!$B$4</f>
        <v>8.4</v>
      </c>
      <c r="BE23" s="10" t="n">
        <f aca="false">BE19*Inputs!$B$4</f>
        <v>8.4</v>
      </c>
      <c r="BF23" s="10" t="n">
        <f aca="false">BF19*Inputs!$B$4</f>
        <v>8.4</v>
      </c>
      <c r="BG23" s="10" t="n">
        <f aca="false">BG19*Inputs!$B$4</f>
        <v>8.4</v>
      </c>
      <c r="BH23" s="10" t="n">
        <f aca="false">BH19*Inputs!$B$4</f>
        <v>8.4</v>
      </c>
      <c r="BI23" s="10" t="n">
        <f aca="false">BI19*Inputs!$B$4</f>
        <v>8.4</v>
      </c>
      <c r="BJ23" s="10" t="n">
        <f aca="false">BJ19*Inputs!$B$4</f>
        <v>8.4</v>
      </c>
      <c r="BK23" s="10" t="n">
        <f aca="false">BK19*Inputs!$B$4</f>
        <v>8.4</v>
      </c>
      <c r="BL23" s="10" t="n">
        <f aca="false">BL19*Inputs!$B$4</f>
        <v>8.4</v>
      </c>
      <c r="BM23" s="10" t="n">
        <f aca="false">BM19*Inputs!$B$4</f>
        <v>8.4</v>
      </c>
      <c r="BN23" s="10" t="n">
        <f aca="false">BN19*Inputs!$B$4</f>
        <v>8.4</v>
      </c>
      <c r="BO23" s="10" t="n">
        <f aca="false">BO19*Inputs!$B$4</f>
        <v>8.4</v>
      </c>
      <c r="BP23" s="10" t="n">
        <f aca="false">BP19*Inputs!$B$4</f>
        <v>8.4</v>
      </c>
      <c r="BQ23" s="10" t="n">
        <f aca="false">BQ19*Inputs!$B$4</f>
        <v>8.4</v>
      </c>
      <c r="BR23" s="10" t="n">
        <f aca="false">BR19*Inputs!$B$4</f>
        <v>8.4</v>
      </c>
      <c r="BS23" s="10" t="n">
        <f aca="false">BS19*Inputs!$B$4</f>
        <v>8.4</v>
      </c>
      <c r="BT23" s="10" t="n">
        <f aca="false">BT19*Inputs!$B$4</f>
        <v>8.4</v>
      </c>
      <c r="BU23" s="10" t="n">
        <f aca="false">BU19*Inputs!$B$4</f>
        <v>8.4</v>
      </c>
      <c r="BV23" s="10" t="n">
        <f aca="false">BV19*Inputs!$B$4</f>
        <v>8.4</v>
      </c>
      <c r="BW23" s="10" t="n">
        <f aca="false">BW19*Inputs!$B$4</f>
        <v>8.4</v>
      </c>
      <c r="BX23" s="10" t="n">
        <f aca="false">BX19*Inputs!$B$4</f>
        <v>8.4</v>
      </c>
      <c r="BY23" s="10" t="n">
        <f aca="false">BY19*Inputs!$B$4</f>
        <v>8.4</v>
      </c>
      <c r="BZ23" s="10" t="n">
        <f aca="false">BZ19*Inputs!$B$4</f>
        <v>8.4</v>
      </c>
      <c r="CA23" s="10" t="n">
        <f aca="false">CA19*Inputs!$B$4</f>
        <v>8.4</v>
      </c>
      <c r="CB23" s="10" t="n">
        <f aca="false">CB19*Inputs!$B$4</f>
        <v>8.4</v>
      </c>
      <c r="CC23" s="10" t="n">
        <f aca="false">CC19*Inputs!$B$4</f>
        <v>8.4</v>
      </c>
      <c r="CD23" s="10" t="n">
        <f aca="false">CD19*Inputs!$B$4</f>
        <v>8.4</v>
      </c>
      <c r="CE23" s="10" t="n">
        <f aca="false">CE19*Inputs!$B$4</f>
        <v>8.4</v>
      </c>
      <c r="CF23" s="10" t="n">
        <f aca="false">CF19*Inputs!$B$4</f>
        <v>8.4</v>
      </c>
      <c r="CG23" s="10" t="n">
        <f aca="false">CG19*Inputs!$B$4</f>
        <v>8.4</v>
      </c>
      <c r="CH23" s="10" t="n">
        <f aca="false">CH19*Inputs!$B$4</f>
        <v>8.4</v>
      </c>
      <c r="CI23" s="10" t="n">
        <f aca="false">CI19*Inputs!$B$4</f>
        <v>8.4</v>
      </c>
      <c r="CJ23" s="10" t="n">
        <f aca="false">CJ19*Inputs!$B$4</f>
        <v>8.4</v>
      </c>
      <c r="CK23" s="10" t="n">
        <f aca="false">CK19*Inputs!$B$4</f>
        <v>8.4</v>
      </c>
      <c r="CL23" s="10" t="n">
        <f aca="false">CL19*Inputs!$B$4</f>
        <v>8.4</v>
      </c>
      <c r="CM23" s="10" t="n">
        <f aca="false">CM19*Inputs!$B$4</f>
        <v>8.4</v>
      </c>
      <c r="CN23" s="10" t="n">
        <f aca="false">CN19*Inputs!$B$4</f>
        <v>8.4</v>
      </c>
      <c r="CO23" s="10" t="n">
        <f aca="false">CO19*Inputs!$B$4</f>
        <v>8.4</v>
      </c>
      <c r="CP23" s="10" t="n">
        <f aca="false">CP19*Inputs!$B$4</f>
        <v>8.4</v>
      </c>
      <c r="CQ23" s="10" t="n">
        <f aca="false">CQ19*Inputs!$B$4</f>
        <v>8.4</v>
      </c>
      <c r="CR23" s="10" t="n">
        <f aca="false">CR19*Inputs!$B$4</f>
        <v>8.4</v>
      </c>
      <c r="CS23" s="10" t="n">
        <f aca="false">CS19*Inputs!$B$4</f>
        <v>8.4</v>
      </c>
      <c r="CT23" s="10" t="n">
        <f aca="false">CT19*Inputs!$B$4</f>
        <v>8.4</v>
      </c>
      <c r="CU23" s="10" t="n">
        <f aca="false">CU19*Inputs!$B$4</f>
        <v>8.4</v>
      </c>
      <c r="CV23" s="10" t="n">
        <f aca="false">CV19*Inputs!$B$4</f>
        <v>8.4</v>
      </c>
      <c r="CW23" s="10" t="n">
        <f aca="false">CW19*Inputs!$B$4</f>
        <v>8.4</v>
      </c>
      <c r="CX23" s="10" t="n">
        <f aca="false">CX19*Inputs!$B$4</f>
        <v>8.4</v>
      </c>
      <c r="CY23" s="10" t="n">
        <f aca="false">CY19*Inputs!$B$4</f>
        <v>8.4</v>
      </c>
      <c r="CZ23" s="10" t="n">
        <f aca="false">CZ19*Inputs!$B$4</f>
        <v>8.4</v>
      </c>
      <c r="DA23" s="10" t="n">
        <f aca="false">DA19*Inputs!$B$4</f>
        <v>8.4</v>
      </c>
      <c r="DB23" s="10" t="n">
        <f aca="false">DB19*Inputs!$B$4</f>
        <v>8.4</v>
      </c>
      <c r="DC23" s="10" t="n">
        <f aca="false">DC19*Inputs!$B$4</f>
        <v>8.4</v>
      </c>
      <c r="DD23" s="10" t="n">
        <f aca="false">DD19*Inputs!$B$4</f>
        <v>8.4</v>
      </c>
      <c r="DE23" s="10" t="n">
        <f aca="false">DE19*Inputs!$B$4</f>
        <v>8.4</v>
      </c>
      <c r="DF23" s="10" t="n">
        <f aca="false">DF19*Inputs!$B$4</f>
        <v>8.4</v>
      </c>
      <c r="DG23" s="10" t="n">
        <f aca="false">DG19*Inputs!$B$4</f>
        <v>8.4</v>
      </c>
      <c r="DH23" s="10" t="n">
        <f aca="false">DH19*Inputs!$B$4</f>
        <v>8.4</v>
      </c>
      <c r="DI23" s="10" t="n">
        <f aca="false">DI19*Inputs!$B$4</f>
        <v>8.4</v>
      </c>
      <c r="DJ23" s="10" t="n">
        <f aca="false">DJ19*Inputs!$B$4</f>
        <v>8.4</v>
      </c>
      <c r="DK23" s="10" t="n">
        <f aca="false">DK19*Inputs!$B$4</f>
        <v>8.4</v>
      </c>
      <c r="DL23" s="10" t="n">
        <f aca="false">DL19*Inputs!$B$4</f>
        <v>8.4</v>
      </c>
      <c r="DM23" s="10" t="n">
        <f aca="false">DM19*Inputs!$B$4</f>
        <v>8.4</v>
      </c>
      <c r="DN23" s="10" t="n">
        <f aca="false">DN19*Inputs!$B$4</f>
        <v>8.4</v>
      </c>
      <c r="DO23" s="10" t="n">
        <f aca="false">DO19*Inputs!$B$4</f>
        <v>8.4</v>
      </c>
      <c r="DP23" s="10" t="n">
        <f aca="false">DP19*Inputs!$B$4</f>
        <v>8.4</v>
      </c>
      <c r="DQ23" s="10" t="n">
        <f aca="false">DQ19*Inputs!$B$4</f>
        <v>8.4</v>
      </c>
      <c r="DR23" s="10" t="n">
        <f aca="false">DR19*Inputs!$B$4</f>
        <v>8.4</v>
      </c>
    </row>
    <row r="24" customFormat="false" ht="15" hidden="false" customHeight="false" outlineLevel="0" collapsed="false">
      <c r="A24" s="9" t="s">
        <v>193</v>
      </c>
      <c r="B24" s="10" t="n">
        <f aca="false">B22*Inputs!$B$5</f>
        <v>0</v>
      </c>
      <c r="C24" s="10" t="n">
        <f aca="false">C22*Inputs!$B$5</f>
        <v>0</v>
      </c>
      <c r="D24" s="10" t="n">
        <f aca="false">D22*Inputs!$B$5</f>
        <v>0</v>
      </c>
      <c r="E24" s="10" t="n">
        <f aca="false">E22*Inputs!$B$5</f>
        <v>0</v>
      </c>
      <c r="F24" s="10" t="n">
        <f aca="false">F22*Inputs!$B$5</f>
        <v>0</v>
      </c>
      <c r="G24" s="10" t="n">
        <f aca="false">G22*Inputs!$B$5</f>
        <v>0</v>
      </c>
      <c r="H24" s="10" t="n">
        <f aca="false">H22*Inputs!$B$5</f>
        <v>0</v>
      </c>
      <c r="I24" s="10" t="n">
        <f aca="false">I22*Inputs!$B$5</f>
        <v>0</v>
      </c>
      <c r="J24" s="10" t="n">
        <f aca="false">J22*Inputs!$B$5</f>
        <v>0</v>
      </c>
      <c r="K24" s="10" t="n">
        <f aca="false">K22*Inputs!$B$5</f>
        <v>0.9</v>
      </c>
      <c r="L24" s="10" t="n">
        <f aca="false">L22*Inputs!$B$5</f>
        <v>0.9</v>
      </c>
      <c r="M24" s="10" t="n">
        <f aca="false">M22*Inputs!$B$5</f>
        <v>0.9</v>
      </c>
      <c r="N24" s="10" t="n">
        <f aca="false">N22*Inputs!$B$5</f>
        <v>1.5</v>
      </c>
      <c r="O24" s="10" t="n">
        <f aca="false">O22*Inputs!$B$5</f>
        <v>1.5</v>
      </c>
      <c r="P24" s="10" t="n">
        <f aca="false">P22*Inputs!$B$5</f>
        <v>1.5</v>
      </c>
      <c r="Q24" s="10" t="n">
        <f aca="false">Q22*Inputs!$B$5</f>
        <v>2.1</v>
      </c>
      <c r="R24" s="10" t="n">
        <f aca="false">R22*Inputs!$B$5</f>
        <v>2.1</v>
      </c>
      <c r="S24" s="10" t="n">
        <f aca="false">S22*Inputs!$B$5</f>
        <v>2.1</v>
      </c>
      <c r="T24" s="10" t="n">
        <f aca="false">T22*Inputs!$B$5</f>
        <v>2.1</v>
      </c>
      <c r="U24" s="10" t="n">
        <f aca="false">U22*Inputs!$B$5</f>
        <v>2.1</v>
      </c>
      <c r="V24" s="10" t="n">
        <f aca="false">V22*Inputs!$B$5</f>
        <v>2.1</v>
      </c>
      <c r="W24" s="10" t="n">
        <f aca="false">W22*Inputs!$B$5</f>
        <v>2.1</v>
      </c>
      <c r="X24" s="10" t="n">
        <f aca="false">X22*Inputs!$B$5</f>
        <v>2.1</v>
      </c>
      <c r="Y24" s="10" t="n">
        <f aca="false">Y22*Inputs!$B$5</f>
        <v>2.1</v>
      </c>
      <c r="Z24" s="10" t="n">
        <f aca="false">Z22*Inputs!$B$5</f>
        <v>2.1</v>
      </c>
      <c r="AA24" s="10" t="n">
        <f aca="false">AA22*Inputs!$B$5</f>
        <v>2.1</v>
      </c>
      <c r="AB24" s="10" t="n">
        <f aca="false">AB22*Inputs!$B$5</f>
        <v>2.1</v>
      </c>
      <c r="AC24" s="10" t="n">
        <f aca="false">AC22*Inputs!$B$5</f>
        <v>2.1</v>
      </c>
      <c r="AD24" s="10" t="n">
        <f aca="false">AD22*Inputs!$B$5</f>
        <v>2.1</v>
      </c>
      <c r="AE24" s="10" t="n">
        <f aca="false">AE22*Inputs!$B$5</f>
        <v>2.1</v>
      </c>
      <c r="AF24" s="10" t="n">
        <f aca="false">AF22*Inputs!$B$5</f>
        <v>2.1</v>
      </c>
      <c r="AG24" s="10" t="n">
        <f aca="false">AG22*Inputs!$B$5</f>
        <v>2.1</v>
      </c>
      <c r="AH24" s="10" t="n">
        <f aca="false">AH22*Inputs!$B$5</f>
        <v>2.1</v>
      </c>
      <c r="AI24" s="10" t="n">
        <f aca="false">AI22*Inputs!$B$5</f>
        <v>2.1</v>
      </c>
      <c r="AJ24" s="10" t="n">
        <f aca="false">AJ22*Inputs!$B$5</f>
        <v>2.1</v>
      </c>
      <c r="AK24" s="10" t="n">
        <f aca="false">AK22*Inputs!$B$5</f>
        <v>2.1</v>
      </c>
      <c r="AL24" s="10" t="n">
        <f aca="false">AL22*Inputs!$B$5</f>
        <v>2.1</v>
      </c>
      <c r="AM24" s="10" t="n">
        <f aca="false">AM22*Inputs!$B$5</f>
        <v>2.1</v>
      </c>
      <c r="AN24" s="10" t="n">
        <f aca="false">AN22*Inputs!$B$5</f>
        <v>2.1</v>
      </c>
      <c r="AO24" s="10" t="n">
        <f aca="false">AO22*Inputs!$B$5</f>
        <v>2.1</v>
      </c>
      <c r="AP24" s="10" t="n">
        <f aca="false">AP22*Inputs!$B$5</f>
        <v>2.1</v>
      </c>
      <c r="AQ24" s="10" t="n">
        <f aca="false">AQ22*Inputs!$B$5</f>
        <v>2.1</v>
      </c>
      <c r="AR24" s="10" t="n">
        <f aca="false">AR22*Inputs!$B$5</f>
        <v>2.1</v>
      </c>
      <c r="AS24" s="10" t="n">
        <f aca="false">AS22*Inputs!$B$5</f>
        <v>2.1</v>
      </c>
      <c r="AT24" s="10" t="n">
        <f aca="false">AT22*Inputs!$B$5</f>
        <v>2.1</v>
      </c>
      <c r="AU24" s="10" t="n">
        <f aca="false">AU22*Inputs!$B$5</f>
        <v>2.1</v>
      </c>
      <c r="AV24" s="10" t="n">
        <f aca="false">AV22*Inputs!$B$5</f>
        <v>2.1</v>
      </c>
      <c r="AW24" s="10" t="n">
        <f aca="false">AW22*Inputs!$B$5</f>
        <v>2.1</v>
      </c>
      <c r="AX24" s="10" t="n">
        <f aca="false">AX22*Inputs!$B$5</f>
        <v>2.1</v>
      </c>
      <c r="AY24" s="10" t="n">
        <f aca="false">AY22*Inputs!$B$5</f>
        <v>2.1</v>
      </c>
      <c r="AZ24" s="10" t="n">
        <f aca="false">AZ22*Inputs!$B$5</f>
        <v>2.1</v>
      </c>
      <c r="BA24" s="10" t="n">
        <f aca="false">BA22*Inputs!$B$5</f>
        <v>2.1</v>
      </c>
      <c r="BB24" s="10" t="n">
        <f aca="false">BB22*Inputs!$B$5</f>
        <v>2.1</v>
      </c>
      <c r="BC24" s="10" t="n">
        <f aca="false">BC22*Inputs!$B$5</f>
        <v>2.1</v>
      </c>
      <c r="BD24" s="10" t="n">
        <f aca="false">BD22*Inputs!$B$5</f>
        <v>2.1</v>
      </c>
      <c r="BE24" s="10" t="n">
        <f aca="false">BE22*Inputs!$B$5</f>
        <v>2.1</v>
      </c>
      <c r="BF24" s="10" t="n">
        <f aca="false">BF22*Inputs!$B$5</f>
        <v>2.1</v>
      </c>
      <c r="BG24" s="10" t="n">
        <f aca="false">BG22*Inputs!$B$5</f>
        <v>2.1</v>
      </c>
      <c r="BH24" s="10" t="n">
        <f aca="false">BH22*Inputs!$B$5</f>
        <v>2.1</v>
      </c>
      <c r="BI24" s="10" t="n">
        <f aca="false">BI22*Inputs!$B$5</f>
        <v>2.1</v>
      </c>
      <c r="BJ24" s="10" t="n">
        <f aca="false">BJ22*Inputs!$B$5</f>
        <v>2.1</v>
      </c>
      <c r="BK24" s="10" t="n">
        <f aca="false">BK22*Inputs!$B$5</f>
        <v>2.1</v>
      </c>
      <c r="BL24" s="10" t="n">
        <f aca="false">BL22*Inputs!$B$5</f>
        <v>2.1</v>
      </c>
      <c r="BM24" s="10" t="n">
        <f aca="false">BM22*Inputs!$B$5</f>
        <v>2.1</v>
      </c>
      <c r="BN24" s="10" t="n">
        <f aca="false">BN22*Inputs!$B$5</f>
        <v>2.1</v>
      </c>
      <c r="BO24" s="10" t="n">
        <f aca="false">BO22*Inputs!$B$5</f>
        <v>2.1</v>
      </c>
      <c r="BP24" s="10" t="n">
        <f aca="false">BP22*Inputs!$B$5</f>
        <v>2.1</v>
      </c>
      <c r="BQ24" s="10" t="n">
        <f aca="false">BQ22*Inputs!$B$5</f>
        <v>2.1</v>
      </c>
      <c r="BR24" s="10" t="n">
        <f aca="false">BR22*Inputs!$B$5</f>
        <v>2.1</v>
      </c>
      <c r="BS24" s="10" t="n">
        <f aca="false">BS22*Inputs!$B$5</f>
        <v>2.1</v>
      </c>
      <c r="BT24" s="10" t="n">
        <f aca="false">BT22*Inputs!$B$5</f>
        <v>2.1</v>
      </c>
      <c r="BU24" s="10" t="n">
        <f aca="false">BU22*Inputs!$B$5</f>
        <v>2.1</v>
      </c>
      <c r="BV24" s="10" t="n">
        <f aca="false">BV22*Inputs!$B$5</f>
        <v>2.1</v>
      </c>
      <c r="BW24" s="10" t="n">
        <f aca="false">BW22*Inputs!$B$5</f>
        <v>2.1</v>
      </c>
      <c r="BX24" s="10" t="n">
        <f aca="false">BX22*Inputs!$B$5</f>
        <v>2.1</v>
      </c>
      <c r="BY24" s="10" t="n">
        <f aca="false">BY22*Inputs!$B$5</f>
        <v>2.1</v>
      </c>
      <c r="BZ24" s="10" t="n">
        <f aca="false">BZ22*Inputs!$B$5</f>
        <v>2.1</v>
      </c>
      <c r="CA24" s="10" t="n">
        <f aca="false">CA22*Inputs!$B$5</f>
        <v>2.1</v>
      </c>
      <c r="CB24" s="10" t="n">
        <f aca="false">CB22*Inputs!$B$5</f>
        <v>2.1</v>
      </c>
      <c r="CC24" s="10" t="n">
        <f aca="false">CC22*Inputs!$B$5</f>
        <v>2.1</v>
      </c>
      <c r="CD24" s="10" t="n">
        <f aca="false">CD22*Inputs!$B$5</f>
        <v>2.1</v>
      </c>
      <c r="CE24" s="10" t="n">
        <f aca="false">CE22*Inputs!$B$5</f>
        <v>2.1</v>
      </c>
      <c r="CF24" s="10" t="n">
        <f aca="false">CF22*Inputs!$B$5</f>
        <v>2.1</v>
      </c>
      <c r="CG24" s="10" t="n">
        <f aca="false">CG22*Inputs!$B$5</f>
        <v>2.1</v>
      </c>
      <c r="CH24" s="10" t="n">
        <f aca="false">CH22*Inputs!$B$5</f>
        <v>2.1</v>
      </c>
      <c r="CI24" s="10" t="n">
        <f aca="false">CI22*Inputs!$B$5</f>
        <v>2.1</v>
      </c>
      <c r="CJ24" s="10" t="n">
        <f aca="false">CJ22*Inputs!$B$5</f>
        <v>2.1</v>
      </c>
      <c r="CK24" s="10" t="n">
        <f aca="false">CK22*Inputs!$B$5</f>
        <v>2.1</v>
      </c>
      <c r="CL24" s="10" t="n">
        <f aca="false">CL22*Inputs!$B$5</f>
        <v>2.1</v>
      </c>
      <c r="CM24" s="10" t="n">
        <f aca="false">CM22*Inputs!$B$5</f>
        <v>2.1</v>
      </c>
      <c r="CN24" s="10" t="n">
        <f aca="false">CN22*Inputs!$B$5</f>
        <v>2.1</v>
      </c>
      <c r="CO24" s="10" t="n">
        <f aca="false">CO22*Inputs!$B$5</f>
        <v>2.1</v>
      </c>
      <c r="CP24" s="10" t="n">
        <f aca="false">CP22*Inputs!$B$5</f>
        <v>2.1</v>
      </c>
      <c r="CQ24" s="10" t="n">
        <f aca="false">CQ22*Inputs!$B$5</f>
        <v>2.1</v>
      </c>
      <c r="CR24" s="10" t="n">
        <f aca="false">CR22*Inputs!$B$5</f>
        <v>2.1</v>
      </c>
      <c r="CS24" s="10" t="n">
        <f aca="false">CS22*Inputs!$B$5</f>
        <v>2.1</v>
      </c>
      <c r="CT24" s="10" t="n">
        <f aca="false">CT22*Inputs!$B$5</f>
        <v>2.1</v>
      </c>
      <c r="CU24" s="10" t="n">
        <f aca="false">CU22*Inputs!$B$5</f>
        <v>2.1</v>
      </c>
      <c r="CV24" s="10" t="n">
        <f aca="false">CV22*Inputs!$B$5</f>
        <v>2.1</v>
      </c>
      <c r="CW24" s="10" t="n">
        <f aca="false">CW22*Inputs!$B$5</f>
        <v>2.1</v>
      </c>
      <c r="CX24" s="10" t="n">
        <f aca="false">CX22*Inputs!$B$5</f>
        <v>2.1</v>
      </c>
      <c r="CY24" s="10" t="n">
        <f aca="false">CY22*Inputs!$B$5</f>
        <v>2.1</v>
      </c>
      <c r="CZ24" s="10" t="n">
        <f aca="false">CZ22*Inputs!$B$5</f>
        <v>2.1</v>
      </c>
      <c r="DA24" s="10" t="n">
        <f aca="false">DA22*Inputs!$B$5</f>
        <v>2.1</v>
      </c>
      <c r="DB24" s="10" t="n">
        <f aca="false">DB22*Inputs!$B$5</f>
        <v>2.1</v>
      </c>
      <c r="DC24" s="10" t="n">
        <f aca="false">DC22*Inputs!$B$5</f>
        <v>2.1</v>
      </c>
      <c r="DD24" s="10" t="n">
        <f aca="false">DD22*Inputs!$B$5</f>
        <v>2.1</v>
      </c>
      <c r="DE24" s="10" t="n">
        <f aca="false">DE22*Inputs!$B$5</f>
        <v>2.1</v>
      </c>
      <c r="DF24" s="10" t="n">
        <f aca="false">DF22*Inputs!$B$5</f>
        <v>2.1</v>
      </c>
      <c r="DG24" s="10" t="n">
        <f aca="false">DG22*Inputs!$B$5</f>
        <v>2.1</v>
      </c>
      <c r="DH24" s="10" t="n">
        <f aca="false">DH22*Inputs!$B$5</f>
        <v>2.1</v>
      </c>
      <c r="DI24" s="10" t="n">
        <f aca="false">DI22*Inputs!$B$5</f>
        <v>2.1</v>
      </c>
      <c r="DJ24" s="10" t="n">
        <f aca="false">DJ22*Inputs!$B$5</f>
        <v>2.1</v>
      </c>
      <c r="DK24" s="10" t="n">
        <f aca="false">DK22*Inputs!$B$5</f>
        <v>2.1</v>
      </c>
      <c r="DL24" s="10" t="n">
        <f aca="false">DL22*Inputs!$B$5</f>
        <v>2.1</v>
      </c>
      <c r="DM24" s="10" t="n">
        <f aca="false">DM22*Inputs!$B$5</f>
        <v>2.1</v>
      </c>
      <c r="DN24" s="10" t="n">
        <f aca="false">DN22*Inputs!$B$5</f>
        <v>2.1</v>
      </c>
      <c r="DO24" s="10" t="n">
        <f aca="false">DO22*Inputs!$B$5</f>
        <v>2.1</v>
      </c>
      <c r="DP24" s="10" t="n">
        <f aca="false">DP22*Inputs!$B$5</f>
        <v>2.1</v>
      </c>
      <c r="DQ24" s="10" t="n">
        <f aca="false">DQ22*Inputs!$B$5</f>
        <v>2.1</v>
      </c>
      <c r="DR24" s="10" t="n">
        <f aca="false">DR22*Inputs!$B$5</f>
        <v>2.1</v>
      </c>
    </row>
    <row r="25" customFormat="false" ht="15" hidden="false" customHeight="false" outlineLevel="0" collapsed="false">
      <c r="A25" s="9" t="s">
        <v>194</v>
      </c>
      <c r="B25" s="10" t="n">
        <f aca="false">B22*Inputs!$B$6</f>
        <v>0</v>
      </c>
      <c r="C25" s="10" t="n">
        <f aca="false">C22*Inputs!$B$6</f>
        <v>0</v>
      </c>
      <c r="D25" s="10" t="n">
        <f aca="false">D22*Inputs!$B$6</f>
        <v>0</v>
      </c>
      <c r="E25" s="10" t="n">
        <f aca="false">E22*Inputs!$B$6</f>
        <v>0</v>
      </c>
      <c r="F25" s="10" t="n">
        <f aca="false">F22*Inputs!$B$6</f>
        <v>0</v>
      </c>
      <c r="G25" s="10" t="n">
        <f aca="false">G22*Inputs!$B$6</f>
        <v>0</v>
      </c>
      <c r="H25" s="10" t="n">
        <f aca="false">H22*Inputs!$B$6</f>
        <v>0</v>
      </c>
      <c r="I25" s="10" t="n">
        <f aca="false">I22*Inputs!$B$6</f>
        <v>0</v>
      </c>
      <c r="J25" s="10" t="n">
        <f aca="false">J22*Inputs!$B$6</f>
        <v>0</v>
      </c>
      <c r="K25" s="10" t="n">
        <f aca="false">K22*Inputs!$B$6</f>
        <v>4.5</v>
      </c>
      <c r="L25" s="10" t="n">
        <f aca="false">L22*Inputs!$B$6</f>
        <v>4.5</v>
      </c>
      <c r="M25" s="10" t="n">
        <f aca="false">M22*Inputs!$B$6</f>
        <v>4.5</v>
      </c>
      <c r="N25" s="10" t="n">
        <f aca="false">N22*Inputs!$B$6</f>
        <v>7.5</v>
      </c>
      <c r="O25" s="10" t="n">
        <f aca="false">O22*Inputs!$B$6</f>
        <v>7.5</v>
      </c>
      <c r="P25" s="10" t="n">
        <f aca="false">P22*Inputs!$B$6</f>
        <v>7.5</v>
      </c>
      <c r="Q25" s="10" t="n">
        <f aca="false">Q22*Inputs!$B$6</f>
        <v>10.5</v>
      </c>
      <c r="R25" s="10" t="n">
        <f aca="false">R22*Inputs!$B$6</f>
        <v>10.5</v>
      </c>
      <c r="S25" s="10" t="n">
        <f aca="false">S22*Inputs!$B$6</f>
        <v>10.5</v>
      </c>
      <c r="T25" s="10" t="n">
        <f aca="false">T22*Inputs!$B$6</f>
        <v>10.5</v>
      </c>
      <c r="U25" s="10" t="n">
        <f aca="false">U22*Inputs!$B$6</f>
        <v>10.5</v>
      </c>
      <c r="V25" s="10" t="n">
        <f aca="false">V22*Inputs!$B$6</f>
        <v>10.5</v>
      </c>
      <c r="W25" s="10" t="n">
        <f aca="false">W22*Inputs!$B$6</f>
        <v>10.5</v>
      </c>
      <c r="X25" s="10" t="n">
        <f aca="false">X22*Inputs!$B$6</f>
        <v>10.5</v>
      </c>
      <c r="Y25" s="10" t="n">
        <f aca="false">Y22*Inputs!$B$6</f>
        <v>10.5</v>
      </c>
      <c r="Z25" s="10" t="n">
        <f aca="false">Z22*Inputs!$B$6</f>
        <v>10.5</v>
      </c>
      <c r="AA25" s="10" t="n">
        <f aca="false">AA22*Inputs!$B$6</f>
        <v>10.5</v>
      </c>
      <c r="AB25" s="10" t="n">
        <f aca="false">AB22*Inputs!$B$6</f>
        <v>10.5</v>
      </c>
      <c r="AC25" s="10" t="n">
        <f aca="false">AC22*Inputs!$B$6</f>
        <v>10.5</v>
      </c>
      <c r="AD25" s="10" t="n">
        <f aca="false">AD22*Inputs!$B$6</f>
        <v>10.5</v>
      </c>
      <c r="AE25" s="10" t="n">
        <f aca="false">AE22*Inputs!$B$6</f>
        <v>10.5</v>
      </c>
      <c r="AF25" s="10" t="n">
        <f aca="false">AF22*Inputs!$B$6</f>
        <v>10.5</v>
      </c>
      <c r="AG25" s="10" t="n">
        <f aca="false">AG22*Inputs!$B$6</f>
        <v>10.5</v>
      </c>
      <c r="AH25" s="10" t="n">
        <f aca="false">AH22*Inputs!$B$6</f>
        <v>10.5</v>
      </c>
      <c r="AI25" s="10" t="n">
        <f aca="false">AI22*Inputs!$B$6</f>
        <v>10.5</v>
      </c>
      <c r="AJ25" s="10" t="n">
        <f aca="false">AJ22*Inputs!$B$6</f>
        <v>10.5</v>
      </c>
      <c r="AK25" s="10" t="n">
        <f aca="false">AK22*Inputs!$B$6</f>
        <v>10.5</v>
      </c>
      <c r="AL25" s="10" t="n">
        <f aca="false">AL22*Inputs!$B$6</f>
        <v>10.5</v>
      </c>
      <c r="AM25" s="10" t="n">
        <f aca="false">AM22*Inputs!$B$6</f>
        <v>10.5</v>
      </c>
      <c r="AN25" s="10" t="n">
        <f aca="false">AN22*Inputs!$B$6</f>
        <v>10.5</v>
      </c>
      <c r="AO25" s="10" t="n">
        <f aca="false">AO22*Inputs!$B$6</f>
        <v>10.5</v>
      </c>
      <c r="AP25" s="10" t="n">
        <f aca="false">AP22*Inputs!$B$6</f>
        <v>10.5</v>
      </c>
      <c r="AQ25" s="10" t="n">
        <f aca="false">AQ22*Inputs!$B$6</f>
        <v>10.5</v>
      </c>
      <c r="AR25" s="10" t="n">
        <f aca="false">AR22*Inputs!$B$6</f>
        <v>10.5</v>
      </c>
      <c r="AS25" s="10" t="n">
        <f aca="false">AS22*Inputs!$B$6</f>
        <v>10.5</v>
      </c>
      <c r="AT25" s="10" t="n">
        <f aca="false">AT22*Inputs!$B$6</f>
        <v>10.5</v>
      </c>
      <c r="AU25" s="10" t="n">
        <f aca="false">AU22*Inputs!$B$6</f>
        <v>10.5</v>
      </c>
      <c r="AV25" s="10" t="n">
        <f aca="false">AV22*Inputs!$B$6</f>
        <v>10.5</v>
      </c>
      <c r="AW25" s="10" t="n">
        <f aca="false">AW22*Inputs!$B$6</f>
        <v>10.5</v>
      </c>
      <c r="AX25" s="10" t="n">
        <f aca="false">AX22*Inputs!$B$6</f>
        <v>10.5</v>
      </c>
      <c r="AY25" s="10" t="n">
        <f aca="false">AY22*Inputs!$B$6</f>
        <v>10.5</v>
      </c>
      <c r="AZ25" s="10" t="n">
        <f aca="false">AZ22*Inputs!$B$6</f>
        <v>10.5</v>
      </c>
      <c r="BA25" s="10" t="n">
        <f aca="false">BA22*Inputs!$B$6</f>
        <v>10.5</v>
      </c>
      <c r="BB25" s="10" t="n">
        <f aca="false">BB22*Inputs!$B$6</f>
        <v>10.5</v>
      </c>
      <c r="BC25" s="10" t="n">
        <f aca="false">BC22*Inputs!$B$6</f>
        <v>10.5</v>
      </c>
      <c r="BD25" s="10" t="n">
        <f aca="false">BD22*Inputs!$B$6</f>
        <v>10.5</v>
      </c>
      <c r="BE25" s="10" t="n">
        <f aca="false">BE22*Inputs!$B$6</f>
        <v>10.5</v>
      </c>
      <c r="BF25" s="10" t="n">
        <f aca="false">BF22*Inputs!$B$6</f>
        <v>10.5</v>
      </c>
      <c r="BG25" s="10" t="n">
        <f aca="false">BG22*Inputs!$B$6</f>
        <v>10.5</v>
      </c>
      <c r="BH25" s="10" t="n">
        <f aca="false">BH22*Inputs!$B$6</f>
        <v>10.5</v>
      </c>
      <c r="BI25" s="10" t="n">
        <f aca="false">BI22*Inputs!$B$6</f>
        <v>10.5</v>
      </c>
      <c r="BJ25" s="10" t="n">
        <f aca="false">BJ22*Inputs!$B$6</f>
        <v>10.5</v>
      </c>
      <c r="BK25" s="10" t="n">
        <f aca="false">BK22*Inputs!$B$6</f>
        <v>10.5</v>
      </c>
      <c r="BL25" s="10" t="n">
        <f aca="false">BL22*Inputs!$B$6</f>
        <v>10.5</v>
      </c>
      <c r="BM25" s="10" t="n">
        <f aca="false">BM22*Inputs!$B$6</f>
        <v>10.5</v>
      </c>
      <c r="BN25" s="10" t="n">
        <f aca="false">BN22*Inputs!$B$6</f>
        <v>10.5</v>
      </c>
      <c r="BO25" s="10" t="n">
        <f aca="false">BO22*Inputs!$B$6</f>
        <v>10.5</v>
      </c>
      <c r="BP25" s="10" t="n">
        <f aca="false">BP22*Inputs!$B$6</f>
        <v>10.5</v>
      </c>
      <c r="BQ25" s="10" t="n">
        <f aca="false">BQ22*Inputs!$B$6</f>
        <v>10.5</v>
      </c>
      <c r="BR25" s="10" t="n">
        <f aca="false">BR22*Inputs!$B$6</f>
        <v>10.5</v>
      </c>
      <c r="BS25" s="10" t="n">
        <f aca="false">BS22*Inputs!$B$6</f>
        <v>10.5</v>
      </c>
      <c r="BT25" s="10" t="n">
        <f aca="false">BT22*Inputs!$B$6</f>
        <v>10.5</v>
      </c>
      <c r="BU25" s="10" t="n">
        <f aca="false">BU22*Inputs!$B$6</f>
        <v>10.5</v>
      </c>
      <c r="BV25" s="10" t="n">
        <f aca="false">BV22*Inputs!$B$6</f>
        <v>10.5</v>
      </c>
      <c r="BW25" s="10" t="n">
        <f aca="false">BW22*Inputs!$B$6</f>
        <v>10.5</v>
      </c>
      <c r="BX25" s="10" t="n">
        <f aca="false">BX22*Inputs!$B$6</f>
        <v>10.5</v>
      </c>
      <c r="BY25" s="10" t="n">
        <f aca="false">BY22*Inputs!$B$6</f>
        <v>10.5</v>
      </c>
      <c r="BZ25" s="10" t="n">
        <f aca="false">BZ22*Inputs!$B$6</f>
        <v>10.5</v>
      </c>
      <c r="CA25" s="10" t="n">
        <f aca="false">CA22*Inputs!$B$6</f>
        <v>10.5</v>
      </c>
      <c r="CB25" s="10" t="n">
        <f aca="false">CB22*Inputs!$B$6</f>
        <v>10.5</v>
      </c>
      <c r="CC25" s="10" t="n">
        <f aca="false">CC22*Inputs!$B$6</f>
        <v>10.5</v>
      </c>
      <c r="CD25" s="10" t="n">
        <f aca="false">CD22*Inputs!$B$6</f>
        <v>10.5</v>
      </c>
      <c r="CE25" s="10" t="n">
        <f aca="false">CE22*Inputs!$B$6</f>
        <v>10.5</v>
      </c>
      <c r="CF25" s="10" t="n">
        <f aca="false">CF22*Inputs!$B$6</f>
        <v>10.5</v>
      </c>
      <c r="CG25" s="10" t="n">
        <f aca="false">CG22*Inputs!$B$6</f>
        <v>10.5</v>
      </c>
      <c r="CH25" s="10" t="n">
        <f aca="false">CH22*Inputs!$B$6</f>
        <v>10.5</v>
      </c>
      <c r="CI25" s="10" t="n">
        <f aca="false">CI22*Inputs!$B$6</f>
        <v>10.5</v>
      </c>
      <c r="CJ25" s="10" t="n">
        <f aca="false">CJ22*Inputs!$B$6</f>
        <v>10.5</v>
      </c>
      <c r="CK25" s="10" t="n">
        <f aca="false">CK22*Inputs!$B$6</f>
        <v>10.5</v>
      </c>
      <c r="CL25" s="10" t="n">
        <f aca="false">CL22*Inputs!$B$6</f>
        <v>10.5</v>
      </c>
      <c r="CM25" s="10" t="n">
        <f aca="false">CM22*Inputs!$B$6</f>
        <v>10.5</v>
      </c>
      <c r="CN25" s="10" t="n">
        <f aca="false">CN22*Inputs!$B$6</f>
        <v>10.5</v>
      </c>
      <c r="CO25" s="10" t="n">
        <f aca="false">CO22*Inputs!$B$6</f>
        <v>10.5</v>
      </c>
      <c r="CP25" s="10" t="n">
        <f aca="false">CP22*Inputs!$B$6</f>
        <v>10.5</v>
      </c>
      <c r="CQ25" s="10" t="n">
        <f aca="false">CQ22*Inputs!$B$6</f>
        <v>10.5</v>
      </c>
      <c r="CR25" s="10" t="n">
        <f aca="false">CR22*Inputs!$B$6</f>
        <v>10.5</v>
      </c>
      <c r="CS25" s="10" t="n">
        <f aca="false">CS22*Inputs!$B$6</f>
        <v>10.5</v>
      </c>
      <c r="CT25" s="10" t="n">
        <f aca="false">CT22*Inputs!$B$6</f>
        <v>10.5</v>
      </c>
      <c r="CU25" s="10" t="n">
        <f aca="false">CU22*Inputs!$B$6</f>
        <v>10.5</v>
      </c>
      <c r="CV25" s="10" t="n">
        <f aca="false">CV22*Inputs!$B$6</f>
        <v>10.5</v>
      </c>
      <c r="CW25" s="10" t="n">
        <f aca="false">CW22*Inputs!$B$6</f>
        <v>10.5</v>
      </c>
      <c r="CX25" s="10" t="n">
        <f aca="false">CX22*Inputs!$B$6</f>
        <v>10.5</v>
      </c>
      <c r="CY25" s="10" t="n">
        <f aca="false">CY22*Inputs!$B$6</f>
        <v>10.5</v>
      </c>
      <c r="CZ25" s="10" t="n">
        <f aca="false">CZ22*Inputs!$B$6</f>
        <v>10.5</v>
      </c>
      <c r="DA25" s="10" t="n">
        <f aca="false">DA22*Inputs!$B$6</f>
        <v>10.5</v>
      </c>
      <c r="DB25" s="10" t="n">
        <f aca="false">DB22*Inputs!$B$6</f>
        <v>10.5</v>
      </c>
      <c r="DC25" s="10" t="n">
        <f aca="false">DC22*Inputs!$B$6</f>
        <v>10.5</v>
      </c>
      <c r="DD25" s="10" t="n">
        <f aca="false">DD22*Inputs!$B$6</f>
        <v>10.5</v>
      </c>
      <c r="DE25" s="10" t="n">
        <f aca="false">DE22*Inputs!$B$6</f>
        <v>10.5</v>
      </c>
      <c r="DF25" s="10" t="n">
        <f aca="false">DF22*Inputs!$B$6</f>
        <v>10.5</v>
      </c>
      <c r="DG25" s="10" t="n">
        <f aca="false">DG22*Inputs!$B$6</f>
        <v>10.5</v>
      </c>
      <c r="DH25" s="10" t="n">
        <f aca="false">DH22*Inputs!$B$6</f>
        <v>10.5</v>
      </c>
      <c r="DI25" s="10" t="n">
        <f aca="false">DI22*Inputs!$B$6</f>
        <v>10.5</v>
      </c>
      <c r="DJ25" s="10" t="n">
        <f aca="false">DJ22*Inputs!$B$6</f>
        <v>10.5</v>
      </c>
      <c r="DK25" s="10" t="n">
        <f aca="false">DK22*Inputs!$B$6</f>
        <v>10.5</v>
      </c>
      <c r="DL25" s="10" t="n">
        <f aca="false">DL22*Inputs!$B$6</f>
        <v>10.5</v>
      </c>
      <c r="DM25" s="10" t="n">
        <f aca="false">DM22*Inputs!$B$6</f>
        <v>10.5</v>
      </c>
      <c r="DN25" s="10" t="n">
        <f aca="false">DN22*Inputs!$B$6</f>
        <v>10.5</v>
      </c>
      <c r="DO25" s="10" t="n">
        <f aca="false">DO22*Inputs!$B$6</f>
        <v>10.5</v>
      </c>
      <c r="DP25" s="10" t="n">
        <f aca="false">DP22*Inputs!$B$6</f>
        <v>10.5</v>
      </c>
      <c r="DQ25" s="10" t="n">
        <f aca="false">DQ22*Inputs!$B$6</f>
        <v>10.5</v>
      </c>
      <c r="DR25" s="10" t="n">
        <f aca="false">DR22*Inputs!$B$6</f>
        <v>10.5</v>
      </c>
    </row>
    <row r="26" customFormat="false" ht="15" hidden="false" customHeight="false" outlineLevel="0" collapsed="false">
      <c r="A26" s="9" t="s">
        <v>195</v>
      </c>
      <c r="B26" s="10" t="n">
        <f aca="false">B22*Inputs!$B$7</f>
        <v>0</v>
      </c>
      <c r="C26" s="10" t="n">
        <f aca="false">C22*Inputs!$B$7</f>
        <v>0</v>
      </c>
      <c r="D26" s="10" t="n">
        <f aca="false">D22*Inputs!$B$7</f>
        <v>0</v>
      </c>
      <c r="E26" s="10" t="n">
        <f aca="false">E22*Inputs!$B$7</f>
        <v>0</v>
      </c>
      <c r="F26" s="10" t="n">
        <f aca="false">F22*Inputs!$B$7</f>
        <v>0</v>
      </c>
      <c r="G26" s="10" t="n">
        <f aca="false">G22*Inputs!$B$7</f>
        <v>0</v>
      </c>
      <c r="H26" s="10" t="n">
        <f aca="false">H22*Inputs!$B$7</f>
        <v>0</v>
      </c>
      <c r="I26" s="10" t="n">
        <f aca="false">I22*Inputs!$B$7</f>
        <v>0</v>
      </c>
      <c r="J26" s="10" t="n">
        <f aca="false">J22*Inputs!$B$7</f>
        <v>0</v>
      </c>
      <c r="K26" s="10" t="n">
        <f aca="false">K22*Inputs!$B$7</f>
        <v>1.8</v>
      </c>
      <c r="L26" s="10" t="n">
        <f aca="false">L22*Inputs!$B$7</f>
        <v>1.8</v>
      </c>
      <c r="M26" s="10" t="n">
        <f aca="false">M22*Inputs!$B$7</f>
        <v>1.8</v>
      </c>
      <c r="N26" s="10" t="n">
        <f aca="false">N22*Inputs!$B$7</f>
        <v>3</v>
      </c>
      <c r="O26" s="10" t="n">
        <f aca="false">O22*Inputs!$B$7</f>
        <v>3</v>
      </c>
      <c r="P26" s="10" t="n">
        <f aca="false">P22*Inputs!$B$7</f>
        <v>3</v>
      </c>
      <c r="Q26" s="10" t="n">
        <f aca="false">Q22*Inputs!$B$7</f>
        <v>4.2</v>
      </c>
      <c r="R26" s="10" t="n">
        <f aca="false">R22*Inputs!$B$7</f>
        <v>4.2</v>
      </c>
      <c r="S26" s="10" t="n">
        <f aca="false">S22*Inputs!$B$7</f>
        <v>4.2</v>
      </c>
      <c r="T26" s="10" t="n">
        <f aca="false">T22*Inputs!$B$7</f>
        <v>4.2</v>
      </c>
      <c r="U26" s="10" t="n">
        <f aca="false">U22*Inputs!$B$7</f>
        <v>4.2</v>
      </c>
      <c r="V26" s="10" t="n">
        <f aca="false">V22*Inputs!$B$7</f>
        <v>4.2</v>
      </c>
      <c r="W26" s="10" t="n">
        <f aca="false">W22*Inputs!$B$7</f>
        <v>4.2</v>
      </c>
      <c r="X26" s="10" t="n">
        <f aca="false">X22*Inputs!$B$7</f>
        <v>4.2</v>
      </c>
      <c r="Y26" s="10" t="n">
        <f aca="false">Y22*Inputs!$B$7</f>
        <v>4.2</v>
      </c>
      <c r="Z26" s="10" t="n">
        <f aca="false">Z22*Inputs!$B$7</f>
        <v>4.2</v>
      </c>
      <c r="AA26" s="10" t="n">
        <f aca="false">AA22*Inputs!$B$7</f>
        <v>4.2</v>
      </c>
      <c r="AB26" s="10" t="n">
        <f aca="false">AB22*Inputs!$B$7</f>
        <v>4.2</v>
      </c>
      <c r="AC26" s="10" t="n">
        <f aca="false">AC22*Inputs!$B$7</f>
        <v>4.2</v>
      </c>
      <c r="AD26" s="10" t="n">
        <f aca="false">AD22*Inputs!$B$7</f>
        <v>4.2</v>
      </c>
      <c r="AE26" s="10" t="n">
        <f aca="false">AE22*Inputs!$B$7</f>
        <v>4.2</v>
      </c>
      <c r="AF26" s="10" t="n">
        <f aca="false">AF22*Inputs!$B$7</f>
        <v>4.2</v>
      </c>
      <c r="AG26" s="10" t="n">
        <f aca="false">AG22*Inputs!$B$7</f>
        <v>4.2</v>
      </c>
      <c r="AH26" s="10" t="n">
        <f aca="false">AH22*Inputs!$B$7</f>
        <v>4.2</v>
      </c>
      <c r="AI26" s="10" t="n">
        <f aca="false">AI22*Inputs!$B$7</f>
        <v>4.2</v>
      </c>
      <c r="AJ26" s="10" t="n">
        <f aca="false">AJ22*Inputs!$B$7</f>
        <v>4.2</v>
      </c>
      <c r="AK26" s="10" t="n">
        <f aca="false">AK22*Inputs!$B$7</f>
        <v>4.2</v>
      </c>
      <c r="AL26" s="10" t="n">
        <f aca="false">AL22*Inputs!$B$7</f>
        <v>4.2</v>
      </c>
      <c r="AM26" s="10" t="n">
        <f aca="false">AM22*Inputs!$B$7</f>
        <v>4.2</v>
      </c>
      <c r="AN26" s="10" t="n">
        <f aca="false">AN22*Inputs!$B$7</f>
        <v>4.2</v>
      </c>
      <c r="AO26" s="10" t="n">
        <f aca="false">AO22*Inputs!$B$7</f>
        <v>4.2</v>
      </c>
      <c r="AP26" s="10" t="n">
        <f aca="false">AP22*Inputs!$B$7</f>
        <v>4.2</v>
      </c>
      <c r="AQ26" s="10" t="n">
        <f aca="false">AQ22*Inputs!$B$7</f>
        <v>4.2</v>
      </c>
      <c r="AR26" s="10" t="n">
        <f aca="false">AR22*Inputs!$B$7</f>
        <v>4.2</v>
      </c>
      <c r="AS26" s="10" t="n">
        <f aca="false">AS22*Inputs!$B$7</f>
        <v>4.2</v>
      </c>
      <c r="AT26" s="10" t="n">
        <f aca="false">AT22*Inputs!$B$7</f>
        <v>4.2</v>
      </c>
      <c r="AU26" s="10" t="n">
        <f aca="false">AU22*Inputs!$B$7</f>
        <v>4.2</v>
      </c>
      <c r="AV26" s="10" t="n">
        <f aca="false">AV22*Inputs!$B$7</f>
        <v>4.2</v>
      </c>
      <c r="AW26" s="10" t="n">
        <f aca="false">AW22*Inputs!$B$7</f>
        <v>4.2</v>
      </c>
      <c r="AX26" s="10" t="n">
        <f aca="false">AX22*Inputs!$B$7</f>
        <v>4.2</v>
      </c>
      <c r="AY26" s="10" t="n">
        <f aca="false">AY22*Inputs!$B$7</f>
        <v>4.2</v>
      </c>
      <c r="AZ26" s="10" t="n">
        <f aca="false">AZ22*Inputs!$B$7</f>
        <v>4.2</v>
      </c>
      <c r="BA26" s="10" t="n">
        <f aca="false">BA22*Inputs!$B$7</f>
        <v>4.2</v>
      </c>
      <c r="BB26" s="10" t="n">
        <f aca="false">BB22*Inputs!$B$7</f>
        <v>4.2</v>
      </c>
      <c r="BC26" s="10" t="n">
        <f aca="false">BC22*Inputs!$B$7</f>
        <v>4.2</v>
      </c>
      <c r="BD26" s="10" t="n">
        <f aca="false">BD22*Inputs!$B$7</f>
        <v>4.2</v>
      </c>
      <c r="BE26" s="10" t="n">
        <f aca="false">BE22*Inputs!$B$7</f>
        <v>4.2</v>
      </c>
      <c r="BF26" s="10" t="n">
        <f aca="false">BF22*Inputs!$B$7</f>
        <v>4.2</v>
      </c>
      <c r="BG26" s="10" t="n">
        <f aca="false">BG22*Inputs!$B$7</f>
        <v>4.2</v>
      </c>
      <c r="BH26" s="10" t="n">
        <f aca="false">BH22*Inputs!$B$7</f>
        <v>4.2</v>
      </c>
      <c r="BI26" s="10" t="n">
        <f aca="false">BI22*Inputs!$B$7</f>
        <v>4.2</v>
      </c>
      <c r="BJ26" s="10" t="n">
        <f aca="false">BJ22*Inputs!$B$7</f>
        <v>4.2</v>
      </c>
      <c r="BK26" s="10" t="n">
        <f aca="false">BK22*Inputs!$B$7</f>
        <v>4.2</v>
      </c>
      <c r="BL26" s="10" t="n">
        <f aca="false">BL22*Inputs!$B$7</f>
        <v>4.2</v>
      </c>
      <c r="BM26" s="10" t="n">
        <f aca="false">BM22*Inputs!$B$7</f>
        <v>4.2</v>
      </c>
      <c r="BN26" s="10" t="n">
        <f aca="false">BN22*Inputs!$B$7</f>
        <v>4.2</v>
      </c>
      <c r="BO26" s="10" t="n">
        <f aca="false">BO22*Inputs!$B$7</f>
        <v>4.2</v>
      </c>
      <c r="BP26" s="10" t="n">
        <f aca="false">BP22*Inputs!$B$7</f>
        <v>4.2</v>
      </c>
      <c r="BQ26" s="10" t="n">
        <f aca="false">BQ22*Inputs!$B$7</f>
        <v>4.2</v>
      </c>
      <c r="BR26" s="10" t="n">
        <f aca="false">BR22*Inputs!$B$7</f>
        <v>4.2</v>
      </c>
      <c r="BS26" s="10" t="n">
        <f aca="false">BS22*Inputs!$B$7</f>
        <v>4.2</v>
      </c>
      <c r="BT26" s="10" t="n">
        <f aca="false">BT22*Inputs!$B$7</f>
        <v>4.2</v>
      </c>
      <c r="BU26" s="10" t="n">
        <f aca="false">BU22*Inputs!$B$7</f>
        <v>4.2</v>
      </c>
      <c r="BV26" s="10" t="n">
        <f aca="false">BV22*Inputs!$B$7</f>
        <v>4.2</v>
      </c>
      <c r="BW26" s="10" t="n">
        <f aca="false">BW22*Inputs!$B$7</f>
        <v>4.2</v>
      </c>
      <c r="BX26" s="10" t="n">
        <f aca="false">BX22*Inputs!$B$7</f>
        <v>4.2</v>
      </c>
      <c r="BY26" s="10" t="n">
        <f aca="false">BY22*Inputs!$B$7</f>
        <v>4.2</v>
      </c>
      <c r="BZ26" s="10" t="n">
        <f aca="false">BZ22*Inputs!$B$7</f>
        <v>4.2</v>
      </c>
      <c r="CA26" s="10" t="n">
        <f aca="false">CA22*Inputs!$B$7</f>
        <v>4.2</v>
      </c>
      <c r="CB26" s="10" t="n">
        <f aca="false">CB22*Inputs!$B$7</f>
        <v>4.2</v>
      </c>
      <c r="CC26" s="10" t="n">
        <f aca="false">CC22*Inputs!$B$7</f>
        <v>4.2</v>
      </c>
      <c r="CD26" s="10" t="n">
        <f aca="false">CD22*Inputs!$B$7</f>
        <v>4.2</v>
      </c>
      <c r="CE26" s="10" t="n">
        <f aca="false">CE22*Inputs!$B$7</f>
        <v>4.2</v>
      </c>
      <c r="CF26" s="10" t="n">
        <f aca="false">CF22*Inputs!$B$7</f>
        <v>4.2</v>
      </c>
      <c r="CG26" s="10" t="n">
        <f aca="false">CG22*Inputs!$B$7</f>
        <v>4.2</v>
      </c>
      <c r="CH26" s="10" t="n">
        <f aca="false">CH22*Inputs!$B$7</f>
        <v>4.2</v>
      </c>
      <c r="CI26" s="10" t="n">
        <f aca="false">CI22*Inputs!$B$7</f>
        <v>4.2</v>
      </c>
      <c r="CJ26" s="10" t="n">
        <f aca="false">CJ22*Inputs!$B$7</f>
        <v>4.2</v>
      </c>
      <c r="CK26" s="10" t="n">
        <f aca="false">CK22*Inputs!$B$7</f>
        <v>4.2</v>
      </c>
      <c r="CL26" s="10" t="n">
        <f aca="false">CL22*Inputs!$B$7</f>
        <v>4.2</v>
      </c>
      <c r="CM26" s="10" t="n">
        <f aca="false">CM22*Inputs!$B$7</f>
        <v>4.2</v>
      </c>
      <c r="CN26" s="10" t="n">
        <f aca="false">CN22*Inputs!$B$7</f>
        <v>4.2</v>
      </c>
      <c r="CO26" s="10" t="n">
        <f aca="false">CO22*Inputs!$B$7</f>
        <v>4.2</v>
      </c>
      <c r="CP26" s="10" t="n">
        <f aca="false">CP22*Inputs!$B$7</f>
        <v>4.2</v>
      </c>
      <c r="CQ26" s="10" t="n">
        <f aca="false">CQ22*Inputs!$B$7</f>
        <v>4.2</v>
      </c>
      <c r="CR26" s="10" t="n">
        <f aca="false">CR22*Inputs!$B$7</f>
        <v>4.2</v>
      </c>
      <c r="CS26" s="10" t="n">
        <f aca="false">CS22*Inputs!$B$7</f>
        <v>4.2</v>
      </c>
      <c r="CT26" s="10" t="n">
        <f aca="false">CT22*Inputs!$B$7</f>
        <v>4.2</v>
      </c>
      <c r="CU26" s="10" t="n">
        <f aca="false">CU22*Inputs!$B$7</f>
        <v>4.2</v>
      </c>
      <c r="CV26" s="10" t="n">
        <f aca="false">CV22*Inputs!$B$7</f>
        <v>4.2</v>
      </c>
      <c r="CW26" s="10" t="n">
        <f aca="false">CW22*Inputs!$B$7</f>
        <v>4.2</v>
      </c>
      <c r="CX26" s="10" t="n">
        <f aca="false">CX22*Inputs!$B$7</f>
        <v>4.2</v>
      </c>
      <c r="CY26" s="10" t="n">
        <f aca="false">CY22*Inputs!$B$7</f>
        <v>4.2</v>
      </c>
      <c r="CZ26" s="10" t="n">
        <f aca="false">CZ22*Inputs!$B$7</f>
        <v>4.2</v>
      </c>
      <c r="DA26" s="10" t="n">
        <f aca="false">DA22*Inputs!$B$7</f>
        <v>4.2</v>
      </c>
      <c r="DB26" s="10" t="n">
        <f aca="false">DB22*Inputs!$B$7</f>
        <v>4.2</v>
      </c>
      <c r="DC26" s="10" t="n">
        <f aca="false">DC22*Inputs!$B$7</f>
        <v>4.2</v>
      </c>
      <c r="DD26" s="10" t="n">
        <f aca="false">DD22*Inputs!$B$7</f>
        <v>4.2</v>
      </c>
      <c r="DE26" s="10" t="n">
        <f aca="false">DE22*Inputs!$B$7</f>
        <v>4.2</v>
      </c>
      <c r="DF26" s="10" t="n">
        <f aca="false">DF22*Inputs!$B$7</f>
        <v>4.2</v>
      </c>
      <c r="DG26" s="10" t="n">
        <f aca="false">DG22*Inputs!$B$7</f>
        <v>4.2</v>
      </c>
      <c r="DH26" s="10" t="n">
        <f aca="false">DH22*Inputs!$B$7</f>
        <v>4.2</v>
      </c>
      <c r="DI26" s="10" t="n">
        <f aca="false">DI22*Inputs!$B$7</f>
        <v>4.2</v>
      </c>
      <c r="DJ26" s="10" t="n">
        <f aca="false">DJ22*Inputs!$B$7</f>
        <v>4.2</v>
      </c>
      <c r="DK26" s="10" t="n">
        <f aca="false">DK22*Inputs!$B$7</f>
        <v>4.2</v>
      </c>
      <c r="DL26" s="10" t="n">
        <f aca="false">DL22*Inputs!$B$7</f>
        <v>4.2</v>
      </c>
      <c r="DM26" s="10" t="n">
        <f aca="false">DM22*Inputs!$B$7</f>
        <v>4.2</v>
      </c>
      <c r="DN26" s="10" t="n">
        <f aca="false">DN22*Inputs!$B$7</f>
        <v>4.2</v>
      </c>
      <c r="DO26" s="10" t="n">
        <f aca="false">DO22*Inputs!$B$7</f>
        <v>4.2</v>
      </c>
      <c r="DP26" s="10" t="n">
        <f aca="false">DP22*Inputs!$B$7</f>
        <v>4.2</v>
      </c>
      <c r="DQ26" s="10" t="n">
        <f aca="false">DQ22*Inputs!$B$7</f>
        <v>4.2</v>
      </c>
      <c r="DR26" s="10" t="n">
        <f aca="false">DR22*Inputs!$B$7</f>
        <v>4.2</v>
      </c>
    </row>
    <row r="27" customFormat="false" ht="15" hidden="false" customHeight="false" outlineLevel="0" collapsed="false">
      <c r="A27" s="9" t="s">
        <v>196</v>
      </c>
      <c r="B27" s="10" t="n">
        <f aca="false">B22*Inputs!$B$8</f>
        <v>0</v>
      </c>
      <c r="C27" s="10" t="n">
        <f aca="false">C22*Inputs!$B$8</f>
        <v>0</v>
      </c>
      <c r="D27" s="10" t="n">
        <f aca="false">D22*Inputs!$B$8</f>
        <v>0</v>
      </c>
      <c r="E27" s="10" t="n">
        <f aca="false">E22*Inputs!$B$8</f>
        <v>0</v>
      </c>
      <c r="F27" s="10" t="n">
        <f aca="false">F22*Inputs!$B$8</f>
        <v>0</v>
      </c>
      <c r="G27" s="10" t="n">
        <f aca="false">G22*Inputs!$B$8</f>
        <v>0</v>
      </c>
      <c r="H27" s="10" t="n">
        <f aca="false">H22*Inputs!$B$8</f>
        <v>0</v>
      </c>
      <c r="I27" s="10" t="n">
        <f aca="false">I22*Inputs!$B$8</f>
        <v>0</v>
      </c>
      <c r="J27" s="10" t="n">
        <f aca="false">J22*Inputs!$B$8</f>
        <v>0</v>
      </c>
      <c r="K27" s="10" t="n">
        <f aca="false">K22*Inputs!$B$8</f>
        <v>2.7</v>
      </c>
      <c r="L27" s="10" t="n">
        <f aca="false">L22*Inputs!$B$8</f>
        <v>2.7</v>
      </c>
      <c r="M27" s="10" t="n">
        <f aca="false">M22*Inputs!$B$8</f>
        <v>2.7</v>
      </c>
      <c r="N27" s="10" t="n">
        <f aca="false">N22*Inputs!$B$8</f>
        <v>4.5</v>
      </c>
      <c r="O27" s="10" t="n">
        <f aca="false">O22*Inputs!$B$8</f>
        <v>4.5</v>
      </c>
      <c r="P27" s="10" t="n">
        <f aca="false">P22*Inputs!$B$8</f>
        <v>4.5</v>
      </c>
      <c r="Q27" s="10" t="n">
        <f aca="false">Q22*Inputs!$B$8</f>
        <v>6.3</v>
      </c>
      <c r="R27" s="10" t="n">
        <f aca="false">R22*Inputs!$B$8</f>
        <v>6.3</v>
      </c>
      <c r="S27" s="10" t="n">
        <f aca="false">S22*Inputs!$B$8</f>
        <v>6.3</v>
      </c>
      <c r="T27" s="10" t="n">
        <f aca="false">T22*Inputs!$B$8</f>
        <v>6.3</v>
      </c>
      <c r="U27" s="10" t="n">
        <f aca="false">U22*Inputs!$B$8</f>
        <v>6.3</v>
      </c>
      <c r="V27" s="10" t="n">
        <f aca="false">V22*Inputs!$B$8</f>
        <v>6.3</v>
      </c>
      <c r="W27" s="10" t="n">
        <f aca="false">W22*Inputs!$B$8</f>
        <v>6.3</v>
      </c>
      <c r="X27" s="10" t="n">
        <f aca="false">X22*Inputs!$B$8</f>
        <v>6.3</v>
      </c>
      <c r="Y27" s="10" t="n">
        <f aca="false">Y22*Inputs!$B$8</f>
        <v>6.3</v>
      </c>
      <c r="Z27" s="10" t="n">
        <f aca="false">Z22*Inputs!$B$8</f>
        <v>6.3</v>
      </c>
      <c r="AA27" s="10" t="n">
        <f aca="false">AA22*Inputs!$B$8</f>
        <v>6.3</v>
      </c>
      <c r="AB27" s="10" t="n">
        <f aca="false">AB22*Inputs!$B$8</f>
        <v>6.3</v>
      </c>
      <c r="AC27" s="10" t="n">
        <f aca="false">AC22*Inputs!$B$8</f>
        <v>6.3</v>
      </c>
      <c r="AD27" s="10" t="n">
        <f aca="false">AD22*Inputs!$B$8</f>
        <v>6.3</v>
      </c>
      <c r="AE27" s="10" t="n">
        <f aca="false">AE22*Inputs!$B$8</f>
        <v>6.3</v>
      </c>
      <c r="AF27" s="10" t="n">
        <f aca="false">AF22*Inputs!$B$8</f>
        <v>6.3</v>
      </c>
      <c r="AG27" s="10" t="n">
        <f aca="false">AG22*Inputs!$B$8</f>
        <v>6.3</v>
      </c>
      <c r="AH27" s="10" t="n">
        <f aca="false">AH22*Inputs!$B$8</f>
        <v>6.3</v>
      </c>
      <c r="AI27" s="10" t="n">
        <f aca="false">AI22*Inputs!$B$8</f>
        <v>6.3</v>
      </c>
      <c r="AJ27" s="10" t="n">
        <f aca="false">AJ22*Inputs!$B$8</f>
        <v>6.3</v>
      </c>
      <c r="AK27" s="10" t="n">
        <f aca="false">AK22*Inputs!$B$8</f>
        <v>6.3</v>
      </c>
      <c r="AL27" s="10" t="n">
        <f aca="false">AL22*Inputs!$B$8</f>
        <v>6.3</v>
      </c>
      <c r="AM27" s="10" t="n">
        <f aca="false">AM22*Inputs!$B$8</f>
        <v>6.3</v>
      </c>
      <c r="AN27" s="10" t="n">
        <f aca="false">AN22*Inputs!$B$8</f>
        <v>6.3</v>
      </c>
      <c r="AO27" s="10" t="n">
        <f aca="false">AO22*Inputs!$B$8</f>
        <v>6.3</v>
      </c>
      <c r="AP27" s="10" t="n">
        <f aca="false">AP22*Inputs!$B$8</f>
        <v>6.3</v>
      </c>
      <c r="AQ27" s="10" t="n">
        <f aca="false">AQ22*Inputs!$B$8</f>
        <v>6.3</v>
      </c>
      <c r="AR27" s="10" t="n">
        <f aca="false">AR22*Inputs!$B$8</f>
        <v>6.3</v>
      </c>
      <c r="AS27" s="10" t="n">
        <f aca="false">AS22*Inputs!$B$8</f>
        <v>6.3</v>
      </c>
      <c r="AT27" s="10" t="n">
        <f aca="false">AT22*Inputs!$B$8</f>
        <v>6.3</v>
      </c>
      <c r="AU27" s="10" t="n">
        <f aca="false">AU22*Inputs!$B$8</f>
        <v>6.3</v>
      </c>
      <c r="AV27" s="10" t="n">
        <f aca="false">AV22*Inputs!$B$8</f>
        <v>6.3</v>
      </c>
      <c r="AW27" s="10" t="n">
        <f aca="false">AW22*Inputs!$B$8</f>
        <v>6.3</v>
      </c>
      <c r="AX27" s="10" t="n">
        <f aca="false">AX22*Inputs!$B$8</f>
        <v>6.3</v>
      </c>
      <c r="AY27" s="10" t="n">
        <f aca="false">AY22*Inputs!$B$8</f>
        <v>6.3</v>
      </c>
      <c r="AZ27" s="10" t="n">
        <f aca="false">AZ22*Inputs!$B$8</f>
        <v>6.3</v>
      </c>
      <c r="BA27" s="10" t="n">
        <f aca="false">BA22*Inputs!$B$8</f>
        <v>6.3</v>
      </c>
      <c r="BB27" s="10" t="n">
        <f aca="false">BB22*Inputs!$B$8</f>
        <v>6.3</v>
      </c>
      <c r="BC27" s="10" t="n">
        <f aca="false">BC22*Inputs!$B$8</f>
        <v>6.3</v>
      </c>
      <c r="BD27" s="10" t="n">
        <f aca="false">BD22*Inputs!$B$8</f>
        <v>6.3</v>
      </c>
      <c r="BE27" s="10" t="n">
        <f aca="false">BE22*Inputs!$B$8</f>
        <v>6.3</v>
      </c>
      <c r="BF27" s="10" t="n">
        <f aca="false">BF22*Inputs!$B$8</f>
        <v>6.3</v>
      </c>
      <c r="BG27" s="10" t="n">
        <f aca="false">BG22*Inputs!$B$8</f>
        <v>6.3</v>
      </c>
      <c r="BH27" s="10" t="n">
        <f aca="false">BH22*Inputs!$B$8</f>
        <v>6.3</v>
      </c>
      <c r="BI27" s="10" t="n">
        <f aca="false">BI22*Inputs!$B$8</f>
        <v>6.3</v>
      </c>
      <c r="BJ27" s="10" t="n">
        <f aca="false">BJ22*Inputs!$B$8</f>
        <v>6.3</v>
      </c>
      <c r="BK27" s="10" t="n">
        <f aca="false">BK22*Inputs!$B$8</f>
        <v>6.3</v>
      </c>
      <c r="BL27" s="10" t="n">
        <f aca="false">BL22*Inputs!$B$8</f>
        <v>6.3</v>
      </c>
      <c r="BM27" s="10" t="n">
        <f aca="false">BM22*Inputs!$B$8</f>
        <v>6.3</v>
      </c>
      <c r="BN27" s="10" t="n">
        <f aca="false">BN22*Inputs!$B$8</f>
        <v>6.3</v>
      </c>
      <c r="BO27" s="10" t="n">
        <f aca="false">BO22*Inputs!$B$8</f>
        <v>6.3</v>
      </c>
      <c r="BP27" s="10" t="n">
        <f aca="false">BP22*Inputs!$B$8</f>
        <v>6.3</v>
      </c>
      <c r="BQ27" s="10" t="n">
        <f aca="false">BQ22*Inputs!$B$8</f>
        <v>6.3</v>
      </c>
      <c r="BR27" s="10" t="n">
        <f aca="false">BR22*Inputs!$B$8</f>
        <v>6.3</v>
      </c>
      <c r="BS27" s="10" t="n">
        <f aca="false">BS22*Inputs!$B$8</f>
        <v>6.3</v>
      </c>
      <c r="BT27" s="10" t="n">
        <f aca="false">BT22*Inputs!$B$8</f>
        <v>6.3</v>
      </c>
      <c r="BU27" s="10" t="n">
        <f aca="false">BU22*Inputs!$B$8</f>
        <v>6.3</v>
      </c>
      <c r="BV27" s="10" t="n">
        <f aca="false">BV22*Inputs!$B$8</f>
        <v>6.3</v>
      </c>
      <c r="BW27" s="10" t="n">
        <f aca="false">BW22*Inputs!$B$8</f>
        <v>6.3</v>
      </c>
      <c r="BX27" s="10" t="n">
        <f aca="false">BX22*Inputs!$B$8</f>
        <v>6.3</v>
      </c>
      <c r="BY27" s="10" t="n">
        <f aca="false">BY22*Inputs!$B$8</f>
        <v>6.3</v>
      </c>
      <c r="BZ27" s="10" t="n">
        <f aca="false">BZ22*Inputs!$B$8</f>
        <v>6.3</v>
      </c>
      <c r="CA27" s="10" t="n">
        <f aca="false">CA22*Inputs!$B$8</f>
        <v>6.3</v>
      </c>
      <c r="CB27" s="10" t="n">
        <f aca="false">CB22*Inputs!$B$8</f>
        <v>6.3</v>
      </c>
      <c r="CC27" s="10" t="n">
        <f aca="false">CC22*Inputs!$B$8</f>
        <v>6.3</v>
      </c>
      <c r="CD27" s="10" t="n">
        <f aca="false">CD22*Inputs!$B$8</f>
        <v>6.3</v>
      </c>
      <c r="CE27" s="10" t="n">
        <f aca="false">CE22*Inputs!$B$8</f>
        <v>6.3</v>
      </c>
      <c r="CF27" s="10" t="n">
        <f aca="false">CF22*Inputs!$B$8</f>
        <v>6.3</v>
      </c>
      <c r="CG27" s="10" t="n">
        <f aca="false">CG22*Inputs!$B$8</f>
        <v>6.3</v>
      </c>
      <c r="CH27" s="10" t="n">
        <f aca="false">CH22*Inputs!$B$8</f>
        <v>6.3</v>
      </c>
      <c r="CI27" s="10" t="n">
        <f aca="false">CI22*Inputs!$B$8</f>
        <v>6.3</v>
      </c>
      <c r="CJ27" s="10" t="n">
        <f aca="false">CJ22*Inputs!$B$8</f>
        <v>6.3</v>
      </c>
      <c r="CK27" s="10" t="n">
        <f aca="false">CK22*Inputs!$B$8</f>
        <v>6.3</v>
      </c>
      <c r="CL27" s="10" t="n">
        <f aca="false">CL22*Inputs!$B$8</f>
        <v>6.3</v>
      </c>
      <c r="CM27" s="10" t="n">
        <f aca="false">CM22*Inputs!$B$8</f>
        <v>6.3</v>
      </c>
      <c r="CN27" s="10" t="n">
        <f aca="false">CN22*Inputs!$B$8</f>
        <v>6.3</v>
      </c>
      <c r="CO27" s="10" t="n">
        <f aca="false">CO22*Inputs!$B$8</f>
        <v>6.3</v>
      </c>
      <c r="CP27" s="10" t="n">
        <f aca="false">CP22*Inputs!$B$8</f>
        <v>6.3</v>
      </c>
      <c r="CQ27" s="10" t="n">
        <f aca="false">CQ22*Inputs!$B$8</f>
        <v>6.3</v>
      </c>
      <c r="CR27" s="10" t="n">
        <f aca="false">CR22*Inputs!$B$8</f>
        <v>6.3</v>
      </c>
      <c r="CS27" s="10" t="n">
        <f aca="false">CS22*Inputs!$B$8</f>
        <v>6.3</v>
      </c>
      <c r="CT27" s="10" t="n">
        <f aca="false">CT22*Inputs!$B$8</f>
        <v>6.3</v>
      </c>
      <c r="CU27" s="10" t="n">
        <f aca="false">CU22*Inputs!$B$8</f>
        <v>6.3</v>
      </c>
      <c r="CV27" s="10" t="n">
        <f aca="false">CV22*Inputs!$B$8</f>
        <v>6.3</v>
      </c>
      <c r="CW27" s="10" t="n">
        <f aca="false">CW22*Inputs!$B$8</f>
        <v>6.3</v>
      </c>
      <c r="CX27" s="10" t="n">
        <f aca="false">CX22*Inputs!$B$8</f>
        <v>6.3</v>
      </c>
      <c r="CY27" s="10" t="n">
        <f aca="false">CY22*Inputs!$B$8</f>
        <v>6.3</v>
      </c>
      <c r="CZ27" s="10" t="n">
        <f aca="false">CZ22*Inputs!$B$8</f>
        <v>6.3</v>
      </c>
      <c r="DA27" s="10" t="n">
        <f aca="false">DA22*Inputs!$B$8</f>
        <v>6.3</v>
      </c>
      <c r="DB27" s="10" t="n">
        <f aca="false">DB22*Inputs!$B$8</f>
        <v>6.3</v>
      </c>
      <c r="DC27" s="10" t="n">
        <f aca="false">DC22*Inputs!$B$8</f>
        <v>6.3</v>
      </c>
      <c r="DD27" s="10" t="n">
        <f aca="false">DD22*Inputs!$B$8</f>
        <v>6.3</v>
      </c>
      <c r="DE27" s="10" t="n">
        <f aca="false">DE22*Inputs!$B$8</f>
        <v>6.3</v>
      </c>
      <c r="DF27" s="10" t="n">
        <f aca="false">DF22*Inputs!$B$8</f>
        <v>6.3</v>
      </c>
      <c r="DG27" s="10" t="n">
        <f aca="false">DG22*Inputs!$B$8</f>
        <v>6.3</v>
      </c>
      <c r="DH27" s="10" t="n">
        <f aca="false">DH22*Inputs!$B$8</f>
        <v>6.3</v>
      </c>
      <c r="DI27" s="10" t="n">
        <f aca="false">DI22*Inputs!$B$8</f>
        <v>6.3</v>
      </c>
      <c r="DJ27" s="10" t="n">
        <f aca="false">DJ22*Inputs!$B$8</f>
        <v>6.3</v>
      </c>
      <c r="DK27" s="10" t="n">
        <f aca="false">DK22*Inputs!$B$8</f>
        <v>6.3</v>
      </c>
      <c r="DL27" s="10" t="n">
        <f aca="false">DL22*Inputs!$B$8</f>
        <v>6.3</v>
      </c>
      <c r="DM27" s="10" t="n">
        <f aca="false">DM22*Inputs!$B$8</f>
        <v>6.3</v>
      </c>
      <c r="DN27" s="10" t="n">
        <f aca="false">DN22*Inputs!$B$8</f>
        <v>6.3</v>
      </c>
      <c r="DO27" s="10" t="n">
        <f aca="false">DO22*Inputs!$B$8</f>
        <v>6.3</v>
      </c>
      <c r="DP27" s="10" t="n">
        <f aca="false">DP22*Inputs!$B$8</f>
        <v>6.3</v>
      </c>
      <c r="DQ27" s="10" t="n">
        <f aca="false">DQ22*Inputs!$B$8</f>
        <v>6.3</v>
      </c>
      <c r="DR27" s="10" t="n">
        <f aca="false">DR22*Inputs!$B$8</f>
        <v>6.3</v>
      </c>
    </row>
    <row r="28" customFormat="false" ht="15" hidden="false" customHeight="false" outlineLevel="0" collapsed="false">
      <c r="A28" s="9" t="s">
        <v>197</v>
      </c>
      <c r="B28" s="10" t="n">
        <f aca="false">IF(B$1=Inputs!$B$34,Inputs!$B$34,Inputs!$B$12*Inputs!$B$13/Inputs!$B$32)</f>
        <v>0</v>
      </c>
      <c r="C28" s="10" t="n">
        <f aca="false">IF(C$1=Inputs!$B$34,Inputs!$B$34,Inputs!$B$12*Inputs!$B$13/Inputs!$B$32)</f>
        <v>0.4</v>
      </c>
      <c r="D28" s="10" t="n">
        <f aca="false">IF(D$1=Inputs!$B$34,Inputs!$B$34,Inputs!$B$12*Inputs!$B$13/Inputs!$B$32)</f>
        <v>0.4</v>
      </c>
      <c r="E28" s="10" t="n">
        <f aca="false">IF(E$1=Inputs!$B$34,Inputs!$B$34,Inputs!$B$12*Inputs!$B$13/Inputs!$B$32)</f>
        <v>0.4</v>
      </c>
      <c r="F28" s="10" t="n">
        <f aca="false">IF(F$1=Inputs!$B$34,Inputs!$B$34,Inputs!$B$12*Inputs!$B$13/Inputs!$B$32)</f>
        <v>0.4</v>
      </c>
      <c r="G28" s="10" t="n">
        <f aca="false">IF(G$1=Inputs!$B$34,Inputs!$B$34,Inputs!$B$12*Inputs!$B$13/Inputs!$B$32)</f>
        <v>0.4</v>
      </c>
      <c r="H28" s="10" t="n">
        <f aca="false">IF(H$1=Inputs!$B$34,Inputs!$B$34,Inputs!$B$12*Inputs!$B$13/Inputs!$B$32)</f>
        <v>0.4</v>
      </c>
      <c r="I28" s="10" t="n">
        <f aca="false">IF(I$1=Inputs!$B$34,Inputs!$B$34,Inputs!$B$12*Inputs!$B$13/Inputs!$B$32)</f>
        <v>0.4</v>
      </c>
      <c r="J28" s="10" t="n">
        <f aca="false">IF(J$1=Inputs!$B$34,Inputs!$B$34,Inputs!$B$12*Inputs!$B$13/Inputs!$B$32)</f>
        <v>0.4</v>
      </c>
      <c r="K28" s="10" t="n">
        <f aca="false">IF(K$1=Inputs!$B$34,Inputs!$B$34,Inputs!$B$12*Inputs!$B$13/Inputs!$B$32)</f>
        <v>0.4</v>
      </c>
      <c r="L28" s="10" t="n">
        <f aca="false">IF(L$1=Inputs!$B$34,Inputs!$B$34,Inputs!$B$12*Inputs!$B$13/Inputs!$B$32)</f>
        <v>0.4</v>
      </c>
      <c r="M28" s="10" t="n">
        <f aca="false">IF(M$1=Inputs!$B$34,Inputs!$B$34,Inputs!$B$12*Inputs!$B$13/Inputs!$B$32)</f>
        <v>0.4</v>
      </c>
      <c r="N28" s="10" t="n">
        <f aca="false">IF(N$1=Inputs!$B$34,Inputs!$B$34,Inputs!$B$12*Inputs!$B$13/Inputs!$B$32)</f>
        <v>0.4</v>
      </c>
      <c r="O28" s="10" t="n">
        <f aca="false">IF(O$1=Inputs!$B$34,Inputs!$B$34,Inputs!$B$12*Inputs!$B$13/Inputs!$B$32)</f>
        <v>0.4</v>
      </c>
      <c r="P28" s="10" t="n">
        <f aca="false">IF(P$1=Inputs!$B$34,Inputs!$B$34,Inputs!$B$12*Inputs!$B$13/Inputs!$B$32)</f>
        <v>0.4</v>
      </c>
      <c r="Q28" s="10" t="n">
        <f aca="false">IF(Q$1=Inputs!$B$34,Inputs!$B$34,Inputs!$B$12*Inputs!$B$13/Inputs!$B$32)</f>
        <v>0.4</v>
      </c>
      <c r="R28" s="10" t="n">
        <f aca="false">IF(R$1=Inputs!$B$34,Inputs!$B$34,Inputs!$B$12*Inputs!$B$13/Inputs!$B$32)</f>
        <v>0.4</v>
      </c>
      <c r="S28" s="10" t="n">
        <f aca="false">IF(S$1=Inputs!$B$34,Inputs!$B$34,Inputs!$B$12*Inputs!$B$13/Inputs!$B$32)</f>
        <v>0.4</v>
      </c>
      <c r="T28" s="10" t="n">
        <f aca="false">IF(T$1=Inputs!$B$34,Inputs!$B$34,Inputs!$B$12*Inputs!$B$13/Inputs!$B$32)</f>
        <v>0.4</v>
      </c>
      <c r="U28" s="10" t="n">
        <f aca="false">IF(U$1=Inputs!$B$34,Inputs!$B$34,Inputs!$B$12*Inputs!$B$13/Inputs!$B$32)</f>
        <v>0.4</v>
      </c>
      <c r="V28" s="10" t="n">
        <f aca="false">IF(V$1=Inputs!$B$34,Inputs!$B$34,Inputs!$B$12*Inputs!$B$13/Inputs!$B$32)</f>
        <v>0.4</v>
      </c>
      <c r="W28" s="10" t="n">
        <f aca="false">IF(W$1=Inputs!$B$34,Inputs!$B$34,Inputs!$B$12*Inputs!$B$13/Inputs!$B$32)</f>
        <v>0.4</v>
      </c>
      <c r="X28" s="10" t="n">
        <f aca="false">IF(X$1=Inputs!$B$34,Inputs!$B$34,Inputs!$B$12*Inputs!$B$13/Inputs!$B$32)</f>
        <v>0.4</v>
      </c>
      <c r="Y28" s="10" t="n">
        <f aca="false">IF(Y$1=Inputs!$B$34,Inputs!$B$34,Inputs!$B$12*Inputs!$B$13/Inputs!$B$32)</f>
        <v>0.4</v>
      </c>
      <c r="Z28" s="10" t="n">
        <f aca="false">IF(Z$1=Inputs!$B$34,Inputs!$B$34,Inputs!$B$12*Inputs!$B$13/Inputs!$B$32)</f>
        <v>0.4</v>
      </c>
      <c r="AA28" s="10" t="n">
        <f aca="false">IF(AA$1=Inputs!$B$34,Inputs!$B$34,Inputs!$B$12*Inputs!$B$13/Inputs!$B$32)</f>
        <v>0.4</v>
      </c>
      <c r="AB28" s="10" t="n">
        <f aca="false">IF(AB$1=Inputs!$B$34,Inputs!$B$34,Inputs!$B$12*Inputs!$B$13/Inputs!$B$32)</f>
        <v>0.4</v>
      </c>
      <c r="AC28" s="10" t="n">
        <f aca="false">IF(AC$1=Inputs!$B$34,Inputs!$B$34,Inputs!$B$12*Inputs!$B$13/Inputs!$B$32)</f>
        <v>0.4</v>
      </c>
      <c r="AD28" s="10" t="n">
        <f aca="false">IF(AD$1=Inputs!$B$34,Inputs!$B$34,Inputs!$B$12*Inputs!$B$13/Inputs!$B$32)</f>
        <v>0.4</v>
      </c>
      <c r="AE28" s="10" t="n">
        <f aca="false">IF(AE$1=Inputs!$B$34,Inputs!$B$34,Inputs!$B$12*Inputs!$B$13/Inputs!$B$32)</f>
        <v>0.4</v>
      </c>
      <c r="AF28" s="10" t="n">
        <f aca="false">IF(AF$1=Inputs!$B$34,Inputs!$B$34,Inputs!$B$12*Inputs!$B$13/Inputs!$B$32)</f>
        <v>0.4</v>
      </c>
      <c r="AG28" s="10" t="n">
        <f aca="false">IF(AG$1=Inputs!$B$34,Inputs!$B$34,Inputs!$B$12*Inputs!$B$13/Inputs!$B$32)</f>
        <v>0.4</v>
      </c>
      <c r="AH28" s="10" t="n">
        <f aca="false">IF(AH$1=Inputs!$B$34,Inputs!$B$34,Inputs!$B$12*Inputs!$B$13/Inputs!$B$32)</f>
        <v>0.4</v>
      </c>
      <c r="AI28" s="10" t="n">
        <f aca="false">IF(AI$1=Inputs!$B$34,Inputs!$B$34,Inputs!$B$12*Inputs!$B$13/Inputs!$B$32)</f>
        <v>0.4</v>
      </c>
      <c r="AJ28" s="10" t="n">
        <f aca="false">IF(AJ$1=Inputs!$B$34,Inputs!$B$34,Inputs!$B$12*Inputs!$B$13/Inputs!$B$32)</f>
        <v>0.4</v>
      </c>
      <c r="AK28" s="10" t="n">
        <f aca="false">IF(AK$1=Inputs!$B$34,Inputs!$B$34,Inputs!$B$12*Inputs!$B$13/Inputs!$B$32)</f>
        <v>0.4</v>
      </c>
      <c r="AL28" s="10" t="n">
        <f aca="false">IF(AL$1=Inputs!$B$34,Inputs!$B$34,Inputs!$B$12*Inputs!$B$13/Inputs!$B$32)</f>
        <v>0.4</v>
      </c>
      <c r="AM28" s="10" t="n">
        <f aca="false">IF(AM$1=Inputs!$B$34,Inputs!$B$34,Inputs!$B$12*Inputs!$B$13/Inputs!$B$32)</f>
        <v>0.4</v>
      </c>
      <c r="AN28" s="10" t="n">
        <f aca="false">IF(AN$1=Inputs!$B$34,Inputs!$B$34,Inputs!$B$12*Inputs!$B$13/Inputs!$B$32)</f>
        <v>0.4</v>
      </c>
      <c r="AO28" s="10" t="n">
        <f aca="false">IF(AO$1=Inputs!$B$34,Inputs!$B$34,Inputs!$B$12*Inputs!$B$13/Inputs!$B$32)</f>
        <v>0.4</v>
      </c>
      <c r="AP28" s="10" t="n">
        <f aca="false">IF(AP$1=Inputs!$B$34,Inputs!$B$34,Inputs!$B$12*Inputs!$B$13/Inputs!$B$32)</f>
        <v>0.4</v>
      </c>
      <c r="AQ28" s="10" t="n">
        <f aca="false">IF(AQ$1=Inputs!$B$34,Inputs!$B$34,Inputs!$B$12*Inputs!$B$13/Inputs!$B$32)</f>
        <v>0.4</v>
      </c>
      <c r="AR28" s="10" t="n">
        <f aca="false">IF(AR$1=Inputs!$B$34,Inputs!$B$34,Inputs!$B$12*Inputs!$B$13/Inputs!$B$32)</f>
        <v>0.4</v>
      </c>
      <c r="AS28" s="10" t="n">
        <f aca="false">IF(AS$1=Inputs!$B$34,Inputs!$B$34,Inputs!$B$12*Inputs!$B$13/Inputs!$B$32)</f>
        <v>0.4</v>
      </c>
      <c r="AT28" s="10" t="n">
        <f aca="false">IF(AT$1=Inputs!$B$34,Inputs!$B$34,Inputs!$B$12*Inputs!$B$13/Inputs!$B$32)</f>
        <v>0.4</v>
      </c>
      <c r="AU28" s="10" t="n">
        <f aca="false">IF(AU$1=Inputs!$B$34,Inputs!$B$34,Inputs!$B$12*Inputs!$B$13/Inputs!$B$32)</f>
        <v>0.4</v>
      </c>
      <c r="AV28" s="10" t="n">
        <f aca="false">IF(AV$1=Inputs!$B$34,Inputs!$B$34,Inputs!$B$12*Inputs!$B$13/Inputs!$B$32)</f>
        <v>0.4</v>
      </c>
      <c r="AW28" s="10" t="n">
        <f aca="false">IF(AW$1=Inputs!$B$34,Inputs!$B$34,Inputs!$B$12*Inputs!$B$13/Inputs!$B$32)</f>
        <v>0.4</v>
      </c>
      <c r="AX28" s="10" t="n">
        <f aca="false">IF(AX$1=Inputs!$B$34,Inputs!$B$34,Inputs!$B$12*Inputs!$B$13/Inputs!$B$32)</f>
        <v>0.4</v>
      </c>
      <c r="AY28" s="10" t="n">
        <f aca="false">IF(AY$1=Inputs!$B$34,Inputs!$B$34,Inputs!$B$12*Inputs!$B$13/Inputs!$B$32)</f>
        <v>0.4</v>
      </c>
      <c r="AZ28" s="10" t="n">
        <f aca="false">IF(AZ$1=Inputs!$B$34,Inputs!$B$34,Inputs!$B$12*Inputs!$B$13/Inputs!$B$32)</f>
        <v>0.4</v>
      </c>
      <c r="BA28" s="10" t="n">
        <f aca="false">IF(BA$1=Inputs!$B$34,Inputs!$B$34,Inputs!$B$12*Inputs!$B$13/Inputs!$B$32)</f>
        <v>0.4</v>
      </c>
      <c r="BB28" s="10" t="n">
        <f aca="false">IF(BB$1=Inputs!$B$34,Inputs!$B$34,Inputs!$B$12*Inputs!$B$13/Inputs!$B$32)</f>
        <v>0.4</v>
      </c>
      <c r="BC28" s="10" t="n">
        <f aca="false">IF(BC$1=Inputs!$B$34,Inputs!$B$34,Inputs!$B$12*Inputs!$B$13/Inputs!$B$32)</f>
        <v>0.4</v>
      </c>
      <c r="BD28" s="10" t="n">
        <f aca="false">IF(BD$1=Inputs!$B$34,Inputs!$B$34,Inputs!$B$12*Inputs!$B$13/Inputs!$B$32)</f>
        <v>0.4</v>
      </c>
      <c r="BE28" s="10" t="n">
        <f aca="false">IF(BE$1=Inputs!$B$34,Inputs!$B$34,Inputs!$B$12*Inputs!$B$13/Inputs!$B$32)</f>
        <v>0.4</v>
      </c>
      <c r="BF28" s="10" t="n">
        <f aca="false">IF(BF$1=Inputs!$B$34,Inputs!$B$34,Inputs!$B$12*Inputs!$B$13/Inputs!$B$32)</f>
        <v>0.4</v>
      </c>
      <c r="BG28" s="10" t="n">
        <f aca="false">IF(BG$1=Inputs!$B$34,Inputs!$B$34,Inputs!$B$12*Inputs!$B$13/Inputs!$B$32)</f>
        <v>0.4</v>
      </c>
      <c r="BH28" s="10" t="n">
        <f aca="false">IF(BH$1=Inputs!$B$34,Inputs!$B$34,Inputs!$B$12*Inputs!$B$13/Inputs!$B$32)</f>
        <v>0.4</v>
      </c>
      <c r="BI28" s="10" t="n">
        <f aca="false">IF(BI$1=Inputs!$B$34,Inputs!$B$34,Inputs!$B$12*Inputs!$B$13/Inputs!$B$32)</f>
        <v>0.4</v>
      </c>
      <c r="BJ28" s="10" t="n">
        <f aca="false">IF(BJ$1=Inputs!$B$34,Inputs!$B$34,Inputs!$B$12*Inputs!$B$13/Inputs!$B$32)</f>
        <v>0.4</v>
      </c>
      <c r="BK28" s="10" t="n">
        <f aca="false">IF(BK$1=Inputs!$B$34,Inputs!$B$34,Inputs!$B$12*Inputs!$B$13/Inputs!$B$32)</f>
        <v>0.4</v>
      </c>
      <c r="BL28" s="10" t="n">
        <f aca="false">IF(BL$1=Inputs!$B$34,Inputs!$B$34,Inputs!$B$12*Inputs!$B$13/Inputs!$B$32)</f>
        <v>0.4</v>
      </c>
      <c r="BM28" s="10" t="n">
        <f aca="false">IF(BM$1=Inputs!$B$34,Inputs!$B$34,Inputs!$B$12*Inputs!$B$13/Inputs!$B$32)</f>
        <v>0.4</v>
      </c>
      <c r="BN28" s="10" t="n">
        <f aca="false">IF(BN$1=Inputs!$B$34,Inputs!$B$34,Inputs!$B$12*Inputs!$B$13/Inputs!$B$32)</f>
        <v>0.4</v>
      </c>
      <c r="BO28" s="10" t="n">
        <f aca="false">IF(BO$1=Inputs!$B$34,Inputs!$B$34,Inputs!$B$12*Inputs!$B$13/Inputs!$B$32)</f>
        <v>0.4</v>
      </c>
      <c r="BP28" s="10" t="n">
        <f aca="false">IF(BP$1=Inputs!$B$34,Inputs!$B$34,Inputs!$B$12*Inputs!$B$13/Inputs!$B$32)</f>
        <v>0.4</v>
      </c>
      <c r="BQ28" s="10" t="n">
        <f aca="false">IF(BQ$1=Inputs!$B$34,Inputs!$B$34,Inputs!$B$12*Inputs!$B$13/Inputs!$B$32)</f>
        <v>0.4</v>
      </c>
      <c r="BR28" s="10" t="n">
        <f aca="false">IF(BR$1=Inputs!$B$34,Inputs!$B$34,Inputs!$B$12*Inputs!$B$13/Inputs!$B$32)</f>
        <v>0.4</v>
      </c>
      <c r="BS28" s="10" t="n">
        <f aca="false">IF(BS$1=Inputs!$B$34,Inputs!$B$34,Inputs!$B$12*Inputs!$B$13/Inputs!$B$32)</f>
        <v>0.4</v>
      </c>
      <c r="BT28" s="10" t="n">
        <f aca="false">IF(BT$1=Inputs!$B$34,Inputs!$B$34,Inputs!$B$12*Inputs!$B$13/Inputs!$B$32)</f>
        <v>0.4</v>
      </c>
      <c r="BU28" s="10" t="n">
        <f aca="false">IF(BU$1=Inputs!$B$34,Inputs!$B$34,Inputs!$B$12*Inputs!$B$13/Inputs!$B$32)</f>
        <v>0.4</v>
      </c>
      <c r="BV28" s="10" t="n">
        <f aca="false">IF(BV$1=Inputs!$B$34,Inputs!$B$34,Inputs!$B$12*Inputs!$B$13/Inputs!$B$32)</f>
        <v>0.4</v>
      </c>
      <c r="BW28" s="10" t="n">
        <f aca="false">IF(BW$1=Inputs!$B$34,Inputs!$B$34,Inputs!$B$12*Inputs!$B$13/Inputs!$B$32)</f>
        <v>0.4</v>
      </c>
      <c r="BX28" s="10" t="n">
        <f aca="false">IF(BX$1=Inputs!$B$34,Inputs!$B$34,Inputs!$B$12*Inputs!$B$13/Inputs!$B$32)</f>
        <v>0.4</v>
      </c>
      <c r="BY28" s="10" t="n">
        <f aca="false">IF(BY$1=Inputs!$B$34,Inputs!$B$34,Inputs!$B$12*Inputs!$B$13/Inputs!$B$32)</f>
        <v>0.4</v>
      </c>
      <c r="BZ28" s="10" t="n">
        <f aca="false">IF(BZ$1=Inputs!$B$34,Inputs!$B$34,Inputs!$B$12*Inputs!$B$13/Inputs!$B$32)</f>
        <v>0.4</v>
      </c>
      <c r="CA28" s="10" t="n">
        <f aca="false">IF(CA$1=Inputs!$B$34,Inputs!$B$34,Inputs!$B$12*Inputs!$B$13/Inputs!$B$32)</f>
        <v>0.4</v>
      </c>
      <c r="CB28" s="10" t="n">
        <f aca="false">IF(CB$1=Inputs!$B$34,Inputs!$B$34,Inputs!$B$12*Inputs!$B$13/Inputs!$B$32)</f>
        <v>0.4</v>
      </c>
      <c r="CC28" s="10" t="n">
        <f aca="false">IF(CC$1=Inputs!$B$34,Inputs!$B$34,Inputs!$B$12*Inputs!$B$13/Inputs!$B$32)</f>
        <v>0.4</v>
      </c>
      <c r="CD28" s="10" t="n">
        <f aca="false">IF(CD$1=Inputs!$B$34,Inputs!$B$34,Inputs!$B$12*Inputs!$B$13/Inputs!$B$32)</f>
        <v>0.4</v>
      </c>
      <c r="CE28" s="10" t="n">
        <f aca="false">IF(CE$1=Inputs!$B$34,Inputs!$B$34,Inputs!$B$12*Inputs!$B$13/Inputs!$B$32)</f>
        <v>0.4</v>
      </c>
      <c r="CF28" s="10" t="n">
        <f aca="false">IF(CF$1=Inputs!$B$34,Inputs!$B$34,Inputs!$B$12*Inputs!$B$13/Inputs!$B$32)</f>
        <v>0.4</v>
      </c>
      <c r="CG28" s="10" t="n">
        <f aca="false">IF(CG$1=Inputs!$B$34,Inputs!$B$34,Inputs!$B$12*Inputs!$B$13/Inputs!$B$32)</f>
        <v>0.4</v>
      </c>
      <c r="CH28" s="10" t="n">
        <f aca="false">IF(CH$1=Inputs!$B$34,Inputs!$B$34,Inputs!$B$12*Inputs!$B$13/Inputs!$B$32)</f>
        <v>0.4</v>
      </c>
      <c r="CI28" s="10" t="n">
        <f aca="false">IF(CI$1=Inputs!$B$34,Inputs!$B$34,Inputs!$B$12*Inputs!$B$13/Inputs!$B$32)</f>
        <v>0.4</v>
      </c>
      <c r="CJ28" s="10" t="n">
        <f aca="false">IF(CJ$1=Inputs!$B$34,Inputs!$B$34,Inputs!$B$12*Inputs!$B$13/Inputs!$B$32)</f>
        <v>0.4</v>
      </c>
      <c r="CK28" s="10" t="n">
        <f aca="false">IF(CK$1=Inputs!$B$34,Inputs!$B$34,Inputs!$B$12*Inputs!$B$13/Inputs!$B$32)</f>
        <v>0.4</v>
      </c>
      <c r="CL28" s="10" t="n">
        <f aca="false">IF(CL$1=Inputs!$B$34,Inputs!$B$34,Inputs!$B$12*Inputs!$B$13/Inputs!$B$32)</f>
        <v>0.4</v>
      </c>
      <c r="CM28" s="10" t="n">
        <f aca="false">IF(CM$1=Inputs!$B$34,Inputs!$B$34,Inputs!$B$12*Inputs!$B$13/Inputs!$B$32)</f>
        <v>0.4</v>
      </c>
      <c r="CN28" s="10" t="n">
        <f aca="false">IF(CN$1=Inputs!$B$34,Inputs!$B$34,Inputs!$B$12*Inputs!$B$13/Inputs!$B$32)</f>
        <v>0.4</v>
      </c>
      <c r="CO28" s="10" t="n">
        <f aca="false">IF(CO$1=Inputs!$B$34,Inputs!$B$34,Inputs!$B$12*Inputs!$B$13/Inputs!$B$32)</f>
        <v>0.4</v>
      </c>
      <c r="CP28" s="10" t="n">
        <f aca="false">IF(CP$1=Inputs!$B$34,Inputs!$B$34,Inputs!$B$12*Inputs!$B$13/Inputs!$B$32)</f>
        <v>0.4</v>
      </c>
      <c r="CQ28" s="10" t="n">
        <f aca="false">IF(CQ$1=Inputs!$B$34,Inputs!$B$34,Inputs!$B$12*Inputs!$B$13/Inputs!$B$32)</f>
        <v>0.4</v>
      </c>
      <c r="CR28" s="10" t="n">
        <f aca="false">IF(CR$1=Inputs!$B$34,Inputs!$B$34,Inputs!$B$12*Inputs!$B$13/Inputs!$B$32)</f>
        <v>0.4</v>
      </c>
      <c r="CS28" s="10" t="n">
        <f aca="false">IF(CS$1=Inputs!$B$34,Inputs!$B$34,Inputs!$B$12*Inputs!$B$13/Inputs!$B$32)</f>
        <v>0.4</v>
      </c>
      <c r="CT28" s="10" t="n">
        <f aca="false">IF(CT$1=Inputs!$B$34,Inputs!$B$34,Inputs!$B$12*Inputs!$B$13/Inputs!$B$32)</f>
        <v>0.4</v>
      </c>
      <c r="CU28" s="10" t="n">
        <f aca="false">IF(CU$1=Inputs!$B$34,Inputs!$B$34,Inputs!$B$12*Inputs!$B$13/Inputs!$B$32)</f>
        <v>0.4</v>
      </c>
      <c r="CV28" s="10" t="n">
        <f aca="false">IF(CV$1=Inputs!$B$34,Inputs!$B$34,Inputs!$B$12*Inputs!$B$13/Inputs!$B$32)</f>
        <v>0.4</v>
      </c>
      <c r="CW28" s="10" t="n">
        <f aca="false">IF(CW$1=Inputs!$B$34,Inputs!$B$34,Inputs!$B$12*Inputs!$B$13/Inputs!$B$32)</f>
        <v>0.4</v>
      </c>
      <c r="CX28" s="10" t="n">
        <f aca="false">IF(CX$1=Inputs!$B$34,Inputs!$B$34,Inputs!$B$12*Inputs!$B$13/Inputs!$B$32)</f>
        <v>0.4</v>
      </c>
      <c r="CY28" s="10" t="n">
        <f aca="false">IF(CY$1=Inputs!$B$34,Inputs!$B$34,Inputs!$B$12*Inputs!$B$13/Inputs!$B$32)</f>
        <v>0.4</v>
      </c>
      <c r="CZ28" s="10" t="n">
        <f aca="false">IF(CZ$1=Inputs!$B$34,Inputs!$B$34,Inputs!$B$12*Inputs!$B$13/Inputs!$B$32)</f>
        <v>0.4</v>
      </c>
      <c r="DA28" s="10" t="n">
        <f aca="false">IF(DA$1=Inputs!$B$34,Inputs!$B$34,Inputs!$B$12*Inputs!$B$13/Inputs!$B$32)</f>
        <v>0.4</v>
      </c>
      <c r="DB28" s="10" t="n">
        <f aca="false">IF(DB$1=Inputs!$B$34,Inputs!$B$34,Inputs!$B$12*Inputs!$B$13/Inputs!$B$32)</f>
        <v>0.4</v>
      </c>
      <c r="DC28" s="10" t="n">
        <f aca="false">IF(DC$1=Inputs!$B$34,Inputs!$B$34,Inputs!$B$12*Inputs!$B$13/Inputs!$B$32)</f>
        <v>0.4</v>
      </c>
      <c r="DD28" s="10" t="n">
        <f aca="false">IF(DD$1=Inputs!$B$34,Inputs!$B$34,Inputs!$B$12*Inputs!$B$13/Inputs!$B$32)</f>
        <v>0.4</v>
      </c>
      <c r="DE28" s="10" t="n">
        <f aca="false">IF(DE$1=Inputs!$B$34,Inputs!$B$34,Inputs!$B$12*Inputs!$B$13/Inputs!$B$32)</f>
        <v>0.4</v>
      </c>
      <c r="DF28" s="10" t="n">
        <f aca="false">IF(DF$1=Inputs!$B$34,Inputs!$B$34,Inputs!$B$12*Inputs!$B$13/Inputs!$B$32)</f>
        <v>0.4</v>
      </c>
      <c r="DG28" s="10" t="n">
        <f aca="false">IF(DG$1=Inputs!$B$34,Inputs!$B$34,Inputs!$B$12*Inputs!$B$13/Inputs!$B$32)</f>
        <v>0.4</v>
      </c>
      <c r="DH28" s="10" t="n">
        <f aca="false">IF(DH$1=Inputs!$B$34,Inputs!$B$34,Inputs!$B$12*Inputs!$B$13/Inputs!$B$32)</f>
        <v>0.4</v>
      </c>
      <c r="DI28" s="10" t="n">
        <f aca="false">IF(DI$1=Inputs!$B$34,Inputs!$B$34,Inputs!$B$12*Inputs!$B$13/Inputs!$B$32)</f>
        <v>0.4</v>
      </c>
      <c r="DJ28" s="10" t="n">
        <f aca="false">IF(DJ$1=Inputs!$B$34,Inputs!$B$34,Inputs!$B$12*Inputs!$B$13/Inputs!$B$32)</f>
        <v>0.4</v>
      </c>
      <c r="DK28" s="10" t="n">
        <f aca="false">IF(DK$1=Inputs!$B$34,Inputs!$B$34,Inputs!$B$12*Inputs!$B$13/Inputs!$B$32)</f>
        <v>0.4</v>
      </c>
      <c r="DL28" s="10" t="n">
        <f aca="false">IF(DL$1=Inputs!$B$34,Inputs!$B$34,Inputs!$B$12*Inputs!$B$13/Inputs!$B$32)</f>
        <v>0.4</v>
      </c>
      <c r="DM28" s="10" t="n">
        <f aca="false">IF(DM$1=Inputs!$B$34,Inputs!$B$34,Inputs!$B$12*Inputs!$B$13/Inputs!$B$32)</f>
        <v>0.4</v>
      </c>
      <c r="DN28" s="10" t="n">
        <f aca="false">IF(DN$1=Inputs!$B$34,Inputs!$B$34,Inputs!$B$12*Inputs!$B$13/Inputs!$B$32)</f>
        <v>0.4</v>
      </c>
      <c r="DO28" s="10" t="n">
        <f aca="false">IF(DO$1=Inputs!$B$34,Inputs!$B$34,Inputs!$B$12*Inputs!$B$13/Inputs!$B$32)</f>
        <v>0.4</v>
      </c>
      <c r="DP28" s="10" t="n">
        <f aca="false">IF(DP$1=Inputs!$B$34,Inputs!$B$34,Inputs!$B$12*Inputs!$B$13/Inputs!$B$32)</f>
        <v>0.4</v>
      </c>
      <c r="DQ28" s="10" t="n">
        <f aca="false">IF(DQ$1=Inputs!$B$34,Inputs!$B$34,Inputs!$B$12*Inputs!$B$13/Inputs!$B$32)</f>
        <v>0.4</v>
      </c>
      <c r="DR28" s="10" t="n">
        <f aca="false">IF(DR$1=Inputs!$B$34,Inputs!$B$34,Inputs!$B$12*Inputs!$B$13/Inputs!$B$32)</f>
        <v>0.4</v>
      </c>
    </row>
    <row r="29" customFormat="false" ht="15" hidden="false" customHeight="false" outlineLevel="0" collapsed="false">
      <c r="A29" s="9" t="s">
        <v>198</v>
      </c>
      <c r="B29" s="10" t="n">
        <f aca="false">IF(B$1=Inputs!$B$34,Inputs!$B$34,Inputs!$B$14)</f>
        <v>0</v>
      </c>
      <c r="C29" s="10" t="n">
        <f aca="false">IF(C$1=Inputs!$B$34,Inputs!$B$34,Inputs!$B$14)</f>
        <v>0.15</v>
      </c>
      <c r="D29" s="10" t="n">
        <f aca="false">IF(D$1=Inputs!$B$34,Inputs!$B$34,Inputs!$B$14)</f>
        <v>0.15</v>
      </c>
      <c r="E29" s="10" t="n">
        <f aca="false">IF(E$1=Inputs!$B$34,Inputs!$B$34,Inputs!$B$14)</f>
        <v>0.15</v>
      </c>
      <c r="F29" s="10" t="n">
        <f aca="false">IF(F$1=Inputs!$B$34,Inputs!$B$34,Inputs!$B$14)</f>
        <v>0.15</v>
      </c>
      <c r="G29" s="10" t="n">
        <f aca="false">IF(G$1=Inputs!$B$34,Inputs!$B$34,Inputs!$B$14)</f>
        <v>0.15</v>
      </c>
      <c r="H29" s="10" t="n">
        <f aca="false">IF(H$1=Inputs!$B$34,Inputs!$B$34,Inputs!$B$14)</f>
        <v>0.15</v>
      </c>
      <c r="I29" s="10" t="n">
        <f aca="false">IF(I$1=Inputs!$B$34,Inputs!$B$34,Inputs!$B$14)</f>
        <v>0.15</v>
      </c>
      <c r="J29" s="10" t="n">
        <f aca="false">IF(J$1=Inputs!$B$34,Inputs!$B$34,Inputs!$B$14)</f>
        <v>0.15</v>
      </c>
      <c r="K29" s="10" t="n">
        <f aca="false">IF(K$1=Inputs!$B$34,Inputs!$B$34,Inputs!$B$14)</f>
        <v>0.15</v>
      </c>
      <c r="L29" s="10" t="n">
        <f aca="false">IF(L$1=Inputs!$B$34,Inputs!$B$34,Inputs!$B$14)</f>
        <v>0.15</v>
      </c>
      <c r="M29" s="10" t="n">
        <f aca="false">IF(M$1=Inputs!$B$34,Inputs!$B$34,Inputs!$B$14)</f>
        <v>0.15</v>
      </c>
      <c r="N29" s="10" t="n">
        <f aca="false">IF(N$1=Inputs!$B$34,Inputs!$B$34,Inputs!$B$14)</f>
        <v>0.15</v>
      </c>
      <c r="O29" s="10" t="n">
        <f aca="false">IF(O$1=Inputs!$B$34,Inputs!$B$34,Inputs!$B$14)</f>
        <v>0.15</v>
      </c>
      <c r="P29" s="10" t="n">
        <f aca="false">IF(P$1=Inputs!$B$34,Inputs!$B$34,Inputs!$B$14)</f>
        <v>0.15</v>
      </c>
      <c r="Q29" s="10" t="n">
        <f aca="false">IF(Q$1=Inputs!$B$34,Inputs!$B$34,Inputs!$B$14)</f>
        <v>0.15</v>
      </c>
      <c r="R29" s="10" t="n">
        <f aca="false">IF(R$1=Inputs!$B$34,Inputs!$B$34,Inputs!$B$14)</f>
        <v>0.15</v>
      </c>
      <c r="S29" s="10" t="n">
        <f aca="false">IF(S$1=Inputs!$B$34,Inputs!$B$34,Inputs!$B$14)</f>
        <v>0.15</v>
      </c>
      <c r="T29" s="10" t="n">
        <f aca="false">IF(T$1=Inputs!$B$34,Inputs!$B$34,Inputs!$B$14)</f>
        <v>0.15</v>
      </c>
      <c r="U29" s="10" t="n">
        <f aca="false">IF(U$1=Inputs!$B$34,Inputs!$B$34,Inputs!$B$14)</f>
        <v>0.15</v>
      </c>
      <c r="V29" s="10" t="n">
        <f aca="false">IF(V$1=Inputs!$B$34,Inputs!$B$34,Inputs!$B$14)</f>
        <v>0.15</v>
      </c>
      <c r="W29" s="10" t="n">
        <f aca="false">IF(W$1=Inputs!$B$34,Inputs!$B$34,Inputs!$B$14)</f>
        <v>0.15</v>
      </c>
      <c r="X29" s="10" t="n">
        <f aca="false">IF(X$1=Inputs!$B$34,Inputs!$B$34,Inputs!$B$14)</f>
        <v>0.15</v>
      </c>
      <c r="Y29" s="10" t="n">
        <f aca="false">IF(Y$1=Inputs!$B$34,Inputs!$B$34,Inputs!$B$14)</f>
        <v>0.15</v>
      </c>
      <c r="Z29" s="10" t="n">
        <f aca="false">IF(Z$1=Inputs!$B$34,Inputs!$B$34,Inputs!$B$14)</f>
        <v>0.15</v>
      </c>
      <c r="AA29" s="10" t="n">
        <f aca="false">IF(AA$1=Inputs!$B$34,Inputs!$B$34,Inputs!$B$14)</f>
        <v>0.15</v>
      </c>
      <c r="AB29" s="10" t="n">
        <f aca="false">IF(AB$1=Inputs!$B$34,Inputs!$B$34,Inputs!$B$14)</f>
        <v>0.15</v>
      </c>
      <c r="AC29" s="10" t="n">
        <f aca="false">IF(AC$1=Inputs!$B$34,Inputs!$B$34,Inputs!$B$14)</f>
        <v>0.15</v>
      </c>
      <c r="AD29" s="10" t="n">
        <f aca="false">IF(AD$1=Inputs!$B$34,Inputs!$B$34,Inputs!$B$14)</f>
        <v>0.15</v>
      </c>
      <c r="AE29" s="10" t="n">
        <f aca="false">IF(AE$1=Inputs!$B$34,Inputs!$B$34,Inputs!$B$14)</f>
        <v>0.15</v>
      </c>
      <c r="AF29" s="10" t="n">
        <f aca="false">IF(AF$1=Inputs!$B$34,Inputs!$B$34,Inputs!$B$14)</f>
        <v>0.15</v>
      </c>
      <c r="AG29" s="10" t="n">
        <f aca="false">IF(AG$1=Inputs!$B$34,Inputs!$B$34,Inputs!$B$14)</f>
        <v>0.15</v>
      </c>
      <c r="AH29" s="10" t="n">
        <f aca="false">IF(AH$1=Inputs!$B$34,Inputs!$B$34,Inputs!$B$14)</f>
        <v>0.15</v>
      </c>
      <c r="AI29" s="10" t="n">
        <f aca="false">IF(AI$1=Inputs!$B$34,Inputs!$B$34,Inputs!$B$14)</f>
        <v>0.15</v>
      </c>
      <c r="AJ29" s="10" t="n">
        <f aca="false">IF(AJ$1=Inputs!$B$34,Inputs!$B$34,Inputs!$B$14)</f>
        <v>0.15</v>
      </c>
      <c r="AK29" s="10" t="n">
        <f aca="false">IF(AK$1=Inputs!$B$34,Inputs!$B$34,Inputs!$B$14)</f>
        <v>0.15</v>
      </c>
      <c r="AL29" s="10" t="n">
        <f aca="false">IF(AL$1=Inputs!$B$34,Inputs!$B$34,Inputs!$B$14)</f>
        <v>0.15</v>
      </c>
      <c r="AM29" s="10" t="n">
        <f aca="false">IF(AM$1=Inputs!$B$34,Inputs!$B$34,Inputs!$B$14)</f>
        <v>0.15</v>
      </c>
      <c r="AN29" s="10" t="n">
        <f aca="false">IF(AN$1=Inputs!$B$34,Inputs!$B$34,Inputs!$B$14)</f>
        <v>0.15</v>
      </c>
      <c r="AO29" s="10" t="n">
        <f aca="false">IF(AO$1=Inputs!$B$34,Inputs!$B$34,Inputs!$B$14)</f>
        <v>0.15</v>
      </c>
      <c r="AP29" s="10" t="n">
        <f aca="false">IF(AP$1=Inputs!$B$34,Inputs!$B$34,Inputs!$B$14)</f>
        <v>0.15</v>
      </c>
      <c r="AQ29" s="10" t="n">
        <f aca="false">IF(AQ$1=Inputs!$B$34,Inputs!$B$34,Inputs!$B$14)</f>
        <v>0.15</v>
      </c>
      <c r="AR29" s="10" t="n">
        <f aca="false">IF(AR$1=Inputs!$B$34,Inputs!$B$34,Inputs!$B$14)</f>
        <v>0.15</v>
      </c>
      <c r="AS29" s="10" t="n">
        <f aca="false">IF(AS$1=Inputs!$B$34,Inputs!$B$34,Inputs!$B$14)</f>
        <v>0.15</v>
      </c>
      <c r="AT29" s="10" t="n">
        <f aca="false">IF(AT$1=Inputs!$B$34,Inputs!$B$34,Inputs!$B$14)</f>
        <v>0.15</v>
      </c>
      <c r="AU29" s="10" t="n">
        <f aca="false">IF(AU$1=Inputs!$B$34,Inputs!$B$34,Inputs!$B$14)</f>
        <v>0.15</v>
      </c>
      <c r="AV29" s="10" t="n">
        <f aca="false">IF(AV$1=Inputs!$B$34,Inputs!$B$34,Inputs!$B$14)</f>
        <v>0.15</v>
      </c>
      <c r="AW29" s="10" t="n">
        <f aca="false">IF(AW$1=Inputs!$B$34,Inputs!$B$34,Inputs!$B$14)</f>
        <v>0.15</v>
      </c>
      <c r="AX29" s="10" t="n">
        <f aca="false">IF(AX$1=Inputs!$B$34,Inputs!$B$34,Inputs!$B$14)</f>
        <v>0.15</v>
      </c>
      <c r="AY29" s="10" t="n">
        <f aca="false">IF(AY$1=Inputs!$B$34,Inputs!$B$34,Inputs!$B$14)</f>
        <v>0.15</v>
      </c>
      <c r="AZ29" s="10" t="n">
        <f aca="false">IF(AZ$1=Inputs!$B$34,Inputs!$B$34,Inputs!$B$14)</f>
        <v>0.15</v>
      </c>
      <c r="BA29" s="10" t="n">
        <f aca="false">IF(BA$1=Inputs!$B$34,Inputs!$B$34,Inputs!$B$14)</f>
        <v>0.15</v>
      </c>
      <c r="BB29" s="10" t="n">
        <f aca="false">IF(BB$1=Inputs!$B$34,Inputs!$B$34,Inputs!$B$14)</f>
        <v>0.15</v>
      </c>
      <c r="BC29" s="10" t="n">
        <f aca="false">IF(BC$1=Inputs!$B$34,Inputs!$B$34,Inputs!$B$14)</f>
        <v>0.15</v>
      </c>
      <c r="BD29" s="10" t="n">
        <f aca="false">IF(BD$1=Inputs!$B$34,Inputs!$B$34,Inputs!$B$14)</f>
        <v>0.15</v>
      </c>
      <c r="BE29" s="10" t="n">
        <f aca="false">IF(BE$1=Inputs!$B$34,Inputs!$B$34,Inputs!$B$14)</f>
        <v>0.15</v>
      </c>
      <c r="BF29" s="10" t="n">
        <f aca="false">IF(BF$1=Inputs!$B$34,Inputs!$B$34,Inputs!$B$14)</f>
        <v>0.15</v>
      </c>
      <c r="BG29" s="10" t="n">
        <f aca="false">IF(BG$1=Inputs!$B$34,Inputs!$B$34,Inputs!$B$14)</f>
        <v>0.15</v>
      </c>
      <c r="BH29" s="10" t="n">
        <f aca="false">IF(BH$1=Inputs!$B$34,Inputs!$B$34,Inputs!$B$14)</f>
        <v>0.15</v>
      </c>
      <c r="BI29" s="10" t="n">
        <f aca="false">IF(BI$1=Inputs!$B$34,Inputs!$B$34,Inputs!$B$14)</f>
        <v>0.15</v>
      </c>
      <c r="BJ29" s="10" t="n">
        <f aca="false">IF(BJ$1=Inputs!$B$34,Inputs!$B$34,Inputs!$B$14)</f>
        <v>0.15</v>
      </c>
      <c r="BK29" s="10" t="n">
        <f aca="false">IF(BK$1=Inputs!$B$34,Inputs!$B$34,Inputs!$B$14)</f>
        <v>0.15</v>
      </c>
      <c r="BL29" s="10" t="n">
        <f aca="false">IF(BL$1=Inputs!$B$34,Inputs!$B$34,Inputs!$B$14)</f>
        <v>0.15</v>
      </c>
      <c r="BM29" s="10" t="n">
        <f aca="false">IF(BM$1=Inputs!$B$34,Inputs!$B$34,Inputs!$B$14)</f>
        <v>0.15</v>
      </c>
      <c r="BN29" s="10" t="n">
        <f aca="false">IF(BN$1=Inputs!$B$34,Inputs!$B$34,Inputs!$B$14)</f>
        <v>0.15</v>
      </c>
      <c r="BO29" s="10" t="n">
        <f aca="false">IF(BO$1=Inputs!$B$34,Inputs!$B$34,Inputs!$B$14)</f>
        <v>0.15</v>
      </c>
      <c r="BP29" s="10" t="n">
        <f aca="false">IF(BP$1=Inputs!$B$34,Inputs!$B$34,Inputs!$B$14)</f>
        <v>0.15</v>
      </c>
      <c r="BQ29" s="10" t="n">
        <f aca="false">IF(BQ$1=Inputs!$B$34,Inputs!$B$34,Inputs!$B$14)</f>
        <v>0.15</v>
      </c>
      <c r="BR29" s="10" t="n">
        <f aca="false">IF(BR$1=Inputs!$B$34,Inputs!$B$34,Inputs!$B$14)</f>
        <v>0.15</v>
      </c>
      <c r="BS29" s="10" t="n">
        <f aca="false">IF(BS$1=Inputs!$B$34,Inputs!$B$34,Inputs!$B$14)</f>
        <v>0.15</v>
      </c>
      <c r="BT29" s="10" t="n">
        <f aca="false">IF(BT$1=Inputs!$B$34,Inputs!$B$34,Inputs!$B$14)</f>
        <v>0.15</v>
      </c>
      <c r="BU29" s="10" t="n">
        <f aca="false">IF(BU$1=Inputs!$B$34,Inputs!$B$34,Inputs!$B$14)</f>
        <v>0.15</v>
      </c>
      <c r="BV29" s="10" t="n">
        <f aca="false">IF(BV$1=Inputs!$B$34,Inputs!$B$34,Inputs!$B$14)</f>
        <v>0.15</v>
      </c>
      <c r="BW29" s="10" t="n">
        <f aca="false">IF(BW$1=Inputs!$B$34,Inputs!$B$34,Inputs!$B$14)</f>
        <v>0.15</v>
      </c>
      <c r="BX29" s="10" t="n">
        <f aca="false">IF(BX$1=Inputs!$B$34,Inputs!$B$34,Inputs!$B$14)</f>
        <v>0.15</v>
      </c>
      <c r="BY29" s="10" t="n">
        <f aca="false">IF(BY$1=Inputs!$B$34,Inputs!$B$34,Inputs!$B$14)</f>
        <v>0.15</v>
      </c>
      <c r="BZ29" s="10" t="n">
        <f aca="false">IF(BZ$1=Inputs!$B$34,Inputs!$B$34,Inputs!$B$14)</f>
        <v>0.15</v>
      </c>
      <c r="CA29" s="10" t="n">
        <f aca="false">IF(CA$1=Inputs!$B$34,Inputs!$B$34,Inputs!$B$14)</f>
        <v>0.15</v>
      </c>
      <c r="CB29" s="10" t="n">
        <f aca="false">IF(CB$1=Inputs!$B$34,Inputs!$B$34,Inputs!$B$14)</f>
        <v>0.15</v>
      </c>
      <c r="CC29" s="10" t="n">
        <f aca="false">IF(CC$1=Inputs!$B$34,Inputs!$B$34,Inputs!$B$14)</f>
        <v>0.15</v>
      </c>
      <c r="CD29" s="10" t="n">
        <f aca="false">IF(CD$1=Inputs!$B$34,Inputs!$B$34,Inputs!$B$14)</f>
        <v>0.15</v>
      </c>
      <c r="CE29" s="10" t="n">
        <f aca="false">IF(CE$1=Inputs!$B$34,Inputs!$B$34,Inputs!$B$14)</f>
        <v>0.15</v>
      </c>
      <c r="CF29" s="10" t="n">
        <f aca="false">IF(CF$1=Inputs!$B$34,Inputs!$B$34,Inputs!$B$14)</f>
        <v>0.15</v>
      </c>
      <c r="CG29" s="10" t="n">
        <f aca="false">IF(CG$1=Inputs!$B$34,Inputs!$B$34,Inputs!$B$14)</f>
        <v>0.15</v>
      </c>
      <c r="CH29" s="10" t="n">
        <f aca="false">IF(CH$1=Inputs!$B$34,Inputs!$B$34,Inputs!$B$14)</f>
        <v>0.15</v>
      </c>
      <c r="CI29" s="10" t="n">
        <f aca="false">IF(CI$1=Inputs!$B$34,Inputs!$B$34,Inputs!$B$14)</f>
        <v>0.15</v>
      </c>
      <c r="CJ29" s="10" t="n">
        <f aca="false">IF(CJ$1=Inputs!$B$34,Inputs!$B$34,Inputs!$B$14)</f>
        <v>0.15</v>
      </c>
      <c r="CK29" s="10" t="n">
        <f aca="false">IF(CK$1=Inputs!$B$34,Inputs!$B$34,Inputs!$B$14)</f>
        <v>0.15</v>
      </c>
      <c r="CL29" s="10" t="n">
        <f aca="false">IF(CL$1=Inputs!$B$34,Inputs!$B$34,Inputs!$B$14)</f>
        <v>0.15</v>
      </c>
      <c r="CM29" s="10" t="n">
        <f aca="false">IF(CM$1=Inputs!$B$34,Inputs!$B$34,Inputs!$B$14)</f>
        <v>0.15</v>
      </c>
      <c r="CN29" s="10" t="n">
        <f aca="false">IF(CN$1=Inputs!$B$34,Inputs!$B$34,Inputs!$B$14)</f>
        <v>0.15</v>
      </c>
      <c r="CO29" s="10" t="n">
        <f aca="false">IF(CO$1=Inputs!$B$34,Inputs!$B$34,Inputs!$B$14)</f>
        <v>0.15</v>
      </c>
      <c r="CP29" s="10" t="n">
        <f aca="false">IF(CP$1=Inputs!$B$34,Inputs!$B$34,Inputs!$B$14)</f>
        <v>0.15</v>
      </c>
      <c r="CQ29" s="10" t="n">
        <f aca="false">IF(CQ$1=Inputs!$B$34,Inputs!$B$34,Inputs!$B$14)</f>
        <v>0.15</v>
      </c>
      <c r="CR29" s="10" t="n">
        <f aca="false">IF(CR$1=Inputs!$B$34,Inputs!$B$34,Inputs!$B$14)</f>
        <v>0.15</v>
      </c>
      <c r="CS29" s="10" t="n">
        <f aca="false">IF(CS$1=Inputs!$B$34,Inputs!$B$34,Inputs!$B$14)</f>
        <v>0.15</v>
      </c>
      <c r="CT29" s="10" t="n">
        <f aca="false">IF(CT$1=Inputs!$B$34,Inputs!$B$34,Inputs!$B$14)</f>
        <v>0.15</v>
      </c>
      <c r="CU29" s="10" t="n">
        <f aca="false">IF(CU$1=Inputs!$B$34,Inputs!$B$34,Inputs!$B$14)</f>
        <v>0.15</v>
      </c>
      <c r="CV29" s="10" t="n">
        <f aca="false">IF(CV$1=Inputs!$B$34,Inputs!$B$34,Inputs!$B$14)</f>
        <v>0.15</v>
      </c>
      <c r="CW29" s="10" t="n">
        <f aca="false">IF(CW$1=Inputs!$B$34,Inputs!$B$34,Inputs!$B$14)</f>
        <v>0.15</v>
      </c>
      <c r="CX29" s="10" t="n">
        <f aca="false">IF(CX$1=Inputs!$B$34,Inputs!$B$34,Inputs!$B$14)</f>
        <v>0.15</v>
      </c>
      <c r="CY29" s="10" t="n">
        <f aca="false">IF(CY$1=Inputs!$B$34,Inputs!$B$34,Inputs!$B$14)</f>
        <v>0.15</v>
      </c>
      <c r="CZ29" s="10" t="n">
        <f aca="false">IF(CZ$1=Inputs!$B$34,Inputs!$B$34,Inputs!$B$14)</f>
        <v>0.15</v>
      </c>
      <c r="DA29" s="10" t="n">
        <f aca="false">IF(DA$1=Inputs!$B$34,Inputs!$B$34,Inputs!$B$14)</f>
        <v>0.15</v>
      </c>
      <c r="DB29" s="10" t="n">
        <f aca="false">IF(DB$1=Inputs!$B$34,Inputs!$B$34,Inputs!$B$14)</f>
        <v>0.15</v>
      </c>
      <c r="DC29" s="10" t="n">
        <f aca="false">IF(DC$1=Inputs!$B$34,Inputs!$B$34,Inputs!$B$14)</f>
        <v>0.15</v>
      </c>
      <c r="DD29" s="10" t="n">
        <f aca="false">IF(DD$1=Inputs!$B$34,Inputs!$B$34,Inputs!$B$14)</f>
        <v>0.15</v>
      </c>
      <c r="DE29" s="10" t="n">
        <f aca="false">IF(DE$1=Inputs!$B$34,Inputs!$B$34,Inputs!$B$14)</f>
        <v>0.15</v>
      </c>
      <c r="DF29" s="10" t="n">
        <f aca="false">IF(DF$1=Inputs!$B$34,Inputs!$B$34,Inputs!$B$14)</f>
        <v>0.15</v>
      </c>
      <c r="DG29" s="10" t="n">
        <f aca="false">IF(DG$1=Inputs!$B$34,Inputs!$B$34,Inputs!$B$14)</f>
        <v>0.15</v>
      </c>
      <c r="DH29" s="10" t="n">
        <f aca="false">IF(DH$1=Inputs!$B$34,Inputs!$B$34,Inputs!$B$14)</f>
        <v>0.15</v>
      </c>
      <c r="DI29" s="10" t="n">
        <f aca="false">IF(DI$1=Inputs!$B$34,Inputs!$B$34,Inputs!$B$14)</f>
        <v>0.15</v>
      </c>
      <c r="DJ29" s="10" t="n">
        <f aca="false">IF(DJ$1=Inputs!$B$34,Inputs!$B$34,Inputs!$B$14)</f>
        <v>0.15</v>
      </c>
      <c r="DK29" s="10" t="n">
        <f aca="false">IF(DK$1=Inputs!$B$34,Inputs!$B$34,Inputs!$B$14)</f>
        <v>0.15</v>
      </c>
      <c r="DL29" s="10" t="n">
        <f aca="false">IF(DL$1=Inputs!$B$34,Inputs!$B$34,Inputs!$B$14)</f>
        <v>0.15</v>
      </c>
      <c r="DM29" s="10" t="n">
        <f aca="false">IF(DM$1=Inputs!$B$34,Inputs!$B$34,Inputs!$B$14)</f>
        <v>0.15</v>
      </c>
      <c r="DN29" s="10" t="n">
        <f aca="false">IF(DN$1=Inputs!$B$34,Inputs!$B$34,Inputs!$B$14)</f>
        <v>0.15</v>
      </c>
      <c r="DO29" s="10" t="n">
        <f aca="false">IF(DO$1=Inputs!$B$34,Inputs!$B$34,Inputs!$B$14)</f>
        <v>0.15</v>
      </c>
      <c r="DP29" s="10" t="n">
        <f aca="false">IF(DP$1=Inputs!$B$34,Inputs!$B$34,Inputs!$B$14)</f>
        <v>0.15</v>
      </c>
      <c r="DQ29" s="10" t="n">
        <f aca="false">IF(DQ$1=Inputs!$B$34,Inputs!$B$34,Inputs!$B$14)</f>
        <v>0.15</v>
      </c>
      <c r="DR29" s="10" t="n">
        <f aca="false">IF(DR$1=Inputs!$B$34,Inputs!$B$34,Inputs!$B$14)</f>
        <v>0.15</v>
      </c>
    </row>
    <row r="30" customFormat="false" ht="15" hidden="false" customHeight="false" outlineLevel="0" collapsed="false">
      <c r="A30" s="9" t="s">
        <v>199</v>
      </c>
      <c r="B30" s="10" t="n">
        <f aca="false">B19*Inputs!$B$15</f>
        <v>0</v>
      </c>
      <c r="C30" s="10" t="n">
        <f aca="false">C19*Inputs!$B$15</f>
        <v>0</v>
      </c>
      <c r="D30" s="10" t="n">
        <f aca="false">D19*Inputs!$B$15</f>
        <v>0</v>
      </c>
      <c r="E30" s="10" t="n">
        <f aca="false">E19*Inputs!$B$15</f>
        <v>0</v>
      </c>
      <c r="F30" s="10" t="n">
        <f aca="false">F19*Inputs!$B$15</f>
        <v>0</v>
      </c>
      <c r="G30" s="10" t="n">
        <f aca="false">G19*Inputs!$B$15</f>
        <v>0</v>
      </c>
      <c r="H30" s="10" t="n">
        <f aca="false">H19*Inputs!$B$15</f>
        <v>0</v>
      </c>
      <c r="I30" s="10" t="n">
        <f aca="false">I19*Inputs!$B$15</f>
        <v>0</v>
      </c>
      <c r="J30" s="10" t="n">
        <f aca="false">J19*Inputs!$B$15</f>
        <v>0</v>
      </c>
      <c r="K30" s="10" t="n">
        <f aca="false">K19*Inputs!$B$15</f>
        <v>0.72</v>
      </c>
      <c r="L30" s="10" t="n">
        <f aca="false">L19*Inputs!$B$15</f>
        <v>0.72</v>
      </c>
      <c r="M30" s="10" t="n">
        <f aca="false">M19*Inputs!$B$15</f>
        <v>0.72</v>
      </c>
      <c r="N30" s="10" t="n">
        <f aca="false">N19*Inputs!$B$15</f>
        <v>1.2</v>
      </c>
      <c r="O30" s="10" t="n">
        <f aca="false">O19*Inputs!$B$15</f>
        <v>1.2</v>
      </c>
      <c r="P30" s="10" t="n">
        <f aca="false">P19*Inputs!$B$15</f>
        <v>1.2</v>
      </c>
      <c r="Q30" s="10" t="n">
        <f aca="false">Q19*Inputs!$B$15</f>
        <v>1.68</v>
      </c>
      <c r="R30" s="10" t="n">
        <f aca="false">R19*Inputs!$B$15</f>
        <v>1.68</v>
      </c>
      <c r="S30" s="10" t="n">
        <f aca="false">S19*Inputs!$B$15</f>
        <v>1.68</v>
      </c>
      <c r="T30" s="10" t="n">
        <f aca="false">T19*Inputs!$B$15</f>
        <v>1.68</v>
      </c>
      <c r="U30" s="10" t="n">
        <f aca="false">U19*Inputs!$B$15</f>
        <v>1.68</v>
      </c>
      <c r="V30" s="10" t="n">
        <f aca="false">V19*Inputs!$B$15</f>
        <v>1.68</v>
      </c>
      <c r="W30" s="10" t="n">
        <f aca="false">W19*Inputs!$B$15</f>
        <v>1.68</v>
      </c>
      <c r="X30" s="10" t="n">
        <f aca="false">X19*Inputs!$B$15</f>
        <v>1.68</v>
      </c>
      <c r="Y30" s="10" t="n">
        <f aca="false">Y19*Inputs!$B$15</f>
        <v>1.68</v>
      </c>
      <c r="Z30" s="10" t="n">
        <f aca="false">Z19*Inputs!$B$15</f>
        <v>1.68</v>
      </c>
      <c r="AA30" s="10" t="n">
        <f aca="false">AA19*Inputs!$B$15</f>
        <v>1.68</v>
      </c>
      <c r="AB30" s="10" t="n">
        <f aca="false">AB19*Inputs!$B$15</f>
        <v>1.68</v>
      </c>
      <c r="AC30" s="10" t="n">
        <f aca="false">AC19*Inputs!$B$15</f>
        <v>1.68</v>
      </c>
      <c r="AD30" s="10" t="n">
        <f aca="false">AD19*Inputs!$B$15</f>
        <v>1.68</v>
      </c>
      <c r="AE30" s="10" t="n">
        <f aca="false">AE19*Inputs!$B$15</f>
        <v>1.68</v>
      </c>
      <c r="AF30" s="10" t="n">
        <f aca="false">AF19*Inputs!$B$15</f>
        <v>1.68</v>
      </c>
      <c r="AG30" s="10" t="n">
        <f aca="false">AG19*Inputs!$B$15</f>
        <v>1.68</v>
      </c>
      <c r="AH30" s="10" t="n">
        <f aca="false">AH19*Inputs!$B$15</f>
        <v>1.68</v>
      </c>
      <c r="AI30" s="10" t="n">
        <f aca="false">AI19*Inputs!$B$15</f>
        <v>1.68</v>
      </c>
      <c r="AJ30" s="10" t="n">
        <f aca="false">AJ19*Inputs!$B$15</f>
        <v>1.68</v>
      </c>
      <c r="AK30" s="10" t="n">
        <f aca="false">AK19*Inputs!$B$15</f>
        <v>1.68</v>
      </c>
      <c r="AL30" s="10" t="n">
        <f aca="false">AL19*Inputs!$B$15</f>
        <v>1.68</v>
      </c>
      <c r="AM30" s="10" t="n">
        <f aca="false">AM19*Inputs!$B$15</f>
        <v>1.68</v>
      </c>
      <c r="AN30" s="10" t="n">
        <f aca="false">AN19*Inputs!$B$15</f>
        <v>1.68</v>
      </c>
      <c r="AO30" s="10" t="n">
        <f aca="false">AO19*Inputs!$B$15</f>
        <v>1.68</v>
      </c>
      <c r="AP30" s="10" t="n">
        <f aca="false">AP19*Inputs!$B$15</f>
        <v>1.68</v>
      </c>
      <c r="AQ30" s="10" t="n">
        <f aca="false">AQ19*Inputs!$B$15</f>
        <v>1.68</v>
      </c>
      <c r="AR30" s="10" t="n">
        <f aca="false">AR19*Inputs!$B$15</f>
        <v>1.68</v>
      </c>
      <c r="AS30" s="10" t="n">
        <f aca="false">AS19*Inputs!$B$15</f>
        <v>1.68</v>
      </c>
      <c r="AT30" s="10" t="n">
        <f aca="false">AT19*Inputs!$B$15</f>
        <v>1.68</v>
      </c>
      <c r="AU30" s="10" t="n">
        <f aca="false">AU19*Inputs!$B$15</f>
        <v>1.68</v>
      </c>
      <c r="AV30" s="10" t="n">
        <f aca="false">AV19*Inputs!$B$15</f>
        <v>1.68</v>
      </c>
      <c r="AW30" s="10" t="n">
        <f aca="false">AW19*Inputs!$B$15</f>
        <v>1.68</v>
      </c>
      <c r="AX30" s="10" t="n">
        <f aca="false">AX19*Inputs!$B$15</f>
        <v>1.68</v>
      </c>
      <c r="AY30" s="10" t="n">
        <f aca="false">AY19*Inputs!$B$15</f>
        <v>1.68</v>
      </c>
      <c r="AZ30" s="10" t="n">
        <f aca="false">AZ19*Inputs!$B$15</f>
        <v>1.68</v>
      </c>
      <c r="BA30" s="10" t="n">
        <f aca="false">BA19*Inputs!$B$15</f>
        <v>1.68</v>
      </c>
      <c r="BB30" s="10" t="n">
        <f aca="false">BB19*Inputs!$B$15</f>
        <v>1.68</v>
      </c>
      <c r="BC30" s="10" t="n">
        <f aca="false">BC19*Inputs!$B$15</f>
        <v>1.68</v>
      </c>
      <c r="BD30" s="10" t="n">
        <f aca="false">BD19*Inputs!$B$15</f>
        <v>1.68</v>
      </c>
      <c r="BE30" s="10" t="n">
        <f aca="false">BE19*Inputs!$B$15</f>
        <v>1.68</v>
      </c>
      <c r="BF30" s="10" t="n">
        <f aca="false">BF19*Inputs!$B$15</f>
        <v>1.68</v>
      </c>
      <c r="BG30" s="10" t="n">
        <f aca="false">BG19*Inputs!$B$15</f>
        <v>1.68</v>
      </c>
      <c r="BH30" s="10" t="n">
        <f aca="false">BH19*Inputs!$B$15</f>
        <v>1.68</v>
      </c>
      <c r="BI30" s="10" t="n">
        <f aca="false">BI19*Inputs!$B$15</f>
        <v>1.68</v>
      </c>
      <c r="BJ30" s="10" t="n">
        <f aca="false">BJ19*Inputs!$B$15</f>
        <v>1.68</v>
      </c>
      <c r="BK30" s="10" t="n">
        <f aca="false">BK19*Inputs!$B$15</f>
        <v>1.68</v>
      </c>
      <c r="BL30" s="10" t="n">
        <f aca="false">BL19*Inputs!$B$15</f>
        <v>1.68</v>
      </c>
      <c r="BM30" s="10" t="n">
        <f aca="false">BM19*Inputs!$B$15</f>
        <v>1.68</v>
      </c>
      <c r="BN30" s="10" t="n">
        <f aca="false">BN19*Inputs!$B$15</f>
        <v>1.68</v>
      </c>
      <c r="BO30" s="10" t="n">
        <f aca="false">BO19*Inputs!$B$15</f>
        <v>1.68</v>
      </c>
      <c r="BP30" s="10" t="n">
        <f aca="false">BP19*Inputs!$B$15</f>
        <v>1.68</v>
      </c>
      <c r="BQ30" s="10" t="n">
        <f aca="false">BQ19*Inputs!$B$15</f>
        <v>1.68</v>
      </c>
      <c r="BR30" s="10" t="n">
        <f aca="false">BR19*Inputs!$B$15</f>
        <v>1.68</v>
      </c>
      <c r="BS30" s="10" t="n">
        <f aca="false">BS19*Inputs!$B$15</f>
        <v>1.68</v>
      </c>
      <c r="BT30" s="10" t="n">
        <f aca="false">BT19*Inputs!$B$15</f>
        <v>1.68</v>
      </c>
      <c r="BU30" s="10" t="n">
        <f aca="false">BU19*Inputs!$B$15</f>
        <v>1.68</v>
      </c>
      <c r="BV30" s="10" t="n">
        <f aca="false">BV19*Inputs!$B$15</f>
        <v>1.68</v>
      </c>
      <c r="BW30" s="10" t="n">
        <f aca="false">BW19*Inputs!$B$15</f>
        <v>1.68</v>
      </c>
      <c r="BX30" s="10" t="n">
        <f aca="false">BX19*Inputs!$B$15</f>
        <v>1.68</v>
      </c>
      <c r="BY30" s="10" t="n">
        <f aca="false">BY19*Inputs!$B$15</f>
        <v>1.68</v>
      </c>
      <c r="BZ30" s="10" t="n">
        <f aca="false">BZ19*Inputs!$B$15</f>
        <v>1.68</v>
      </c>
      <c r="CA30" s="10" t="n">
        <f aca="false">CA19*Inputs!$B$15</f>
        <v>1.68</v>
      </c>
      <c r="CB30" s="10" t="n">
        <f aca="false">CB19*Inputs!$B$15</f>
        <v>1.68</v>
      </c>
      <c r="CC30" s="10" t="n">
        <f aca="false">CC19*Inputs!$B$15</f>
        <v>1.68</v>
      </c>
      <c r="CD30" s="10" t="n">
        <f aca="false">CD19*Inputs!$B$15</f>
        <v>1.68</v>
      </c>
      <c r="CE30" s="10" t="n">
        <f aca="false">CE19*Inputs!$B$15</f>
        <v>1.68</v>
      </c>
      <c r="CF30" s="10" t="n">
        <f aca="false">CF19*Inputs!$B$15</f>
        <v>1.68</v>
      </c>
      <c r="CG30" s="10" t="n">
        <f aca="false">CG19*Inputs!$B$15</f>
        <v>1.68</v>
      </c>
      <c r="CH30" s="10" t="n">
        <f aca="false">CH19*Inputs!$B$15</f>
        <v>1.68</v>
      </c>
      <c r="CI30" s="10" t="n">
        <f aca="false">CI19*Inputs!$B$15</f>
        <v>1.68</v>
      </c>
      <c r="CJ30" s="10" t="n">
        <f aca="false">CJ19*Inputs!$B$15</f>
        <v>1.68</v>
      </c>
      <c r="CK30" s="10" t="n">
        <f aca="false">CK19*Inputs!$B$15</f>
        <v>1.68</v>
      </c>
      <c r="CL30" s="10" t="n">
        <f aca="false">CL19*Inputs!$B$15</f>
        <v>1.68</v>
      </c>
      <c r="CM30" s="10" t="n">
        <f aca="false">CM19*Inputs!$B$15</f>
        <v>1.68</v>
      </c>
      <c r="CN30" s="10" t="n">
        <f aca="false">CN19*Inputs!$B$15</f>
        <v>1.68</v>
      </c>
      <c r="CO30" s="10" t="n">
        <f aca="false">CO19*Inputs!$B$15</f>
        <v>1.68</v>
      </c>
      <c r="CP30" s="10" t="n">
        <f aca="false">CP19*Inputs!$B$15</f>
        <v>1.68</v>
      </c>
      <c r="CQ30" s="10" t="n">
        <f aca="false">CQ19*Inputs!$B$15</f>
        <v>1.68</v>
      </c>
      <c r="CR30" s="10" t="n">
        <f aca="false">CR19*Inputs!$B$15</f>
        <v>1.68</v>
      </c>
      <c r="CS30" s="10" t="n">
        <f aca="false">CS19*Inputs!$B$15</f>
        <v>1.68</v>
      </c>
      <c r="CT30" s="10" t="n">
        <f aca="false">CT19*Inputs!$B$15</f>
        <v>1.68</v>
      </c>
      <c r="CU30" s="10" t="n">
        <f aca="false">CU19*Inputs!$B$15</f>
        <v>1.68</v>
      </c>
      <c r="CV30" s="10" t="n">
        <f aca="false">CV19*Inputs!$B$15</f>
        <v>1.68</v>
      </c>
      <c r="CW30" s="10" t="n">
        <f aca="false">CW19*Inputs!$B$15</f>
        <v>1.68</v>
      </c>
      <c r="CX30" s="10" t="n">
        <f aca="false">CX19*Inputs!$B$15</f>
        <v>1.68</v>
      </c>
      <c r="CY30" s="10" t="n">
        <f aca="false">CY19*Inputs!$B$15</f>
        <v>1.68</v>
      </c>
      <c r="CZ30" s="10" t="n">
        <f aca="false">CZ19*Inputs!$B$15</f>
        <v>1.68</v>
      </c>
      <c r="DA30" s="10" t="n">
        <f aca="false">DA19*Inputs!$B$15</f>
        <v>1.68</v>
      </c>
      <c r="DB30" s="10" t="n">
        <f aca="false">DB19*Inputs!$B$15</f>
        <v>1.68</v>
      </c>
      <c r="DC30" s="10" t="n">
        <f aca="false">DC19*Inputs!$B$15</f>
        <v>1.68</v>
      </c>
      <c r="DD30" s="10" t="n">
        <f aca="false">DD19*Inputs!$B$15</f>
        <v>1.68</v>
      </c>
      <c r="DE30" s="10" t="n">
        <f aca="false">DE19*Inputs!$B$15</f>
        <v>1.68</v>
      </c>
      <c r="DF30" s="10" t="n">
        <f aca="false">DF19*Inputs!$B$15</f>
        <v>1.68</v>
      </c>
      <c r="DG30" s="10" t="n">
        <f aca="false">DG19*Inputs!$B$15</f>
        <v>1.68</v>
      </c>
      <c r="DH30" s="10" t="n">
        <f aca="false">DH19*Inputs!$B$15</f>
        <v>1.68</v>
      </c>
      <c r="DI30" s="10" t="n">
        <f aca="false">DI19*Inputs!$B$15</f>
        <v>1.68</v>
      </c>
      <c r="DJ30" s="10" t="n">
        <f aca="false">DJ19*Inputs!$B$15</f>
        <v>1.68</v>
      </c>
      <c r="DK30" s="10" t="n">
        <f aca="false">DK19*Inputs!$B$15</f>
        <v>1.68</v>
      </c>
      <c r="DL30" s="10" t="n">
        <f aca="false">DL19*Inputs!$B$15</f>
        <v>1.68</v>
      </c>
      <c r="DM30" s="10" t="n">
        <f aca="false">DM19*Inputs!$B$15</f>
        <v>1.68</v>
      </c>
      <c r="DN30" s="10" t="n">
        <f aca="false">DN19*Inputs!$B$15</f>
        <v>1.68</v>
      </c>
      <c r="DO30" s="10" t="n">
        <f aca="false">DO19*Inputs!$B$15</f>
        <v>1.68</v>
      </c>
      <c r="DP30" s="10" t="n">
        <f aca="false">DP19*Inputs!$B$15</f>
        <v>1.68</v>
      </c>
      <c r="DQ30" s="10" t="n">
        <f aca="false">DQ19*Inputs!$B$15</f>
        <v>1.68</v>
      </c>
      <c r="DR30" s="10" t="n">
        <f aca="false">DR19*Inputs!$B$15</f>
        <v>1.68</v>
      </c>
    </row>
    <row r="31" customFormat="false" ht="15" hidden="false" customHeight="false" outlineLevel="0" collapsed="false">
      <c r="A31" s="9" t="s">
        <v>200</v>
      </c>
      <c r="B31" s="11" t="n">
        <f aca="false">SUM(B28:B30)</f>
        <v>0</v>
      </c>
      <c r="C31" s="11" t="n">
        <f aca="false">SUM(C28:C30)</f>
        <v>0.55</v>
      </c>
      <c r="D31" s="11" t="n">
        <f aca="false">SUM(D28:D30)</f>
        <v>0.55</v>
      </c>
      <c r="E31" s="11" t="n">
        <f aca="false">SUM(E28:E30)</f>
        <v>0.55</v>
      </c>
      <c r="F31" s="11" t="n">
        <f aca="false">SUM(F28:F30)</f>
        <v>0.55</v>
      </c>
      <c r="G31" s="11" t="n">
        <f aca="false">SUM(G28:G30)</f>
        <v>0.55</v>
      </c>
      <c r="H31" s="11" t="n">
        <f aca="false">SUM(H28:H30)</f>
        <v>0.55</v>
      </c>
      <c r="I31" s="11" t="n">
        <f aca="false">SUM(I28:I30)</f>
        <v>0.55</v>
      </c>
      <c r="J31" s="11" t="n">
        <f aca="false">SUM(J28:J30)</f>
        <v>0.55</v>
      </c>
      <c r="K31" s="11" t="n">
        <f aca="false">SUM(K28:K30)</f>
        <v>1.27</v>
      </c>
      <c r="L31" s="11" t="n">
        <f aca="false">SUM(L28:L30)</f>
        <v>1.27</v>
      </c>
      <c r="M31" s="11" t="n">
        <f aca="false">SUM(M28:M30)</f>
        <v>1.27</v>
      </c>
      <c r="N31" s="11" t="n">
        <f aca="false">SUM(N28:N30)</f>
        <v>1.75</v>
      </c>
      <c r="O31" s="11" t="n">
        <f aca="false">SUM(O28:O30)</f>
        <v>1.75</v>
      </c>
      <c r="P31" s="11" t="n">
        <f aca="false">SUM(P28:P30)</f>
        <v>1.75</v>
      </c>
      <c r="Q31" s="11" t="n">
        <f aca="false">SUM(Q28:Q30)</f>
        <v>2.23</v>
      </c>
      <c r="R31" s="11" t="n">
        <f aca="false">SUM(R28:R30)</f>
        <v>2.23</v>
      </c>
      <c r="S31" s="11" t="n">
        <f aca="false">SUM(S28:S30)</f>
        <v>2.23</v>
      </c>
      <c r="T31" s="11" t="n">
        <f aca="false">SUM(T28:T30)</f>
        <v>2.23</v>
      </c>
      <c r="U31" s="11" t="n">
        <f aca="false">SUM(U28:U30)</f>
        <v>2.23</v>
      </c>
      <c r="V31" s="11" t="n">
        <f aca="false">SUM(V28:V30)</f>
        <v>2.23</v>
      </c>
      <c r="W31" s="11" t="n">
        <f aca="false">SUM(W28:W30)</f>
        <v>2.23</v>
      </c>
      <c r="X31" s="11" t="n">
        <f aca="false">SUM(X28:X30)</f>
        <v>2.23</v>
      </c>
      <c r="Y31" s="11" t="n">
        <f aca="false">SUM(Y28:Y30)</f>
        <v>2.23</v>
      </c>
      <c r="Z31" s="11" t="n">
        <f aca="false">SUM(Z28:Z30)</f>
        <v>2.23</v>
      </c>
      <c r="AA31" s="11" t="n">
        <f aca="false">SUM(AA28:AA30)</f>
        <v>2.23</v>
      </c>
      <c r="AB31" s="11" t="n">
        <f aca="false">SUM(AB28:AB30)</f>
        <v>2.23</v>
      </c>
      <c r="AC31" s="11" t="n">
        <f aca="false">SUM(AC28:AC30)</f>
        <v>2.23</v>
      </c>
      <c r="AD31" s="11" t="n">
        <f aca="false">SUM(AD28:AD30)</f>
        <v>2.23</v>
      </c>
      <c r="AE31" s="11" t="n">
        <f aca="false">SUM(AE28:AE30)</f>
        <v>2.23</v>
      </c>
      <c r="AF31" s="11" t="n">
        <f aca="false">SUM(AF28:AF30)</f>
        <v>2.23</v>
      </c>
      <c r="AG31" s="11" t="n">
        <f aca="false">SUM(AG28:AG30)</f>
        <v>2.23</v>
      </c>
      <c r="AH31" s="11" t="n">
        <f aca="false">SUM(AH28:AH30)</f>
        <v>2.23</v>
      </c>
      <c r="AI31" s="11" t="n">
        <f aca="false">SUM(AI28:AI30)</f>
        <v>2.23</v>
      </c>
      <c r="AJ31" s="11" t="n">
        <f aca="false">SUM(AJ28:AJ30)</f>
        <v>2.23</v>
      </c>
      <c r="AK31" s="11" t="n">
        <f aca="false">SUM(AK28:AK30)</f>
        <v>2.23</v>
      </c>
      <c r="AL31" s="11" t="n">
        <f aca="false">SUM(AL28:AL30)</f>
        <v>2.23</v>
      </c>
      <c r="AM31" s="11" t="n">
        <f aca="false">SUM(AM28:AM30)</f>
        <v>2.23</v>
      </c>
      <c r="AN31" s="11" t="n">
        <f aca="false">SUM(AN28:AN30)</f>
        <v>2.23</v>
      </c>
      <c r="AO31" s="11" t="n">
        <f aca="false">SUM(AO28:AO30)</f>
        <v>2.23</v>
      </c>
      <c r="AP31" s="11" t="n">
        <f aca="false">SUM(AP28:AP30)</f>
        <v>2.23</v>
      </c>
      <c r="AQ31" s="11" t="n">
        <f aca="false">SUM(AQ28:AQ30)</f>
        <v>2.23</v>
      </c>
      <c r="AR31" s="11" t="n">
        <f aca="false">SUM(AR28:AR30)</f>
        <v>2.23</v>
      </c>
      <c r="AS31" s="11" t="n">
        <f aca="false">SUM(AS28:AS30)</f>
        <v>2.23</v>
      </c>
      <c r="AT31" s="11" t="n">
        <f aca="false">SUM(AT28:AT30)</f>
        <v>2.23</v>
      </c>
      <c r="AU31" s="11" t="n">
        <f aca="false">SUM(AU28:AU30)</f>
        <v>2.23</v>
      </c>
      <c r="AV31" s="11" t="n">
        <f aca="false">SUM(AV28:AV30)</f>
        <v>2.23</v>
      </c>
      <c r="AW31" s="11" t="n">
        <f aca="false">SUM(AW28:AW30)</f>
        <v>2.23</v>
      </c>
      <c r="AX31" s="11" t="n">
        <f aca="false">SUM(AX28:AX30)</f>
        <v>2.23</v>
      </c>
      <c r="AY31" s="11" t="n">
        <f aca="false">SUM(AY28:AY30)</f>
        <v>2.23</v>
      </c>
      <c r="AZ31" s="11" t="n">
        <f aca="false">SUM(AZ28:AZ30)</f>
        <v>2.23</v>
      </c>
      <c r="BA31" s="11" t="n">
        <f aca="false">SUM(BA28:BA30)</f>
        <v>2.23</v>
      </c>
      <c r="BB31" s="11" t="n">
        <f aca="false">SUM(BB28:BB30)</f>
        <v>2.23</v>
      </c>
      <c r="BC31" s="11" t="n">
        <f aca="false">SUM(BC28:BC30)</f>
        <v>2.23</v>
      </c>
      <c r="BD31" s="11" t="n">
        <f aca="false">SUM(BD28:BD30)</f>
        <v>2.23</v>
      </c>
      <c r="BE31" s="11" t="n">
        <f aca="false">SUM(BE28:BE30)</f>
        <v>2.23</v>
      </c>
      <c r="BF31" s="11" t="n">
        <f aca="false">SUM(BF28:BF30)</f>
        <v>2.23</v>
      </c>
      <c r="BG31" s="11" t="n">
        <f aca="false">SUM(BG28:BG30)</f>
        <v>2.23</v>
      </c>
      <c r="BH31" s="11" t="n">
        <f aca="false">SUM(BH28:BH30)</f>
        <v>2.23</v>
      </c>
      <c r="BI31" s="11" t="n">
        <f aca="false">SUM(BI28:BI30)</f>
        <v>2.23</v>
      </c>
      <c r="BJ31" s="11" t="n">
        <f aca="false">SUM(BJ28:BJ30)</f>
        <v>2.23</v>
      </c>
      <c r="BK31" s="11" t="n">
        <f aca="false">SUM(BK28:BK30)</f>
        <v>2.23</v>
      </c>
      <c r="BL31" s="11" t="n">
        <f aca="false">SUM(BL28:BL30)</f>
        <v>2.23</v>
      </c>
      <c r="BM31" s="11" t="n">
        <f aca="false">SUM(BM28:BM30)</f>
        <v>2.23</v>
      </c>
      <c r="BN31" s="11" t="n">
        <f aca="false">SUM(BN28:BN30)</f>
        <v>2.23</v>
      </c>
      <c r="BO31" s="11" t="n">
        <f aca="false">SUM(BO28:BO30)</f>
        <v>2.23</v>
      </c>
      <c r="BP31" s="11" t="n">
        <f aca="false">SUM(BP28:BP30)</f>
        <v>2.23</v>
      </c>
      <c r="BQ31" s="11" t="n">
        <f aca="false">SUM(BQ28:BQ30)</f>
        <v>2.23</v>
      </c>
      <c r="BR31" s="11" t="n">
        <f aca="false">SUM(BR28:BR30)</f>
        <v>2.23</v>
      </c>
      <c r="BS31" s="11" t="n">
        <f aca="false">SUM(BS28:BS30)</f>
        <v>2.23</v>
      </c>
      <c r="BT31" s="11" t="n">
        <f aca="false">SUM(BT28:BT30)</f>
        <v>2.23</v>
      </c>
      <c r="BU31" s="11" t="n">
        <f aca="false">SUM(BU28:BU30)</f>
        <v>2.23</v>
      </c>
      <c r="BV31" s="11" t="n">
        <f aca="false">SUM(BV28:BV30)</f>
        <v>2.23</v>
      </c>
      <c r="BW31" s="11" t="n">
        <f aca="false">SUM(BW28:BW30)</f>
        <v>2.23</v>
      </c>
      <c r="BX31" s="11" t="n">
        <f aca="false">SUM(BX28:BX30)</f>
        <v>2.23</v>
      </c>
      <c r="BY31" s="11" t="n">
        <f aca="false">SUM(BY28:BY30)</f>
        <v>2.23</v>
      </c>
      <c r="BZ31" s="11" t="n">
        <f aca="false">SUM(BZ28:BZ30)</f>
        <v>2.23</v>
      </c>
      <c r="CA31" s="11" t="n">
        <f aca="false">SUM(CA28:CA30)</f>
        <v>2.23</v>
      </c>
      <c r="CB31" s="11" t="n">
        <f aca="false">SUM(CB28:CB30)</f>
        <v>2.23</v>
      </c>
      <c r="CC31" s="11" t="n">
        <f aca="false">SUM(CC28:CC30)</f>
        <v>2.23</v>
      </c>
      <c r="CD31" s="11" t="n">
        <f aca="false">SUM(CD28:CD30)</f>
        <v>2.23</v>
      </c>
      <c r="CE31" s="11" t="n">
        <f aca="false">SUM(CE28:CE30)</f>
        <v>2.23</v>
      </c>
      <c r="CF31" s="11" t="n">
        <f aca="false">SUM(CF28:CF30)</f>
        <v>2.23</v>
      </c>
      <c r="CG31" s="11" t="n">
        <f aca="false">SUM(CG28:CG30)</f>
        <v>2.23</v>
      </c>
      <c r="CH31" s="11" t="n">
        <f aca="false">SUM(CH28:CH30)</f>
        <v>2.23</v>
      </c>
      <c r="CI31" s="11" t="n">
        <f aca="false">SUM(CI28:CI30)</f>
        <v>2.23</v>
      </c>
      <c r="CJ31" s="11" t="n">
        <f aca="false">SUM(CJ28:CJ30)</f>
        <v>2.23</v>
      </c>
      <c r="CK31" s="11" t="n">
        <f aca="false">SUM(CK28:CK30)</f>
        <v>2.23</v>
      </c>
      <c r="CL31" s="11" t="n">
        <f aca="false">SUM(CL28:CL30)</f>
        <v>2.23</v>
      </c>
      <c r="CM31" s="11" t="n">
        <f aca="false">SUM(CM28:CM30)</f>
        <v>2.23</v>
      </c>
      <c r="CN31" s="11" t="n">
        <f aca="false">SUM(CN28:CN30)</f>
        <v>2.23</v>
      </c>
      <c r="CO31" s="11" t="n">
        <f aca="false">SUM(CO28:CO30)</f>
        <v>2.23</v>
      </c>
      <c r="CP31" s="11" t="n">
        <f aca="false">SUM(CP28:CP30)</f>
        <v>2.23</v>
      </c>
      <c r="CQ31" s="11" t="n">
        <f aca="false">SUM(CQ28:CQ30)</f>
        <v>2.23</v>
      </c>
      <c r="CR31" s="11" t="n">
        <f aca="false">SUM(CR28:CR30)</f>
        <v>2.23</v>
      </c>
      <c r="CS31" s="11" t="n">
        <f aca="false">SUM(CS28:CS30)</f>
        <v>2.23</v>
      </c>
      <c r="CT31" s="11" t="n">
        <f aca="false">SUM(CT28:CT30)</f>
        <v>2.23</v>
      </c>
      <c r="CU31" s="11" t="n">
        <f aca="false">SUM(CU28:CU30)</f>
        <v>2.23</v>
      </c>
      <c r="CV31" s="11" t="n">
        <f aca="false">SUM(CV28:CV30)</f>
        <v>2.23</v>
      </c>
      <c r="CW31" s="11" t="n">
        <f aca="false">SUM(CW28:CW30)</f>
        <v>2.23</v>
      </c>
      <c r="CX31" s="11" t="n">
        <f aca="false">SUM(CX28:CX30)</f>
        <v>2.23</v>
      </c>
      <c r="CY31" s="11" t="n">
        <f aca="false">SUM(CY28:CY30)</f>
        <v>2.23</v>
      </c>
      <c r="CZ31" s="11" t="n">
        <f aca="false">SUM(CZ28:CZ30)</f>
        <v>2.23</v>
      </c>
      <c r="DA31" s="11" t="n">
        <f aca="false">SUM(DA28:DA30)</f>
        <v>2.23</v>
      </c>
      <c r="DB31" s="11" t="n">
        <f aca="false">SUM(DB28:DB30)</f>
        <v>2.23</v>
      </c>
      <c r="DC31" s="11" t="n">
        <f aca="false">SUM(DC28:DC30)</f>
        <v>2.23</v>
      </c>
      <c r="DD31" s="11" t="n">
        <f aca="false">SUM(DD28:DD30)</f>
        <v>2.23</v>
      </c>
      <c r="DE31" s="11" t="n">
        <f aca="false">SUM(DE28:DE30)</f>
        <v>2.23</v>
      </c>
      <c r="DF31" s="11" t="n">
        <f aca="false">SUM(DF28:DF30)</f>
        <v>2.23</v>
      </c>
      <c r="DG31" s="11" t="n">
        <f aca="false">SUM(DG28:DG30)</f>
        <v>2.23</v>
      </c>
      <c r="DH31" s="11" t="n">
        <f aca="false">SUM(DH28:DH30)</f>
        <v>2.23</v>
      </c>
      <c r="DI31" s="11" t="n">
        <f aca="false">SUM(DI28:DI30)</f>
        <v>2.23</v>
      </c>
      <c r="DJ31" s="11" t="n">
        <f aca="false">SUM(DJ28:DJ30)</f>
        <v>2.23</v>
      </c>
      <c r="DK31" s="11" t="n">
        <f aca="false">SUM(DK28:DK30)</f>
        <v>2.23</v>
      </c>
      <c r="DL31" s="11" t="n">
        <f aca="false">SUM(DL28:DL30)</f>
        <v>2.23</v>
      </c>
      <c r="DM31" s="11" t="n">
        <f aca="false">SUM(DM28:DM30)</f>
        <v>2.23</v>
      </c>
      <c r="DN31" s="11" t="n">
        <f aca="false">SUM(DN28:DN30)</f>
        <v>2.23</v>
      </c>
      <c r="DO31" s="11" t="n">
        <f aca="false">SUM(DO28:DO30)</f>
        <v>2.23</v>
      </c>
      <c r="DP31" s="11" t="n">
        <f aca="false">SUM(DP28:DP30)</f>
        <v>2.23</v>
      </c>
      <c r="DQ31" s="11" t="n">
        <f aca="false">SUM(DQ28:DQ30)</f>
        <v>2.23</v>
      </c>
      <c r="DR31" s="11" t="n">
        <f aca="false">SUM(DR28:DR30)</f>
        <v>2.23</v>
      </c>
    </row>
    <row r="32" customFormat="false" ht="15" hidden="false" customHeight="false" outlineLevel="0" collapsed="false">
      <c r="A32" s="9" t="s">
        <v>201</v>
      </c>
      <c r="B32" s="10" t="n">
        <f aca="false">IF(AND(B$1&gt;Inputs!$B$34,B$1&lt;=Inputs!$B$19),Funding!$B$8/Inputs!$B$19,Inputs!$B$34)</f>
        <v>0</v>
      </c>
      <c r="C32" s="10" t="n">
        <f aca="false">IF(AND(C$1&gt;Inputs!$B$34,C$1&lt;=Inputs!$B$19),Funding!$B$8/Inputs!$B$19,Inputs!$B$34)</f>
        <v>0.583333333333333</v>
      </c>
      <c r="D32" s="10" t="n">
        <f aca="false">IF(AND(D$1&gt;Inputs!$B$34,D$1&lt;=Inputs!$B$19),Funding!$B$8/Inputs!$B$19,Inputs!$B$34)</f>
        <v>0.583333333333333</v>
      </c>
      <c r="E32" s="10" t="n">
        <f aca="false">IF(AND(E$1&gt;Inputs!$B$34,E$1&lt;=Inputs!$B$19),Funding!$B$8/Inputs!$B$19,Inputs!$B$34)</f>
        <v>0.583333333333333</v>
      </c>
      <c r="F32" s="10" t="n">
        <f aca="false">IF(AND(F$1&gt;Inputs!$B$34,F$1&lt;=Inputs!$B$19),Funding!$B$8/Inputs!$B$19,Inputs!$B$34)</f>
        <v>0.583333333333333</v>
      </c>
      <c r="G32" s="10" t="n">
        <f aca="false">IF(AND(G$1&gt;Inputs!$B$34,G$1&lt;=Inputs!$B$19),Funding!$B$8/Inputs!$B$19,Inputs!$B$34)</f>
        <v>0.583333333333333</v>
      </c>
      <c r="H32" s="10" t="n">
        <f aca="false">IF(AND(H$1&gt;Inputs!$B$34,H$1&lt;=Inputs!$B$19),Funding!$B$8/Inputs!$B$19,Inputs!$B$34)</f>
        <v>0.583333333333333</v>
      </c>
      <c r="I32" s="10" t="n">
        <f aca="false">IF(AND(I$1&gt;Inputs!$B$34,I$1&lt;=Inputs!$B$19),Funding!$B$8/Inputs!$B$19,Inputs!$B$34)</f>
        <v>0.583333333333333</v>
      </c>
      <c r="J32" s="10" t="n">
        <f aca="false">IF(AND(J$1&gt;Inputs!$B$34,J$1&lt;=Inputs!$B$19),Funding!$B$8/Inputs!$B$19,Inputs!$B$34)</f>
        <v>0.583333333333333</v>
      </c>
      <c r="K32" s="10" t="n">
        <f aca="false">IF(AND(K$1&gt;Inputs!$B$34,K$1&lt;=Inputs!$B$19),Funding!$B$8/Inputs!$B$19,Inputs!$B$34)</f>
        <v>0.583333333333333</v>
      </c>
      <c r="L32" s="10" t="n">
        <f aca="false">IF(AND(L$1&gt;Inputs!$B$34,L$1&lt;=Inputs!$B$19),Funding!$B$8/Inputs!$B$19,Inputs!$B$34)</f>
        <v>0.583333333333333</v>
      </c>
      <c r="M32" s="10" t="n">
        <f aca="false">IF(AND(M$1&gt;Inputs!$B$34,M$1&lt;=Inputs!$B$19),Funding!$B$8/Inputs!$B$19,Inputs!$B$34)</f>
        <v>0.583333333333333</v>
      </c>
      <c r="N32" s="10" t="n">
        <f aca="false">IF(AND(N$1&gt;Inputs!$B$34,N$1&lt;=Inputs!$B$19),Funding!$B$8/Inputs!$B$19,Inputs!$B$34)</f>
        <v>0.583333333333333</v>
      </c>
      <c r="O32" s="10" t="n">
        <f aca="false">IF(AND(O$1&gt;Inputs!$B$34,O$1&lt;=Inputs!$B$19),Funding!$B$8/Inputs!$B$19,Inputs!$B$34)</f>
        <v>0</v>
      </c>
      <c r="P32" s="10" t="n">
        <f aca="false">IF(AND(P$1&gt;Inputs!$B$34,P$1&lt;=Inputs!$B$19),Funding!$B$8/Inputs!$B$19,Inputs!$B$34)</f>
        <v>0</v>
      </c>
      <c r="Q32" s="10" t="n">
        <f aca="false">IF(AND(Q$1&gt;Inputs!$B$34,Q$1&lt;=Inputs!$B$19),Funding!$B$8/Inputs!$B$19,Inputs!$B$34)</f>
        <v>0</v>
      </c>
      <c r="R32" s="10" t="n">
        <f aca="false">IF(AND(R$1&gt;Inputs!$B$34,R$1&lt;=Inputs!$B$19),Funding!$B$8/Inputs!$B$19,Inputs!$B$34)</f>
        <v>0</v>
      </c>
      <c r="S32" s="10" t="n">
        <f aca="false">IF(AND(S$1&gt;Inputs!$B$34,S$1&lt;=Inputs!$B$19),Funding!$B$8/Inputs!$B$19,Inputs!$B$34)</f>
        <v>0</v>
      </c>
      <c r="T32" s="10" t="n">
        <f aca="false">IF(AND(T$1&gt;Inputs!$B$34,T$1&lt;=Inputs!$B$19),Funding!$B$8/Inputs!$B$19,Inputs!$B$34)</f>
        <v>0</v>
      </c>
      <c r="U32" s="10" t="n">
        <f aca="false">IF(AND(U$1&gt;Inputs!$B$34,U$1&lt;=Inputs!$B$19),Funding!$B$8/Inputs!$B$19,Inputs!$B$34)</f>
        <v>0</v>
      </c>
      <c r="V32" s="10" t="n">
        <f aca="false">IF(AND(V$1&gt;Inputs!$B$34,V$1&lt;=Inputs!$B$19),Funding!$B$8/Inputs!$B$19,Inputs!$B$34)</f>
        <v>0</v>
      </c>
      <c r="W32" s="10" t="n">
        <f aca="false">IF(AND(W$1&gt;Inputs!$B$34,W$1&lt;=Inputs!$B$19),Funding!$B$8/Inputs!$B$19,Inputs!$B$34)</f>
        <v>0</v>
      </c>
      <c r="X32" s="10" t="n">
        <f aca="false">IF(AND(X$1&gt;Inputs!$B$34,X$1&lt;=Inputs!$B$19),Funding!$B$8/Inputs!$B$19,Inputs!$B$34)</f>
        <v>0</v>
      </c>
      <c r="Y32" s="10" t="n">
        <f aca="false">IF(AND(Y$1&gt;Inputs!$B$34,Y$1&lt;=Inputs!$B$19),Funding!$B$8/Inputs!$B$19,Inputs!$B$34)</f>
        <v>0</v>
      </c>
      <c r="Z32" s="10" t="n">
        <f aca="false">IF(AND(Z$1&gt;Inputs!$B$34,Z$1&lt;=Inputs!$B$19),Funding!$B$8/Inputs!$B$19,Inputs!$B$34)</f>
        <v>0</v>
      </c>
      <c r="AA32" s="10" t="n">
        <f aca="false">IF(AND(AA$1&gt;Inputs!$B$34,AA$1&lt;=Inputs!$B$19),Funding!$B$8/Inputs!$B$19,Inputs!$B$34)</f>
        <v>0</v>
      </c>
      <c r="AB32" s="10" t="n">
        <f aca="false">IF(AND(AB$1&gt;Inputs!$B$34,AB$1&lt;=Inputs!$B$19),Funding!$B$8/Inputs!$B$19,Inputs!$B$34)</f>
        <v>0</v>
      </c>
      <c r="AC32" s="10" t="n">
        <f aca="false">IF(AND(AC$1&gt;Inputs!$B$34,AC$1&lt;=Inputs!$B$19),Funding!$B$8/Inputs!$B$19,Inputs!$B$34)</f>
        <v>0</v>
      </c>
      <c r="AD32" s="10" t="n">
        <f aca="false">IF(AND(AD$1&gt;Inputs!$B$34,AD$1&lt;=Inputs!$B$19),Funding!$B$8/Inputs!$B$19,Inputs!$B$34)</f>
        <v>0</v>
      </c>
      <c r="AE32" s="10" t="n">
        <f aca="false">IF(AND(AE$1&gt;Inputs!$B$34,AE$1&lt;=Inputs!$B$19),Funding!$B$8/Inputs!$B$19,Inputs!$B$34)</f>
        <v>0</v>
      </c>
      <c r="AF32" s="10" t="n">
        <f aca="false">IF(AND(AF$1&gt;Inputs!$B$34,AF$1&lt;=Inputs!$B$19),Funding!$B$8/Inputs!$B$19,Inputs!$B$34)</f>
        <v>0</v>
      </c>
      <c r="AG32" s="10" t="n">
        <f aca="false">IF(AND(AG$1&gt;Inputs!$B$34,AG$1&lt;=Inputs!$B$19),Funding!$B$8/Inputs!$B$19,Inputs!$B$34)</f>
        <v>0</v>
      </c>
      <c r="AH32" s="10" t="n">
        <f aca="false">IF(AND(AH$1&gt;Inputs!$B$34,AH$1&lt;=Inputs!$B$19),Funding!$B$8/Inputs!$B$19,Inputs!$B$34)</f>
        <v>0</v>
      </c>
      <c r="AI32" s="10" t="n">
        <f aca="false">IF(AND(AI$1&gt;Inputs!$B$34,AI$1&lt;=Inputs!$B$19),Funding!$B$8/Inputs!$B$19,Inputs!$B$34)</f>
        <v>0</v>
      </c>
      <c r="AJ32" s="10" t="n">
        <f aca="false">IF(AND(AJ$1&gt;Inputs!$B$34,AJ$1&lt;=Inputs!$B$19),Funding!$B$8/Inputs!$B$19,Inputs!$B$34)</f>
        <v>0</v>
      </c>
      <c r="AK32" s="10" t="n">
        <f aca="false">IF(AND(AK$1&gt;Inputs!$B$34,AK$1&lt;=Inputs!$B$19),Funding!$B$8/Inputs!$B$19,Inputs!$B$34)</f>
        <v>0</v>
      </c>
      <c r="AL32" s="10" t="n">
        <f aca="false">IF(AND(AL$1&gt;Inputs!$B$34,AL$1&lt;=Inputs!$B$19),Funding!$B$8/Inputs!$B$19,Inputs!$B$34)</f>
        <v>0</v>
      </c>
      <c r="AM32" s="10" t="n">
        <f aca="false">IF(AND(AM$1&gt;Inputs!$B$34,AM$1&lt;=Inputs!$B$19),Funding!$B$8/Inputs!$B$19,Inputs!$B$34)</f>
        <v>0</v>
      </c>
      <c r="AN32" s="10" t="n">
        <f aca="false">IF(AND(AN$1&gt;Inputs!$B$34,AN$1&lt;=Inputs!$B$19),Funding!$B$8/Inputs!$B$19,Inputs!$B$34)</f>
        <v>0</v>
      </c>
      <c r="AO32" s="10" t="n">
        <f aca="false">IF(AND(AO$1&gt;Inputs!$B$34,AO$1&lt;=Inputs!$B$19),Funding!$B$8/Inputs!$B$19,Inputs!$B$34)</f>
        <v>0</v>
      </c>
      <c r="AP32" s="10" t="n">
        <f aca="false">IF(AND(AP$1&gt;Inputs!$B$34,AP$1&lt;=Inputs!$B$19),Funding!$B$8/Inputs!$B$19,Inputs!$B$34)</f>
        <v>0</v>
      </c>
      <c r="AQ32" s="10" t="n">
        <f aca="false">IF(AND(AQ$1&gt;Inputs!$B$34,AQ$1&lt;=Inputs!$B$19),Funding!$B$8/Inputs!$B$19,Inputs!$B$34)</f>
        <v>0</v>
      </c>
      <c r="AR32" s="10" t="n">
        <f aca="false">IF(AND(AR$1&gt;Inputs!$B$34,AR$1&lt;=Inputs!$B$19),Funding!$B$8/Inputs!$B$19,Inputs!$B$34)</f>
        <v>0</v>
      </c>
      <c r="AS32" s="10" t="n">
        <f aca="false">IF(AND(AS$1&gt;Inputs!$B$34,AS$1&lt;=Inputs!$B$19),Funding!$B$8/Inputs!$B$19,Inputs!$B$34)</f>
        <v>0</v>
      </c>
      <c r="AT32" s="10" t="n">
        <f aca="false">IF(AND(AT$1&gt;Inputs!$B$34,AT$1&lt;=Inputs!$B$19),Funding!$B$8/Inputs!$B$19,Inputs!$B$34)</f>
        <v>0</v>
      </c>
      <c r="AU32" s="10" t="n">
        <f aca="false">IF(AND(AU$1&gt;Inputs!$B$34,AU$1&lt;=Inputs!$B$19),Funding!$B$8/Inputs!$B$19,Inputs!$B$34)</f>
        <v>0</v>
      </c>
      <c r="AV32" s="10" t="n">
        <f aca="false">IF(AND(AV$1&gt;Inputs!$B$34,AV$1&lt;=Inputs!$B$19),Funding!$B$8/Inputs!$B$19,Inputs!$B$34)</f>
        <v>0</v>
      </c>
      <c r="AW32" s="10" t="n">
        <f aca="false">IF(AND(AW$1&gt;Inputs!$B$34,AW$1&lt;=Inputs!$B$19),Funding!$B$8/Inputs!$B$19,Inputs!$B$34)</f>
        <v>0</v>
      </c>
      <c r="AX32" s="10" t="n">
        <f aca="false">IF(AND(AX$1&gt;Inputs!$B$34,AX$1&lt;=Inputs!$B$19),Funding!$B$8/Inputs!$B$19,Inputs!$B$34)</f>
        <v>0</v>
      </c>
      <c r="AY32" s="10" t="n">
        <f aca="false">IF(AND(AY$1&gt;Inputs!$B$34,AY$1&lt;=Inputs!$B$19),Funding!$B$8/Inputs!$B$19,Inputs!$B$34)</f>
        <v>0</v>
      </c>
      <c r="AZ32" s="10" t="n">
        <f aca="false">IF(AND(AZ$1&gt;Inputs!$B$34,AZ$1&lt;=Inputs!$B$19),Funding!$B$8/Inputs!$B$19,Inputs!$B$34)</f>
        <v>0</v>
      </c>
      <c r="BA32" s="10" t="n">
        <f aca="false">IF(AND(BA$1&gt;Inputs!$B$34,BA$1&lt;=Inputs!$B$19),Funding!$B$8/Inputs!$B$19,Inputs!$B$34)</f>
        <v>0</v>
      </c>
      <c r="BB32" s="10" t="n">
        <f aca="false">IF(AND(BB$1&gt;Inputs!$B$34,BB$1&lt;=Inputs!$B$19),Funding!$B$8/Inputs!$B$19,Inputs!$B$34)</f>
        <v>0</v>
      </c>
      <c r="BC32" s="10" t="n">
        <f aca="false">IF(AND(BC$1&gt;Inputs!$B$34,BC$1&lt;=Inputs!$B$19),Funding!$B$8/Inputs!$B$19,Inputs!$B$34)</f>
        <v>0</v>
      </c>
      <c r="BD32" s="10" t="n">
        <f aca="false">IF(AND(BD$1&gt;Inputs!$B$34,BD$1&lt;=Inputs!$B$19),Funding!$B$8/Inputs!$B$19,Inputs!$B$34)</f>
        <v>0</v>
      </c>
      <c r="BE32" s="10" t="n">
        <f aca="false">IF(AND(BE$1&gt;Inputs!$B$34,BE$1&lt;=Inputs!$B$19),Funding!$B$8/Inputs!$B$19,Inputs!$B$34)</f>
        <v>0</v>
      </c>
      <c r="BF32" s="10" t="n">
        <f aca="false">IF(AND(BF$1&gt;Inputs!$B$34,BF$1&lt;=Inputs!$B$19),Funding!$B$8/Inputs!$B$19,Inputs!$B$34)</f>
        <v>0</v>
      </c>
      <c r="BG32" s="10" t="n">
        <f aca="false">IF(AND(BG$1&gt;Inputs!$B$34,BG$1&lt;=Inputs!$B$19),Funding!$B$8/Inputs!$B$19,Inputs!$B$34)</f>
        <v>0</v>
      </c>
      <c r="BH32" s="10" t="n">
        <f aca="false">IF(AND(BH$1&gt;Inputs!$B$34,BH$1&lt;=Inputs!$B$19),Funding!$B$8/Inputs!$B$19,Inputs!$B$34)</f>
        <v>0</v>
      </c>
      <c r="BI32" s="10" t="n">
        <f aca="false">IF(AND(BI$1&gt;Inputs!$B$34,BI$1&lt;=Inputs!$B$19),Funding!$B$8/Inputs!$B$19,Inputs!$B$34)</f>
        <v>0</v>
      </c>
      <c r="BJ32" s="10" t="n">
        <f aca="false">IF(AND(BJ$1&gt;Inputs!$B$34,BJ$1&lt;=Inputs!$B$19),Funding!$B$8/Inputs!$B$19,Inputs!$B$34)</f>
        <v>0</v>
      </c>
      <c r="BK32" s="10" t="n">
        <f aca="false">IF(AND(BK$1&gt;Inputs!$B$34,BK$1&lt;=Inputs!$B$19),Funding!$B$8/Inputs!$B$19,Inputs!$B$34)</f>
        <v>0</v>
      </c>
      <c r="BL32" s="10" t="n">
        <f aca="false">IF(AND(BL$1&gt;Inputs!$B$34,BL$1&lt;=Inputs!$B$19),Funding!$B$8/Inputs!$B$19,Inputs!$B$34)</f>
        <v>0</v>
      </c>
      <c r="BM32" s="10" t="n">
        <f aca="false">IF(AND(BM$1&gt;Inputs!$B$34,BM$1&lt;=Inputs!$B$19),Funding!$B$8/Inputs!$B$19,Inputs!$B$34)</f>
        <v>0</v>
      </c>
      <c r="BN32" s="10" t="n">
        <f aca="false">IF(AND(BN$1&gt;Inputs!$B$34,BN$1&lt;=Inputs!$B$19),Funding!$B$8/Inputs!$B$19,Inputs!$B$34)</f>
        <v>0</v>
      </c>
      <c r="BO32" s="10" t="n">
        <f aca="false">IF(AND(BO$1&gt;Inputs!$B$34,BO$1&lt;=Inputs!$B$19),Funding!$B$8/Inputs!$B$19,Inputs!$B$34)</f>
        <v>0</v>
      </c>
      <c r="BP32" s="10" t="n">
        <f aca="false">IF(AND(BP$1&gt;Inputs!$B$34,BP$1&lt;=Inputs!$B$19),Funding!$B$8/Inputs!$B$19,Inputs!$B$34)</f>
        <v>0</v>
      </c>
      <c r="BQ32" s="10" t="n">
        <f aca="false">IF(AND(BQ$1&gt;Inputs!$B$34,BQ$1&lt;=Inputs!$B$19),Funding!$B$8/Inputs!$B$19,Inputs!$B$34)</f>
        <v>0</v>
      </c>
      <c r="BR32" s="10" t="n">
        <f aca="false">IF(AND(BR$1&gt;Inputs!$B$34,BR$1&lt;=Inputs!$B$19),Funding!$B$8/Inputs!$B$19,Inputs!$B$34)</f>
        <v>0</v>
      </c>
      <c r="BS32" s="10" t="n">
        <f aca="false">IF(AND(BS$1&gt;Inputs!$B$34,BS$1&lt;=Inputs!$B$19),Funding!$B$8/Inputs!$B$19,Inputs!$B$34)</f>
        <v>0</v>
      </c>
      <c r="BT32" s="10" t="n">
        <f aca="false">IF(AND(BT$1&gt;Inputs!$B$34,BT$1&lt;=Inputs!$B$19),Funding!$B$8/Inputs!$B$19,Inputs!$B$34)</f>
        <v>0</v>
      </c>
      <c r="BU32" s="10" t="n">
        <f aca="false">IF(AND(BU$1&gt;Inputs!$B$34,BU$1&lt;=Inputs!$B$19),Funding!$B$8/Inputs!$B$19,Inputs!$B$34)</f>
        <v>0</v>
      </c>
      <c r="BV32" s="10" t="n">
        <f aca="false">IF(AND(BV$1&gt;Inputs!$B$34,BV$1&lt;=Inputs!$B$19),Funding!$B$8/Inputs!$B$19,Inputs!$B$34)</f>
        <v>0</v>
      </c>
      <c r="BW32" s="10" t="n">
        <f aca="false">IF(AND(BW$1&gt;Inputs!$B$34,BW$1&lt;=Inputs!$B$19),Funding!$B$8/Inputs!$B$19,Inputs!$B$34)</f>
        <v>0</v>
      </c>
      <c r="BX32" s="10" t="n">
        <f aca="false">IF(AND(BX$1&gt;Inputs!$B$34,BX$1&lt;=Inputs!$B$19),Funding!$B$8/Inputs!$B$19,Inputs!$B$34)</f>
        <v>0</v>
      </c>
      <c r="BY32" s="10" t="n">
        <f aca="false">IF(AND(BY$1&gt;Inputs!$B$34,BY$1&lt;=Inputs!$B$19),Funding!$B$8/Inputs!$B$19,Inputs!$B$34)</f>
        <v>0</v>
      </c>
      <c r="BZ32" s="10" t="n">
        <f aca="false">IF(AND(BZ$1&gt;Inputs!$B$34,BZ$1&lt;=Inputs!$B$19),Funding!$B$8/Inputs!$B$19,Inputs!$B$34)</f>
        <v>0</v>
      </c>
      <c r="CA32" s="10" t="n">
        <f aca="false">IF(AND(CA$1&gt;Inputs!$B$34,CA$1&lt;=Inputs!$B$19),Funding!$B$8/Inputs!$B$19,Inputs!$B$34)</f>
        <v>0</v>
      </c>
      <c r="CB32" s="10" t="n">
        <f aca="false">IF(AND(CB$1&gt;Inputs!$B$34,CB$1&lt;=Inputs!$B$19),Funding!$B$8/Inputs!$B$19,Inputs!$B$34)</f>
        <v>0</v>
      </c>
      <c r="CC32" s="10" t="n">
        <f aca="false">IF(AND(CC$1&gt;Inputs!$B$34,CC$1&lt;=Inputs!$B$19),Funding!$B$8/Inputs!$B$19,Inputs!$B$34)</f>
        <v>0</v>
      </c>
      <c r="CD32" s="10" t="n">
        <f aca="false">IF(AND(CD$1&gt;Inputs!$B$34,CD$1&lt;=Inputs!$B$19),Funding!$B$8/Inputs!$B$19,Inputs!$B$34)</f>
        <v>0</v>
      </c>
      <c r="CE32" s="10" t="n">
        <f aca="false">IF(AND(CE$1&gt;Inputs!$B$34,CE$1&lt;=Inputs!$B$19),Funding!$B$8/Inputs!$B$19,Inputs!$B$34)</f>
        <v>0</v>
      </c>
      <c r="CF32" s="10" t="n">
        <f aca="false">IF(AND(CF$1&gt;Inputs!$B$34,CF$1&lt;=Inputs!$B$19),Funding!$B$8/Inputs!$B$19,Inputs!$B$34)</f>
        <v>0</v>
      </c>
      <c r="CG32" s="10" t="n">
        <f aca="false">IF(AND(CG$1&gt;Inputs!$B$34,CG$1&lt;=Inputs!$B$19),Funding!$B$8/Inputs!$B$19,Inputs!$B$34)</f>
        <v>0</v>
      </c>
      <c r="CH32" s="10" t="n">
        <f aca="false">IF(AND(CH$1&gt;Inputs!$B$34,CH$1&lt;=Inputs!$B$19),Funding!$B$8/Inputs!$B$19,Inputs!$B$34)</f>
        <v>0</v>
      </c>
      <c r="CI32" s="10" t="n">
        <f aca="false">IF(AND(CI$1&gt;Inputs!$B$34,CI$1&lt;=Inputs!$B$19),Funding!$B$8/Inputs!$B$19,Inputs!$B$34)</f>
        <v>0</v>
      </c>
      <c r="CJ32" s="10" t="n">
        <f aca="false">IF(AND(CJ$1&gt;Inputs!$B$34,CJ$1&lt;=Inputs!$B$19),Funding!$B$8/Inputs!$B$19,Inputs!$B$34)</f>
        <v>0</v>
      </c>
      <c r="CK32" s="10" t="n">
        <f aca="false">IF(AND(CK$1&gt;Inputs!$B$34,CK$1&lt;=Inputs!$B$19),Funding!$B$8/Inputs!$B$19,Inputs!$B$34)</f>
        <v>0</v>
      </c>
      <c r="CL32" s="10" t="n">
        <f aca="false">IF(AND(CL$1&gt;Inputs!$B$34,CL$1&lt;=Inputs!$B$19),Funding!$B$8/Inputs!$B$19,Inputs!$B$34)</f>
        <v>0</v>
      </c>
      <c r="CM32" s="10" t="n">
        <f aca="false">IF(AND(CM$1&gt;Inputs!$B$34,CM$1&lt;=Inputs!$B$19),Funding!$B$8/Inputs!$B$19,Inputs!$B$34)</f>
        <v>0</v>
      </c>
      <c r="CN32" s="10" t="n">
        <f aca="false">IF(AND(CN$1&gt;Inputs!$B$34,CN$1&lt;=Inputs!$B$19),Funding!$B$8/Inputs!$B$19,Inputs!$B$34)</f>
        <v>0</v>
      </c>
      <c r="CO32" s="10" t="n">
        <f aca="false">IF(AND(CO$1&gt;Inputs!$B$34,CO$1&lt;=Inputs!$B$19),Funding!$B$8/Inputs!$B$19,Inputs!$B$34)</f>
        <v>0</v>
      </c>
      <c r="CP32" s="10" t="n">
        <f aca="false">IF(AND(CP$1&gt;Inputs!$B$34,CP$1&lt;=Inputs!$B$19),Funding!$B$8/Inputs!$B$19,Inputs!$B$34)</f>
        <v>0</v>
      </c>
      <c r="CQ32" s="10" t="n">
        <f aca="false">IF(AND(CQ$1&gt;Inputs!$B$34,CQ$1&lt;=Inputs!$B$19),Funding!$B$8/Inputs!$B$19,Inputs!$B$34)</f>
        <v>0</v>
      </c>
      <c r="CR32" s="10" t="n">
        <f aca="false">IF(AND(CR$1&gt;Inputs!$B$34,CR$1&lt;=Inputs!$B$19),Funding!$B$8/Inputs!$B$19,Inputs!$B$34)</f>
        <v>0</v>
      </c>
      <c r="CS32" s="10" t="n">
        <f aca="false">IF(AND(CS$1&gt;Inputs!$B$34,CS$1&lt;=Inputs!$B$19),Funding!$B$8/Inputs!$B$19,Inputs!$B$34)</f>
        <v>0</v>
      </c>
      <c r="CT32" s="10" t="n">
        <f aca="false">IF(AND(CT$1&gt;Inputs!$B$34,CT$1&lt;=Inputs!$B$19),Funding!$B$8/Inputs!$B$19,Inputs!$B$34)</f>
        <v>0</v>
      </c>
      <c r="CU32" s="10" t="n">
        <f aca="false">IF(AND(CU$1&gt;Inputs!$B$34,CU$1&lt;=Inputs!$B$19),Funding!$B$8/Inputs!$B$19,Inputs!$B$34)</f>
        <v>0</v>
      </c>
      <c r="CV32" s="10" t="n">
        <f aca="false">IF(AND(CV$1&gt;Inputs!$B$34,CV$1&lt;=Inputs!$B$19),Funding!$B$8/Inputs!$B$19,Inputs!$B$34)</f>
        <v>0</v>
      </c>
      <c r="CW32" s="10" t="n">
        <f aca="false">IF(AND(CW$1&gt;Inputs!$B$34,CW$1&lt;=Inputs!$B$19),Funding!$B$8/Inputs!$B$19,Inputs!$B$34)</f>
        <v>0</v>
      </c>
      <c r="CX32" s="10" t="n">
        <f aca="false">IF(AND(CX$1&gt;Inputs!$B$34,CX$1&lt;=Inputs!$B$19),Funding!$B$8/Inputs!$B$19,Inputs!$B$34)</f>
        <v>0</v>
      </c>
      <c r="CY32" s="10" t="n">
        <f aca="false">IF(AND(CY$1&gt;Inputs!$B$34,CY$1&lt;=Inputs!$B$19),Funding!$B$8/Inputs!$B$19,Inputs!$B$34)</f>
        <v>0</v>
      </c>
      <c r="CZ32" s="10" t="n">
        <f aca="false">IF(AND(CZ$1&gt;Inputs!$B$34,CZ$1&lt;=Inputs!$B$19),Funding!$B$8/Inputs!$B$19,Inputs!$B$34)</f>
        <v>0</v>
      </c>
      <c r="DA32" s="10" t="n">
        <f aca="false">IF(AND(DA$1&gt;Inputs!$B$34,DA$1&lt;=Inputs!$B$19),Funding!$B$8/Inputs!$B$19,Inputs!$B$34)</f>
        <v>0</v>
      </c>
      <c r="DB32" s="10" t="n">
        <f aca="false">IF(AND(DB$1&gt;Inputs!$B$34,DB$1&lt;=Inputs!$B$19),Funding!$B$8/Inputs!$B$19,Inputs!$B$34)</f>
        <v>0</v>
      </c>
      <c r="DC32" s="10" t="n">
        <f aca="false">IF(AND(DC$1&gt;Inputs!$B$34,DC$1&lt;=Inputs!$B$19),Funding!$B$8/Inputs!$B$19,Inputs!$B$34)</f>
        <v>0</v>
      </c>
      <c r="DD32" s="10" t="n">
        <f aca="false">IF(AND(DD$1&gt;Inputs!$B$34,DD$1&lt;=Inputs!$B$19),Funding!$B$8/Inputs!$B$19,Inputs!$B$34)</f>
        <v>0</v>
      </c>
      <c r="DE32" s="10" t="n">
        <f aca="false">IF(AND(DE$1&gt;Inputs!$B$34,DE$1&lt;=Inputs!$B$19),Funding!$B$8/Inputs!$B$19,Inputs!$B$34)</f>
        <v>0</v>
      </c>
      <c r="DF32" s="10" t="n">
        <f aca="false">IF(AND(DF$1&gt;Inputs!$B$34,DF$1&lt;=Inputs!$B$19),Funding!$B$8/Inputs!$B$19,Inputs!$B$34)</f>
        <v>0</v>
      </c>
      <c r="DG32" s="10" t="n">
        <f aca="false">IF(AND(DG$1&gt;Inputs!$B$34,DG$1&lt;=Inputs!$B$19),Funding!$B$8/Inputs!$B$19,Inputs!$B$34)</f>
        <v>0</v>
      </c>
      <c r="DH32" s="10" t="n">
        <f aca="false">IF(AND(DH$1&gt;Inputs!$B$34,DH$1&lt;=Inputs!$B$19),Funding!$B$8/Inputs!$B$19,Inputs!$B$34)</f>
        <v>0</v>
      </c>
      <c r="DI32" s="10" t="n">
        <f aca="false">IF(AND(DI$1&gt;Inputs!$B$34,DI$1&lt;=Inputs!$B$19),Funding!$B$8/Inputs!$B$19,Inputs!$B$34)</f>
        <v>0</v>
      </c>
      <c r="DJ32" s="10" t="n">
        <f aca="false">IF(AND(DJ$1&gt;Inputs!$B$34,DJ$1&lt;=Inputs!$B$19),Funding!$B$8/Inputs!$B$19,Inputs!$B$34)</f>
        <v>0</v>
      </c>
      <c r="DK32" s="10" t="n">
        <f aca="false">IF(AND(DK$1&gt;Inputs!$B$34,DK$1&lt;=Inputs!$B$19),Funding!$B$8/Inputs!$B$19,Inputs!$B$34)</f>
        <v>0</v>
      </c>
      <c r="DL32" s="10" t="n">
        <f aca="false">IF(AND(DL$1&gt;Inputs!$B$34,DL$1&lt;=Inputs!$B$19),Funding!$B$8/Inputs!$B$19,Inputs!$B$34)</f>
        <v>0</v>
      </c>
      <c r="DM32" s="10" t="n">
        <f aca="false">IF(AND(DM$1&gt;Inputs!$B$34,DM$1&lt;=Inputs!$B$19),Funding!$B$8/Inputs!$B$19,Inputs!$B$34)</f>
        <v>0</v>
      </c>
      <c r="DN32" s="10" t="n">
        <f aca="false">IF(AND(DN$1&gt;Inputs!$B$34,DN$1&lt;=Inputs!$B$19),Funding!$B$8/Inputs!$B$19,Inputs!$B$34)</f>
        <v>0</v>
      </c>
      <c r="DO32" s="10" t="n">
        <f aca="false">IF(AND(DO$1&gt;Inputs!$B$34,DO$1&lt;=Inputs!$B$19),Funding!$B$8/Inputs!$B$19,Inputs!$B$34)</f>
        <v>0</v>
      </c>
      <c r="DP32" s="10" t="n">
        <f aca="false">IF(AND(DP$1&gt;Inputs!$B$34,DP$1&lt;=Inputs!$B$19),Funding!$B$8/Inputs!$B$19,Inputs!$B$34)</f>
        <v>0</v>
      </c>
      <c r="DQ32" s="10" t="n">
        <f aca="false">IF(AND(DQ$1&gt;Inputs!$B$34,DQ$1&lt;=Inputs!$B$19),Funding!$B$8/Inputs!$B$19,Inputs!$B$34)</f>
        <v>0</v>
      </c>
      <c r="DR32" s="10" t="n">
        <f aca="false">IF(AND(DR$1&gt;Inputs!$B$34,DR$1&lt;=Inputs!$B$19),Funding!$B$8/Inputs!$B$19,Inputs!$B$34)</f>
        <v>0</v>
      </c>
    </row>
    <row r="33" customFormat="false" ht="15" hidden="false" customHeight="false" outlineLevel="0" collapsed="false">
      <c r="A33" s="9" t="s">
        <v>202</v>
      </c>
      <c r="B33" s="11" t="n">
        <f aca="false">B31+B32</f>
        <v>0</v>
      </c>
      <c r="C33" s="11" t="n">
        <f aca="false">C31+C32</f>
        <v>1.13333333333333</v>
      </c>
      <c r="D33" s="11" t="n">
        <f aca="false">D31+D32</f>
        <v>1.13333333333333</v>
      </c>
      <c r="E33" s="11" t="n">
        <f aca="false">E31+E32</f>
        <v>1.13333333333333</v>
      </c>
      <c r="F33" s="11" t="n">
        <f aca="false">F31+F32</f>
        <v>1.13333333333333</v>
      </c>
      <c r="G33" s="11" t="n">
        <f aca="false">G31+G32</f>
        <v>1.13333333333333</v>
      </c>
      <c r="H33" s="11" t="n">
        <f aca="false">H31+H32</f>
        <v>1.13333333333333</v>
      </c>
      <c r="I33" s="11" t="n">
        <f aca="false">I31+I32</f>
        <v>1.13333333333333</v>
      </c>
      <c r="J33" s="11" t="n">
        <f aca="false">J31+J32</f>
        <v>1.13333333333333</v>
      </c>
      <c r="K33" s="11" t="n">
        <f aca="false">K31+K32</f>
        <v>1.85333333333333</v>
      </c>
      <c r="L33" s="11" t="n">
        <f aca="false">L31+L32</f>
        <v>1.85333333333333</v>
      </c>
      <c r="M33" s="11" t="n">
        <f aca="false">M31+M32</f>
        <v>1.85333333333333</v>
      </c>
      <c r="N33" s="11" t="n">
        <f aca="false">N31+N32</f>
        <v>2.33333333333333</v>
      </c>
      <c r="O33" s="11" t="n">
        <f aca="false">O31+O32</f>
        <v>1.75</v>
      </c>
      <c r="P33" s="11" t="n">
        <f aca="false">P31+P32</f>
        <v>1.75</v>
      </c>
      <c r="Q33" s="11" t="n">
        <f aca="false">Q31+Q32</f>
        <v>2.23</v>
      </c>
      <c r="R33" s="11" t="n">
        <f aca="false">R31+R32</f>
        <v>2.23</v>
      </c>
      <c r="S33" s="11" t="n">
        <f aca="false">S31+S32</f>
        <v>2.23</v>
      </c>
      <c r="T33" s="11" t="n">
        <f aca="false">T31+T32</f>
        <v>2.23</v>
      </c>
      <c r="U33" s="11" t="n">
        <f aca="false">U31+U32</f>
        <v>2.23</v>
      </c>
      <c r="V33" s="11" t="n">
        <f aca="false">V31+V32</f>
        <v>2.23</v>
      </c>
      <c r="W33" s="11" t="n">
        <f aca="false">W31+W32</f>
        <v>2.23</v>
      </c>
      <c r="X33" s="11" t="n">
        <f aca="false">X31+X32</f>
        <v>2.23</v>
      </c>
      <c r="Y33" s="11" t="n">
        <f aca="false">Y31+Y32</f>
        <v>2.23</v>
      </c>
      <c r="Z33" s="11" t="n">
        <f aca="false">Z31+Z32</f>
        <v>2.23</v>
      </c>
      <c r="AA33" s="11" t="n">
        <f aca="false">AA31+AA32</f>
        <v>2.23</v>
      </c>
      <c r="AB33" s="11" t="n">
        <f aca="false">AB31+AB32</f>
        <v>2.23</v>
      </c>
      <c r="AC33" s="11" t="n">
        <f aca="false">AC31+AC32</f>
        <v>2.23</v>
      </c>
      <c r="AD33" s="11" t="n">
        <f aca="false">AD31+AD32</f>
        <v>2.23</v>
      </c>
      <c r="AE33" s="11" t="n">
        <f aca="false">AE31+AE32</f>
        <v>2.23</v>
      </c>
      <c r="AF33" s="11" t="n">
        <f aca="false">AF31+AF32</f>
        <v>2.23</v>
      </c>
      <c r="AG33" s="11" t="n">
        <f aca="false">AG31+AG32</f>
        <v>2.23</v>
      </c>
      <c r="AH33" s="11" t="n">
        <f aca="false">AH31+AH32</f>
        <v>2.23</v>
      </c>
      <c r="AI33" s="11" t="n">
        <f aca="false">AI31+AI32</f>
        <v>2.23</v>
      </c>
      <c r="AJ33" s="11" t="n">
        <f aca="false">AJ31+AJ32</f>
        <v>2.23</v>
      </c>
      <c r="AK33" s="11" t="n">
        <f aca="false">AK31+AK32</f>
        <v>2.23</v>
      </c>
      <c r="AL33" s="11" t="n">
        <f aca="false">AL31+AL32</f>
        <v>2.23</v>
      </c>
      <c r="AM33" s="11" t="n">
        <f aca="false">AM31+AM32</f>
        <v>2.23</v>
      </c>
      <c r="AN33" s="11" t="n">
        <f aca="false">AN31+AN32</f>
        <v>2.23</v>
      </c>
      <c r="AO33" s="11" t="n">
        <f aca="false">AO31+AO32</f>
        <v>2.23</v>
      </c>
      <c r="AP33" s="11" t="n">
        <f aca="false">AP31+AP32</f>
        <v>2.23</v>
      </c>
      <c r="AQ33" s="11" t="n">
        <f aca="false">AQ31+AQ32</f>
        <v>2.23</v>
      </c>
      <c r="AR33" s="11" t="n">
        <f aca="false">AR31+AR32</f>
        <v>2.23</v>
      </c>
      <c r="AS33" s="11" t="n">
        <f aca="false">AS31+AS32</f>
        <v>2.23</v>
      </c>
      <c r="AT33" s="11" t="n">
        <f aca="false">AT31+AT32</f>
        <v>2.23</v>
      </c>
      <c r="AU33" s="11" t="n">
        <f aca="false">AU31+AU32</f>
        <v>2.23</v>
      </c>
      <c r="AV33" s="11" t="n">
        <f aca="false">AV31+AV32</f>
        <v>2.23</v>
      </c>
      <c r="AW33" s="11" t="n">
        <f aca="false">AW31+AW32</f>
        <v>2.23</v>
      </c>
      <c r="AX33" s="11" t="n">
        <f aca="false">AX31+AX32</f>
        <v>2.23</v>
      </c>
      <c r="AY33" s="11" t="n">
        <f aca="false">AY31+AY32</f>
        <v>2.23</v>
      </c>
      <c r="AZ33" s="11" t="n">
        <f aca="false">AZ31+AZ32</f>
        <v>2.23</v>
      </c>
      <c r="BA33" s="11" t="n">
        <f aca="false">BA31+BA32</f>
        <v>2.23</v>
      </c>
      <c r="BB33" s="11" t="n">
        <f aca="false">BB31+BB32</f>
        <v>2.23</v>
      </c>
      <c r="BC33" s="11" t="n">
        <f aca="false">BC31+BC32</f>
        <v>2.23</v>
      </c>
      <c r="BD33" s="11" t="n">
        <f aca="false">BD31+BD32</f>
        <v>2.23</v>
      </c>
      <c r="BE33" s="11" t="n">
        <f aca="false">BE31+BE32</f>
        <v>2.23</v>
      </c>
      <c r="BF33" s="11" t="n">
        <f aca="false">BF31+BF32</f>
        <v>2.23</v>
      </c>
      <c r="BG33" s="11" t="n">
        <f aca="false">BG31+BG32</f>
        <v>2.23</v>
      </c>
      <c r="BH33" s="11" t="n">
        <f aca="false">BH31+BH32</f>
        <v>2.23</v>
      </c>
      <c r="BI33" s="11" t="n">
        <f aca="false">BI31+BI32</f>
        <v>2.23</v>
      </c>
      <c r="BJ33" s="11" t="n">
        <f aca="false">BJ31+BJ32</f>
        <v>2.23</v>
      </c>
      <c r="BK33" s="11" t="n">
        <f aca="false">BK31+BK32</f>
        <v>2.23</v>
      </c>
      <c r="BL33" s="11" t="n">
        <f aca="false">BL31+BL32</f>
        <v>2.23</v>
      </c>
      <c r="BM33" s="11" t="n">
        <f aca="false">BM31+BM32</f>
        <v>2.23</v>
      </c>
      <c r="BN33" s="11" t="n">
        <f aca="false">BN31+BN32</f>
        <v>2.23</v>
      </c>
      <c r="BO33" s="11" t="n">
        <f aca="false">BO31+BO32</f>
        <v>2.23</v>
      </c>
      <c r="BP33" s="11" t="n">
        <f aca="false">BP31+BP32</f>
        <v>2.23</v>
      </c>
      <c r="BQ33" s="11" t="n">
        <f aca="false">BQ31+BQ32</f>
        <v>2.23</v>
      </c>
      <c r="BR33" s="11" t="n">
        <f aca="false">BR31+BR32</f>
        <v>2.23</v>
      </c>
      <c r="BS33" s="11" t="n">
        <f aca="false">BS31+BS32</f>
        <v>2.23</v>
      </c>
      <c r="BT33" s="11" t="n">
        <f aca="false">BT31+BT32</f>
        <v>2.23</v>
      </c>
      <c r="BU33" s="11" t="n">
        <f aca="false">BU31+BU32</f>
        <v>2.23</v>
      </c>
      <c r="BV33" s="11" t="n">
        <f aca="false">BV31+BV32</f>
        <v>2.23</v>
      </c>
      <c r="BW33" s="11" t="n">
        <f aca="false">BW31+BW32</f>
        <v>2.23</v>
      </c>
      <c r="BX33" s="11" t="n">
        <f aca="false">BX31+BX32</f>
        <v>2.23</v>
      </c>
      <c r="BY33" s="11" t="n">
        <f aca="false">BY31+BY32</f>
        <v>2.23</v>
      </c>
      <c r="BZ33" s="11" t="n">
        <f aca="false">BZ31+BZ32</f>
        <v>2.23</v>
      </c>
      <c r="CA33" s="11" t="n">
        <f aca="false">CA31+CA32</f>
        <v>2.23</v>
      </c>
      <c r="CB33" s="11" t="n">
        <f aca="false">CB31+CB32</f>
        <v>2.23</v>
      </c>
      <c r="CC33" s="11" t="n">
        <f aca="false">CC31+CC32</f>
        <v>2.23</v>
      </c>
      <c r="CD33" s="11" t="n">
        <f aca="false">CD31+CD32</f>
        <v>2.23</v>
      </c>
      <c r="CE33" s="11" t="n">
        <f aca="false">CE31+CE32</f>
        <v>2.23</v>
      </c>
      <c r="CF33" s="11" t="n">
        <f aca="false">CF31+CF32</f>
        <v>2.23</v>
      </c>
      <c r="CG33" s="11" t="n">
        <f aca="false">CG31+CG32</f>
        <v>2.23</v>
      </c>
      <c r="CH33" s="11" t="n">
        <f aca="false">CH31+CH32</f>
        <v>2.23</v>
      </c>
      <c r="CI33" s="11" t="n">
        <f aca="false">CI31+CI32</f>
        <v>2.23</v>
      </c>
      <c r="CJ33" s="11" t="n">
        <f aca="false">CJ31+CJ32</f>
        <v>2.23</v>
      </c>
      <c r="CK33" s="11" t="n">
        <f aca="false">CK31+CK32</f>
        <v>2.23</v>
      </c>
      <c r="CL33" s="11" t="n">
        <f aca="false">CL31+CL32</f>
        <v>2.23</v>
      </c>
      <c r="CM33" s="11" t="n">
        <f aca="false">CM31+CM32</f>
        <v>2.23</v>
      </c>
      <c r="CN33" s="11" t="n">
        <f aca="false">CN31+CN32</f>
        <v>2.23</v>
      </c>
      <c r="CO33" s="11" t="n">
        <f aca="false">CO31+CO32</f>
        <v>2.23</v>
      </c>
      <c r="CP33" s="11" t="n">
        <f aca="false">CP31+CP32</f>
        <v>2.23</v>
      </c>
      <c r="CQ33" s="11" t="n">
        <f aca="false">CQ31+CQ32</f>
        <v>2.23</v>
      </c>
      <c r="CR33" s="11" t="n">
        <f aca="false">CR31+CR32</f>
        <v>2.23</v>
      </c>
      <c r="CS33" s="11" t="n">
        <f aca="false">CS31+CS32</f>
        <v>2.23</v>
      </c>
      <c r="CT33" s="11" t="n">
        <f aca="false">CT31+CT32</f>
        <v>2.23</v>
      </c>
      <c r="CU33" s="11" t="n">
        <f aca="false">CU31+CU32</f>
        <v>2.23</v>
      </c>
      <c r="CV33" s="11" t="n">
        <f aca="false">CV31+CV32</f>
        <v>2.23</v>
      </c>
      <c r="CW33" s="11" t="n">
        <f aca="false">CW31+CW32</f>
        <v>2.23</v>
      </c>
      <c r="CX33" s="11" t="n">
        <f aca="false">CX31+CX32</f>
        <v>2.23</v>
      </c>
      <c r="CY33" s="11" t="n">
        <f aca="false">CY31+CY32</f>
        <v>2.23</v>
      </c>
      <c r="CZ33" s="11" t="n">
        <f aca="false">CZ31+CZ32</f>
        <v>2.23</v>
      </c>
      <c r="DA33" s="11" t="n">
        <f aca="false">DA31+DA32</f>
        <v>2.23</v>
      </c>
      <c r="DB33" s="11" t="n">
        <f aca="false">DB31+DB32</f>
        <v>2.23</v>
      </c>
      <c r="DC33" s="11" t="n">
        <f aca="false">DC31+DC32</f>
        <v>2.23</v>
      </c>
      <c r="DD33" s="11" t="n">
        <f aca="false">DD31+DD32</f>
        <v>2.23</v>
      </c>
      <c r="DE33" s="11" t="n">
        <f aca="false">DE31+DE32</f>
        <v>2.23</v>
      </c>
      <c r="DF33" s="11" t="n">
        <f aca="false">DF31+DF32</f>
        <v>2.23</v>
      </c>
      <c r="DG33" s="11" t="n">
        <f aca="false">DG31+DG32</f>
        <v>2.23</v>
      </c>
      <c r="DH33" s="11" t="n">
        <f aca="false">DH31+DH32</f>
        <v>2.23</v>
      </c>
      <c r="DI33" s="11" t="n">
        <f aca="false">DI31+DI32</f>
        <v>2.23</v>
      </c>
      <c r="DJ33" s="11" t="n">
        <f aca="false">DJ31+DJ32</f>
        <v>2.23</v>
      </c>
      <c r="DK33" s="11" t="n">
        <f aca="false">DK31+DK32</f>
        <v>2.23</v>
      </c>
      <c r="DL33" s="11" t="n">
        <f aca="false">DL31+DL32</f>
        <v>2.23</v>
      </c>
      <c r="DM33" s="11" t="n">
        <f aca="false">DM31+DM32</f>
        <v>2.23</v>
      </c>
      <c r="DN33" s="11" t="n">
        <f aca="false">DN31+DN32</f>
        <v>2.23</v>
      </c>
      <c r="DO33" s="11" t="n">
        <f aca="false">DO31+DO32</f>
        <v>2.23</v>
      </c>
      <c r="DP33" s="11" t="n">
        <f aca="false">DP31+DP32</f>
        <v>2.23</v>
      </c>
      <c r="DQ33" s="11" t="n">
        <f aca="false">DQ31+DQ32</f>
        <v>2.23</v>
      </c>
      <c r="DR33" s="11" t="n">
        <f aca="false">DR31+DR32</f>
        <v>2.23</v>
      </c>
    </row>
    <row r="34" customFormat="false" ht="15" hidden="false" customHeight="false" outlineLevel="0" collapsed="false">
      <c r="A34" s="9" t="s">
        <v>203</v>
      </c>
      <c r="B34" s="11" t="n">
        <f aca="false">B26-B33</f>
        <v>0</v>
      </c>
      <c r="C34" s="11" t="n">
        <f aca="false">C26-C33</f>
        <v>-1.13333333333333</v>
      </c>
      <c r="D34" s="11" t="n">
        <f aca="false">D26-D33</f>
        <v>-1.13333333333333</v>
      </c>
      <c r="E34" s="11" t="n">
        <f aca="false">E26-E33</f>
        <v>-1.13333333333333</v>
      </c>
      <c r="F34" s="11" t="n">
        <f aca="false">F26-F33</f>
        <v>-1.13333333333333</v>
      </c>
      <c r="G34" s="11" t="n">
        <f aca="false">G26-G33</f>
        <v>-1.13333333333333</v>
      </c>
      <c r="H34" s="11" t="n">
        <f aca="false">H26-H33</f>
        <v>-1.13333333333333</v>
      </c>
      <c r="I34" s="11" t="n">
        <f aca="false">I26-I33</f>
        <v>-1.13333333333333</v>
      </c>
      <c r="J34" s="11" t="n">
        <f aca="false">J26-J33</f>
        <v>-1.13333333333333</v>
      </c>
      <c r="K34" s="11" t="n">
        <f aca="false">K26-K33</f>
        <v>-0.0533333333333335</v>
      </c>
      <c r="L34" s="11" t="n">
        <f aca="false">L26-L33</f>
        <v>-0.0533333333333335</v>
      </c>
      <c r="M34" s="11" t="n">
        <f aca="false">M26-M33</f>
        <v>-0.0533333333333335</v>
      </c>
      <c r="N34" s="11" t="n">
        <f aca="false">N26-N33</f>
        <v>0.666666666666667</v>
      </c>
      <c r="O34" s="11" t="n">
        <f aca="false">O26-O33</f>
        <v>1.25</v>
      </c>
      <c r="P34" s="11" t="n">
        <f aca="false">P26-P33</f>
        <v>1.25</v>
      </c>
      <c r="Q34" s="11" t="n">
        <f aca="false">Q26-Q33</f>
        <v>1.97</v>
      </c>
      <c r="R34" s="11" t="n">
        <f aca="false">R26-R33</f>
        <v>1.97</v>
      </c>
      <c r="S34" s="11" t="n">
        <f aca="false">S26-S33</f>
        <v>1.97</v>
      </c>
      <c r="T34" s="11" t="n">
        <f aca="false">T26-T33</f>
        <v>1.97</v>
      </c>
      <c r="U34" s="11" t="n">
        <f aca="false">U26-U33</f>
        <v>1.97</v>
      </c>
      <c r="V34" s="11" t="n">
        <f aca="false">V26-V33</f>
        <v>1.97</v>
      </c>
      <c r="W34" s="11" t="n">
        <f aca="false">W26-W33</f>
        <v>1.97</v>
      </c>
      <c r="X34" s="11" t="n">
        <f aca="false">X26-X33</f>
        <v>1.97</v>
      </c>
      <c r="Y34" s="11" t="n">
        <f aca="false">Y26-Y33</f>
        <v>1.97</v>
      </c>
      <c r="Z34" s="11" t="n">
        <f aca="false">Z26-Z33</f>
        <v>1.97</v>
      </c>
      <c r="AA34" s="11" t="n">
        <f aca="false">AA26-AA33</f>
        <v>1.97</v>
      </c>
      <c r="AB34" s="11" t="n">
        <f aca="false">AB26-AB33</f>
        <v>1.97</v>
      </c>
      <c r="AC34" s="11" t="n">
        <f aca="false">AC26-AC33</f>
        <v>1.97</v>
      </c>
      <c r="AD34" s="11" t="n">
        <f aca="false">AD26-AD33</f>
        <v>1.97</v>
      </c>
      <c r="AE34" s="11" t="n">
        <f aca="false">AE26-AE33</f>
        <v>1.97</v>
      </c>
      <c r="AF34" s="11" t="n">
        <f aca="false">AF26-AF33</f>
        <v>1.97</v>
      </c>
      <c r="AG34" s="11" t="n">
        <f aca="false">AG26-AG33</f>
        <v>1.97</v>
      </c>
      <c r="AH34" s="11" t="n">
        <f aca="false">AH26-AH33</f>
        <v>1.97</v>
      </c>
      <c r="AI34" s="11" t="n">
        <f aca="false">AI26-AI33</f>
        <v>1.97</v>
      </c>
      <c r="AJ34" s="11" t="n">
        <f aca="false">AJ26-AJ33</f>
        <v>1.97</v>
      </c>
      <c r="AK34" s="11" t="n">
        <f aca="false">AK26-AK33</f>
        <v>1.97</v>
      </c>
      <c r="AL34" s="11" t="n">
        <f aca="false">AL26-AL33</f>
        <v>1.97</v>
      </c>
      <c r="AM34" s="11" t="n">
        <f aca="false">AM26-AM33</f>
        <v>1.97</v>
      </c>
      <c r="AN34" s="11" t="n">
        <f aca="false">AN26-AN33</f>
        <v>1.97</v>
      </c>
      <c r="AO34" s="11" t="n">
        <f aca="false">AO26-AO33</f>
        <v>1.97</v>
      </c>
      <c r="AP34" s="11" t="n">
        <f aca="false">AP26-AP33</f>
        <v>1.97</v>
      </c>
      <c r="AQ34" s="11" t="n">
        <f aca="false">AQ26-AQ33</f>
        <v>1.97</v>
      </c>
      <c r="AR34" s="11" t="n">
        <f aca="false">AR26-AR33</f>
        <v>1.97</v>
      </c>
      <c r="AS34" s="11" t="n">
        <f aca="false">AS26-AS33</f>
        <v>1.97</v>
      </c>
      <c r="AT34" s="11" t="n">
        <f aca="false">AT26-AT33</f>
        <v>1.97</v>
      </c>
      <c r="AU34" s="11" t="n">
        <f aca="false">AU26-AU33</f>
        <v>1.97</v>
      </c>
      <c r="AV34" s="11" t="n">
        <f aca="false">AV26-AV33</f>
        <v>1.97</v>
      </c>
      <c r="AW34" s="11" t="n">
        <f aca="false">AW26-AW33</f>
        <v>1.97</v>
      </c>
      <c r="AX34" s="11" t="n">
        <f aca="false">AX26-AX33</f>
        <v>1.97</v>
      </c>
      <c r="AY34" s="11" t="n">
        <f aca="false">AY26-AY33</f>
        <v>1.97</v>
      </c>
      <c r="AZ34" s="11" t="n">
        <f aca="false">AZ26-AZ33</f>
        <v>1.97</v>
      </c>
      <c r="BA34" s="11" t="n">
        <f aca="false">BA26-BA33</f>
        <v>1.97</v>
      </c>
      <c r="BB34" s="11" t="n">
        <f aca="false">BB26-BB33</f>
        <v>1.97</v>
      </c>
      <c r="BC34" s="11" t="n">
        <f aca="false">BC26-BC33</f>
        <v>1.97</v>
      </c>
      <c r="BD34" s="11" t="n">
        <f aca="false">BD26-BD33</f>
        <v>1.97</v>
      </c>
      <c r="BE34" s="11" t="n">
        <f aca="false">BE26-BE33</f>
        <v>1.97</v>
      </c>
      <c r="BF34" s="11" t="n">
        <f aca="false">BF26-BF33</f>
        <v>1.97</v>
      </c>
      <c r="BG34" s="11" t="n">
        <f aca="false">BG26-BG33</f>
        <v>1.97</v>
      </c>
      <c r="BH34" s="11" t="n">
        <f aca="false">BH26-BH33</f>
        <v>1.97</v>
      </c>
      <c r="BI34" s="11" t="n">
        <f aca="false">BI26-BI33</f>
        <v>1.97</v>
      </c>
      <c r="BJ34" s="11" t="n">
        <f aca="false">BJ26-BJ33</f>
        <v>1.97</v>
      </c>
      <c r="BK34" s="11" t="n">
        <f aca="false">BK26-BK33</f>
        <v>1.97</v>
      </c>
      <c r="BL34" s="11" t="n">
        <f aca="false">BL26-BL33</f>
        <v>1.97</v>
      </c>
      <c r="BM34" s="11" t="n">
        <f aca="false">BM26-BM33</f>
        <v>1.97</v>
      </c>
      <c r="BN34" s="11" t="n">
        <f aca="false">BN26-BN33</f>
        <v>1.97</v>
      </c>
      <c r="BO34" s="11" t="n">
        <f aca="false">BO26-BO33</f>
        <v>1.97</v>
      </c>
      <c r="BP34" s="11" t="n">
        <f aca="false">BP26-BP33</f>
        <v>1.97</v>
      </c>
      <c r="BQ34" s="11" t="n">
        <f aca="false">BQ26-BQ33</f>
        <v>1.97</v>
      </c>
      <c r="BR34" s="11" t="n">
        <f aca="false">BR26-BR33</f>
        <v>1.97</v>
      </c>
      <c r="BS34" s="11" t="n">
        <f aca="false">BS26-BS33</f>
        <v>1.97</v>
      </c>
      <c r="BT34" s="11" t="n">
        <f aca="false">BT26-BT33</f>
        <v>1.97</v>
      </c>
      <c r="BU34" s="11" t="n">
        <f aca="false">BU26-BU33</f>
        <v>1.97</v>
      </c>
      <c r="BV34" s="11" t="n">
        <f aca="false">BV26-BV33</f>
        <v>1.97</v>
      </c>
      <c r="BW34" s="11" t="n">
        <f aca="false">BW26-BW33</f>
        <v>1.97</v>
      </c>
      <c r="BX34" s="11" t="n">
        <f aca="false">BX26-BX33</f>
        <v>1.97</v>
      </c>
      <c r="BY34" s="11" t="n">
        <f aca="false">BY26-BY33</f>
        <v>1.97</v>
      </c>
      <c r="BZ34" s="11" t="n">
        <f aca="false">BZ26-BZ33</f>
        <v>1.97</v>
      </c>
      <c r="CA34" s="11" t="n">
        <f aca="false">CA26-CA33</f>
        <v>1.97</v>
      </c>
      <c r="CB34" s="11" t="n">
        <f aca="false">CB26-CB33</f>
        <v>1.97</v>
      </c>
      <c r="CC34" s="11" t="n">
        <f aca="false">CC26-CC33</f>
        <v>1.97</v>
      </c>
      <c r="CD34" s="11" t="n">
        <f aca="false">CD26-CD33</f>
        <v>1.97</v>
      </c>
      <c r="CE34" s="11" t="n">
        <f aca="false">CE26-CE33</f>
        <v>1.97</v>
      </c>
      <c r="CF34" s="11" t="n">
        <f aca="false">CF26-CF33</f>
        <v>1.97</v>
      </c>
      <c r="CG34" s="11" t="n">
        <f aca="false">CG26-CG33</f>
        <v>1.97</v>
      </c>
      <c r="CH34" s="11" t="n">
        <f aca="false">CH26-CH33</f>
        <v>1.97</v>
      </c>
      <c r="CI34" s="11" t="n">
        <f aca="false">CI26-CI33</f>
        <v>1.97</v>
      </c>
      <c r="CJ34" s="11" t="n">
        <f aca="false">CJ26-CJ33</f>
        <v>1.97</v>
      </c>
      <c r="CK34" s="11" t="n">
        <f aca="false">CK26-CK33</f>
        <v>1.97</v>
      </c>
      <c r="CL34" s="11" t="n">
        <f aca="false">CL26-CL33</f>
        <v>1.97</v>
      </c>
      <c r="CM34" s="11" t="n">
        <f aca="false">CM26-CM33</f>
        <v>1.97</v>
      </c>
      <c r="CN34" s="11" t="n">
        <f aca="false">CN26-CN33</f>
        <v>1.97</v>
      </c>
      <c r="CO34" s="11" t="n">
        <f aca="false">CO26-CO33</f>
        <v>1.97</v>
      </c>
      <c r="CP34" s="11" t="n">
        <f aca="false">CP26-CP33</f>
        <v>1.97</v>
      </c>
      <c r="CQ34" s="11" t="n">
        <f aca="false">CQ26-CQ33</f>
        <v>1.97</v>
      </c>
      <c r="CR34" s="11" t="n">
        <f aca="false">CR26-CR33</f>
        <v>1.97</v>
      </c>
      <c r="CS34" s="11" t="n">
        <f aca="false">CS26-CS33</f>
        <v>1.97</v>
      </c>
      <c r="CT34" s="11" t="n">
        <f aca="false">CT26-CT33</f>
        <v>1.97</v>
      </c>
      <c r="CU34" s="11" t="n">
        <f aca="false">CU26-CU33</f>
        <v>1.97</v>
      </c>
      <c r="CV34" s="11" t="n">
        <f aca="false">CV26-CV33</f>
        <v>1.97</v>
      </c>
      <c r="CW34" s="11" t="n">
        <f aca="false">CW26-CW33</f>
        <v>1.97</v>
      </c>
      <c r="CX34" s="11" t="n">
        <f aca="false">CX26-CX33</f>
        <v>1.97</v>
      </c>
      <c r="CY34" s="11" t="n">
        <f aca="false">CY26-CY33</f>
        <v>1.97</v>
      </c>
      <c r="CZ34" s="11" t="n">
        <f aca="false">CZ26-CZ33</f>
        <v>1.97</v>
      </c>
      <c r="DA34" s="11" t="n">
        <f aca="false">DA26-DA33</f>
        <v>1.97</v>
      </c>
      <c r="DB34" s="11" t="n">
        <f aca="false">DB26-DB33</f>
        <v>1.97</v>
      </c>
      <c r="DC34" s="11" t="n">
        <f aca="false">DC26-DC33</f>
        <v>1.97</v>
      </c>
      <c r="DD34" s="11" t="n">
        <f aca="false">DD26-DD33</f>
        <v>1.97</v>
      </c>
      <c r="DE34" s="11" t="n">
        <f aca="false">DE26-DE33</f>
        <v>1.97</v>
      </c>
      <c r="DF34" s="11" t="n">
        <f aca="false">DF26-DF33</f>
        <v>1.97</v>
      </c>
      <c r="DG34" s="11" t="n">
        <f aca="false">DG26-DG33</f>
        <v>1.97</v>
      </c>
      <c r="DH34" s="11" t="n">
        <f aca="false">DH26-DH33</f>
        <v>1.97</v>
      </c>
      <c r="DI34" s="11" t="n">
        <f aca="false">DI26-DI33</f>
        <v>1.97</v>
      </c>
      <c r="DJ34" s="11" t="n">
        <f aca="false">DJ26-DJ33</f>
        <v>1.97</v>
      </c>
      <c r="DK34" s="11" t="n">
        <f aca="false">DK26-DK33</f>
        <v>1.97</v>
      </c>
      <c r="DL34" s="11" t="n">
        <f aca="false">DL26-DL33</f>
        <v>1.97</v>
      </c>
      <c r="DM34" s="11" t="n">
        <f aca="false">DM26-DM33</f>
        <v>1.97</v>
      </c>
      <c r="DN34" s="11" t="n">
        <f aca="false">DN26-DN33</f>
        <v>1.97</v>
      </c>
      <c r="DO34" s="11" t="n">
        <f aca="false">DO26-DO33</f>
        <v>1.97</v>
      </c>
      <c r="DP34" s="11" t="n">
        <f aca="false">DP26-DP33</f>
        <v>1.97</v>
      </c>
      <c r="DQ34" s="11" t="n">
        <f aca="false">DQ26-DQ33</f>
        <v>1.97</v>
      </c>
      <c r="DR34" s="11" t="n">
        <f aca="false">DR26-DR33</f>
        <v>1.97</v>
      </c>
    </row>
    <row r="35" customFormat="false" ht="15" hidden="false" customHeight="false" outlineLevel="0" collapsed="false">
      <c r="A35" s="12" t="s">
        <v>204</v>
      </c>
      <c r="B35" s="13" t="n">
        <f aca="false">B19-B23-B33</f>
        <v>0</v>
      </c>
      <c r="C35" s="13" t="n">
        <f aca="false">C19-C23-C33</f>
        <v>-1.13333333333333</v>
      </c>
      <c r="D35" s="13" t="n">
        <f aca="false">D19-D23-D33</f>
        <v>-1.13333333333333</v>
      </c>
      <c r="E35" s="13" t="n">
        <f aca="false">E19-E23-E33</f>
        <v>-1.13333333333333</v>
      </c>
      <c r="F35" s="13" t="n">
        <f aca="false">F19-F23-F33</f>
        <v>-1.13333333333333</v>
      </c>
      <c r="G35" s="13" t="n">
        <f aca="false">G19-G23-G33</f>
        <v>-1.13333333333333</v>
      </c>
      <c r="H35" s="13" t="n">
        <f aca="false">H19-H23-H33</f>
        <v>-1.13333333333333</v>
      </c>
      <c r="I35" s="13" t="n">
        <f aca="false">I19-I23-I33</f>
        <v>-1.13333333333333</v>
      </c>
      <c r="J35" s="13" t="n">
        <f aca="false">J19-J23-J33</f>
        <v>-1.13333333333333</v>
      </c>
      <c r="K35" s="13" t="n">
        <f aca="false">K19-K23-K33</f>
        <v>3.54666666666667</v>
      </c>
      <c r="L35" s="13" t="n">
        <f aca="false">L19-L23-L33</f>
        <v>3.54666666666667</v>
      </c>
      <c r="M35" s="13" t="n">
        <f aca="false">M19-M23-M33</f>
        <v>3.54666666666667</v>
      </c>
      <c r="N35" s="13" t="n">
        <f aca="false">N19-N23-N33</f>
        <v>6.66666666666667</v>
      </c>
      <c r="O35" s="13" t="n">
        <f aca="false">O19-O23-O33</f>
        <v>7.25</v>
      </c>
      <c r="P35" s="13" t="n">
        <f aca="false">P19-P23-P33</f>
        <v>7.25</v>
      </c>
      <c r="Q35" s="13" t="n">
        <f aca="false">Q19-Q23-Q33</f>
        <v>10.37</v>
      </c>
      <c r="R35" s="13" t="n">
        <f aca="false">R19-R23-R33</f>
        <v>10.37</v>
      </c>
      <c r="S35" s="13" t="n">
        <f aca="false">S19-S23-S33</f>
        <v>10.37</v>
      </c>
      <c r="T35" s="13" t="n">
        <f aca="false">T19-T23-T33</f>
        <v>10.37</v>
      </c>
      <c r="U35" s="13" t="n">
        <f aca="false">U19-U23-U33</f>
        <v>10.37</v>
      </c>
      <c r="V35" s="13" t="n">
        <f aca="false">V19-V23-V33</f>
        <v>10.37</v>
      </c>
      <c r="W35" s="13" t="n">
        <f aca="false">W19-W23-W33</f>
        <v>10.37</v>
      </c>
      <c r="X35" s="13" t="n">
        <f aca="false">X19-X23-X33</f>
        <v>10.37</v>
      </c>
      <c r="Y35" s="13" t="n">
        <f aca="false">Y19-Y23-Y33</f>
        <v>10.37</v>
      </c>
      <c r="Z35" s="13" t="n">
        <f aca="false">Z19-Z23-Z33</f>
        <v>10.37</v>
      </c>
      <c r="AA35" s="13" t="n">
        <f aca="false">AA19-AA23-AA33</f>
        <v>10.37</v>
      </c>
      <c r="AB35" s="13" t="n">
        <f aca="false">AB19-AB23-AB33</f>
        <v>10.37</v>
      </c>
      <c r="AC35" s="13" t="n">
        <f aca="false">AC19-AC23-AC33</f>
        <v>10.37</v>
      </c>
      <c r="AD35" s="13" t="n">
        <f aca="false">AD19-AD23-AD33</f>
        <v>10.37</v>
      </c>
      <c r="AE35" s="13" t="n">
        <f aca="false">AE19-AE23-AE33</f>
        <v>10.37</v>
      </c>
      <c r="AF35" s="13" t="n">
        <f aca="false">AF19-AF23-AF33</f>
        <v>10.37</v>
      </c>
      <c r="AG35" s="13" t="n">
        <f aca="false">AG19-AG23-AG33</f>
        <v>10.37</v>
      </c>
      <c r="AH35" s="13" t="n">
        <f aca="false">AH19-AH23-AH33</f>
        <v>10.37</v>
      </c>
      <c r="AI35" s="13" t="n">
        <f aca="false">AI19-AI23-AI33</f>
        <v>10.37</v>
      </c>
      <c r="AJ35" s="13" t="n">
        <f aca="false">AJ19-AJ23-AJ33</f>
        <v>10.37</v>
      </c>
      <c r="AK35" s="13" t="n">
        <f aca="false">AK19-AK23-AK33</f>
        <v>10.37</v>
      </c>
      <c r="AL35" s="13" t="n">
        <f aca="false">AL19-AL23-AL33</f>
        <v>10.37</v>
      </c>
      <c r="AM35" s="13" t="n">
        <f aca="false">AM19-AM23-AM33</f>
        <v>10.37</v>
      </c>
      <c r="AN35" s="13" t="n">
        <f aca="false">AN19-AN23-AN33</f>
        <v>10.37</v>
      </c>
      <c r="AO35" s="13" t="n">
        <f aca="false">AO19-AO23-AO33</f>
        <v>10.37</v>
      </c>
      <c r="AP35" s="13" t="n">
        <f aca="false">AP19-AP23-AP33</f>
        <v>10.37</v>
      </c>
      <c r="AQ35" s="13" t="n">
        <f aca="false">AQ19-AQ23-AQ33</f>
        <v>10.37</v>
      </c>
      <c r="AR35" s="13" t="n">
        <f aca="false">AR19-AR23-AR33</f>
        <v>10.37</v>
      </c>
      <c r="AS35" s="13" t="n">
        <f aca="false">AS19-AS23-AS33</f>
        <v>10.37</v>
      </c>
      <c r="AT35" s="13" t="n">
        <f aca="false">AT19-AT23-AT33</f>
        <v>10.37</v>
      </c>
      <c r="AU35" s="13" t="n">
        <f aca="false">AU19-AU23-AU33</f>
        <v>10.37</v>
      </c>
      <c r="AV35" s="13" t="n">
        <f aca="false">AV19-AV23-AV33</f>
        <v>10.37</v>
      </c>
      <c r="AW35" s="13" t="n">
        <f aca="false">AW19-AW23-AW33</f>
        <v>10.37</v>
      </c>
      <c r="AX35" s="13" t="n">
        <f aca="false">AX19-AX23-AX33</f>
        <v>10.37</v>
      </c>
      <c r="AY35" s="13" t="n">
        <f aca="false">AY19-AY23-AY33</f>
        <v>10.37</v>
      </c>
      <c r="AZ35" s="13" t="n">
        <f aca="false">AZ19-AZ23-AZ33</f>
        <v>10.37</v>
      </c>
      <c r="BA35" s="13" t="n">
        <f aca="false">BA19-BA23-BA33</f>
        <v>10.37</v>
      </c>
      <c r="BB35" s="13" t="n">
        <f aca="false">BB19-BB23-BB33</f>
        <v>10.37</v>
      </c>
      <c r="BC35" s="13" t="n">
        <f aca="false">BC19-BC23-BC33</f>
        <v>10.37</v>
      </c>
      <c r="BD35" s="13" t="n">
        <f aca="false">BD19-BD23-BD33</f>
        <v>10.37</v>
      </c>
      <c r="BE35" s="13" t="n">
        <f aca="false">BE19-BE23-BE33</f>
        <v>10.37</v>
      </c>
      <c r="BF35" s="13" t="n">
        <f aca="false">BF19-BF23-BF33</f>
        <v>10.37</v>
      </c>
      <c r="BG35" s="13" t="n">
        <f aca="false">BG19-BG23-BG33</f>
        <v>10.37</v>
      </c>
      <c r="BH35" s="13" t="n">
        <f aca="false">BH19-BH23-BH33</f>
        <v>10.37</v>
      </c>
      <c r="BI35" s="13" t="n">
        <f aca="false">BI19-BI23-BI33</f>
        <v>10.37</v>
      </c>
      <c r="BJ35" s="13" t="n">
        <f aca="false">BJ19-BJ23-BJ33</f>
        <v>10.37</v>
      </c>
      <c r="BK35" s="13" t="n">
        <f aca="false">BK19-BK23-BK33</f>
        <v>10.37</v>
      </c>
      <c r="BL35" s="13" t="n">
        <f aca="false">BL19-BL23-BL33</f>
        <v>10.37</v>
      </c>
      <c r="BM35" s="13" t="n">
        <f aca="false">BM19-BM23-BM33</f>
        <v>10.37</v>
      </c>
      <c r="BN35" s="13" t="n">
        <f aca="false">BN19-BN23-BN33</f>
        <v>10.37</v>
      </c>
      <c r="BO35" s="13" t="n">
        <f aca="false">BO19-BO23-BO33</f>
        <v>10.37</v>
      </c>
      <c r="BP35" s="13" t="n">
        <f aca="false">BP19-BP23-BP33</f>
        <v>10.37</v>
      </c>
      <c r="BQ35" s="13" t="n">
        <f aca="false">BQ19-BQ23-BQ33</f>
        <v>10.37</v>
      </c>
      <c r="BR35" s="13" t="n">
        <f aca="false">BR19-BR23-BR33</f>
        <v>10.37</v>
      </c>
      <c r="BS35" s="13" t="n">
        <f aca="false">BS19-BS23-BS33</f>
        <v>10.37</v>
      </c>
      <c r="BT35" s="13" t="n">
        <f aca="false">BT19-BT23-BT33</f>
        <v>10.37</v>
      </c>
      <c r="BU35" s="13" t="n">
        <f aca="false">BU19-BU23-BU33</f>
        <v>10.37</v>
      </c>
      <c r="BV35" s="13" t="n">
        <f aca="false">BV19-BV23-BV33</f>
        <v>10.37</v>
      </c>
      <c r="BW35" s="13" t="n">
        <f aca="false">BW19-BW23-BW33</f>
        <v>10.37</v>
      </c>
      <c r="BX35" s="13" t="n">
        <f aca="false">BX19-BX23-BX33</f>
        <v>10.37</v>
      </c>
      <c r="BY35" s="13" t="n">
        <f aca="false">BY19-BY23-BY33</f>
        <v>10.37</v>
      </c>
      <c r="BZ35" s="13" t="n">
        <f aca="false">BZ19-BZ23-BZ33</f>
        <v>10.37</v>
      </c>
      <c r="CA35" s="13" t="n">
        <f aca="false">CA19-CA23-CA33</f>
        <v>10.37</v>
      </c>
      <c r="CB35" s="13" t="n">
        <f aca="false">CB19-CB23-CB33</f>
        <v>10.37</v>
      </c>
      <c r="CC35" s="13" t="n">
        <f aca="false">CC19-CC23-CC33</f>
        <v>10.37</v>
      </c>
      <c r="CD35" s="13" t="n">
        <f aca="false">CD19-CD23-CD33</f>
        <v>10.37</v>
      </c>
      <c r="CE35" s="13" t="n">
        <f aca="false">CE19-CE23-CE33</f>
        <v>10.37</v>
      </c>
      <c r="CF35" s="13" t="n">
        <f aca="false">CF19-CF23-CF33</f>
        <v>10.37</v>
      </c>
      <c r="CG35" s="13" t="n">
        <f aca="false">CG19-CG23-CG33</f>
        <v>10.37</v>
      </c>
      <c r="CH35" s="13" t="n">
        <f aca="false">CH19-CH23-CH33</f>
        <v>10.37</v>
      </c>
      <c r="CI35" s="13" t="n">
        <f aca="false">CI19-CI23-CI33</f>
        <v>10.37</v>
      </c>
      <c r="CJ35" s="13" t="n">
        <f aca="false">CJ19-CJ23-CJ33</f>
        <v>10.37</v>
      </c>
      <c r="CK35" s="13" t="n">
        <f aca="false">CK19-CK23-CK33</f>
        <v>10.37</v>
      </c>
      <c r="CL35" s="13" t="n">
        <f aca="false">CL19-CL23-CL33</f>
        <v>10.37</v>
      </c>
      <c r="CM35" s="13" t="n">
        <f aca="false">CM19-CM23-CM33</f>
        <v>10.37</v>
      </c>
      <c r="CN35" s="13" t="n">
        <f aca="false">CN19-CN23-CN33</f>
        <v>10.37</v>
      </c>
      <c r="CO35" s="13" t="n">
        <f aca="false">CO19-CO23-CO33</f>
        <v>10.37</v>
      </c>
      <c r="CP35" s="13" t="n">
        <f aca="false">CP19-CP23-CP33</f>
        <v>10.37</v>
      </c>
      <c r="CQ35" s="13" t="n">
        <f aca="false">CQ19-CQ23-CQ33</f>
        <v>10.37</v>
      </c>
      <c r="CR35" s="13" t="n">
        <f aca="false">CR19-CR23-CR33</f>
        <v>10.37</v>
      </c>
      <c r="CS35" s="13" t="n">
        <f aca="false">CS19-CS23-CS33</f>
        <v>10.37</v>
      </c>
      <c r="CT35" s="13" t="n">
        <f aca="false">CT19-CT23-CT33</f>
        <v>10.37</v>
      </c>
      <c r="CU35" s="13" t="n">
        <f aca="false">CU19-CU23-CU33</f>
        <v>10.37</v>
      </c>
      <c r="CV35" s="13" t="n">
        <f aca="false">CV19-CV23-CV33</f>
        <v>10.37</v>
      </c>
      <c r="CW35" s="13" t="n">
        <f aca="false">CW19-CW23-CW33</f>
        <v>10.37</v>
      </c>
      <c r="CX35" s="13" t="n">
        <f aca="false">CX19-CX23-CX33</f>
        <v>10.37</v>
      </c>
      <c r="CY35" s="13" t="n">
        <f aca="false">CY19-CY23-CY33</f>
        <v>10.37</v>
      </c>
      <c r="CZ35" s="13" t="n">
        <f aca="false">CZ19-CZ23-CZ33</f>
        <v>10.37</v>
      </c>
      <c r="DA35" s="13" t="n">
        <f aca="false">DA19-DA23-DA33</f>
        <v>10.37</v>
      </c>
      <c r="DB35" s="13" t="n">
        <f aca="false">DB19-DB23-DB33</f>
        <v>10.37</v>
      </c>
      <c r="DC35" s="13" t="n">
        <f aca="false">DC19-DC23-DC33</f>
        <v>10.37</v>
      </c>
      <c r="DD35" s="13" t="n">
        <f aca="false">DD19-DD23-DD33</f>
        <v>10.37</v>
      </c>
      <c r="DE35" s="13" t="n">
        <f aca="false">DE19-DE23-DE33</f>
        <v>10.37</v>
      </c>
      <c r="DF35" s="13" t="n">
        <f aca="false">DF19-DF23-DF33</f>
        <v>10.37</v>
      </c>
      <c r="DG35" s="13" t="n">
        <f aca="false">DG19-DG23-DG33</f>
        <v>10.37</v>
      </c>
      <c r="DH35" s="13" t="n">
        <f aca="false">DH19-DH23-DH33</f>
        <v>10.37</v>
      </c>
      <c r="DI35" s="13" t="n">
        <f aca="false">DI19-DI23-DI33</f>
        <v>10.37</v>
      </c>
      <c r="DJ35" s="13" t="n">
        <f aca="false">DJ19-DJ23-DJ33</f>
        <v>10.37</v>
      </c>
      <c r="DK35" s="13" t="n">
        <f aca="false">DK19-DK23-DK33</f>
        <v>10.37</v>
      </c>
      <c r="DL35" s="13" t="n">
        <f aca="false">DL19-DL23-DL33</f>
        <v>10.37</v>
      </c>
      <c r="DM35" s="13" t="n">
        <f aca="false">DM19-DM23-DM33</f>
        <v>10.37</v>
      </c>
      <c r="DN35" s="13" t="n">
        <f aca="false">DN19-DN23-DN33</f>
        <v>10.37</v>
      </c>
      <c r="DO35" s="13" t="n">
        <f aca="false">DO19-DO23-DO33</f>
        <v>10.37</v>
      </c>
      <c r="DP35" s="13" t="n">
        <f aca="false">DP19-DP23-DP33</f>
        <v>10.37</v>
      </c>
      <c r="DQ35" s="13" t="n">
        <f aca="false">DQ19-DQ23-DQ33</f>
        <v>10.37</v>
      </c>
      <c r="DR35" s="13" t="n">
        <f aca="false">DR19-DR23-DR33</f>
        <v>10.37</v>
      </c>
    </row>
    <row r="36" customFormat="false" ht="15" hidden="false" customHeight="false" outlineLevel="0" collapsed="false">
      <c r="A36" s="9" t="s">
        <v>205</v>
      </c>
      <c r="B36" s="10" t="n">
        <f aca="false">IF(AND(B$1&gt;Inputs!$B$34,B$1&lt;=Inputs!$B$19),Funding!$C$7/Inputs!$B$19,Inputs!$B$34)</f>
        <v>0</v>
      </c>
      <c r="C36" s="10" t="n">
        <f aca="false">IF(AND(C$1&gt;Inputs!$B$34,C$1&lt;=Inputs!$B$19),Funding!$C$7/Inputs!$B$19,Inputs!$B$34)</f>
        <v>3.58333333333333</v>
      </c>
      <c r="D36" s="10" t="n">
        <f aca="false">IF(AND(D$1&gt;Inputs!$B$34,D$1&lt;=Inputs!$B$19),Funding!$C$7/Inputs!$B$19,Inputs!$B$34)</f>
        <v>3.58333333333333</v>
      </c>
      <c r="E36" s="10" t="n">
        <f aca="false">IF(AND(E$1&gt;Inputs!$B$34,E$1&lt;=Inputs!$B$19),Funding!$C$7/Inputs!$B$19,Inputs!$B$34)</f>
        <v>3.58333333333333</v>
      </c>
      <c r="F36" s="10" t="n">
        <f aca="false">IF(AND(F$1&gt;Inputs!$B$34,F$1&lt;=Inputs!$B$19),Funding!$C$7/Inputs!$B$19,Inputs!$B$34)</f>
        <v>3.58333333333333</v>
      </c>
      <c r="G36" s="10" t="n">
        <f aca="false">IF(AND(G$1&gt;Inputs!$B$34,G$1&lt;=Inputs!$B$19),Funding!$C$7/Inputs!$B$19,Inputs!$B$34)</f>
        <v>3.58333333333333</v>
      </c>
      <c r="H36" s="10" t="n">
        <f aca="false">IF(AND(H$1&gt;Inputs!$B$34,H$1&lt;=Inputs!$B$19),Funding!$C$7/Inputs!$B$19,Inputs!$B$34)</f>
        <v>3.58333333333333</v>
      </c>
      <c r="I36" s="10" t="n">
        <f aca="false">IF(AND(I$1&gt;Inputs!$B$34,I$1&lt;=Inputs!$B$19),Funding!$C$7/Inputs!$B$19,Inputs!$B$34)</f>
        <v>3.58333333333333</v>
      </c>
      <c r="J36" s="10" t="n">
        <f aca="false">IF(AND(J$1&gt;Inputs!$B$34,J$1&lt;=Inputs!$B$19),Funding!$C$7/Inputs!$B$19,Inputs!$B$34)</f>
        <v>3.58333333333333</v>
      </c>
      <c r="K36" s="10" t="n">
        <f aca="false">IF(AND(K$1&gt;Inputs!$B$34,K$1&lt;=Inputs!$B$19),Funding!$C$7/Inputs!$B$19,Inputs!$B$34)</f>
        <v>3.58333333333333</v>
      </c>
      <c r="L36" s="10" t="n">
        <f aca="false">IF(AND(L$1&gt;Inputs!$B$34,L$1&lt;=Inputs!$B$19),Funding!$C$7/Inputs!$B$19,Inputs!$B$34)</f>
        <v>3.58333333333333</v>
      </c>
      <c r="M36" s="10" t="n">
        <f aca="false">IF(AND(M$1&gt;Inputs!$B$34,M$1&lt;=Inputs!$B$19),Funding!$C$7/Inputs!$B$19,Inputs!$B$34)</f>
        <v>3.58333333333333</v>
      </c>
      <c r="N36" s="10" t="n">
        <f aca="false">IF(AND(N$1&gt;Inputs!$B$34,N$1&lt;=Inputs!$B$19),Funding!$C$7/Inputs!$B$19,Inputs!$B$34)</f>
        <v>3.58333333333333</v>
      </c>
      <c r="O36" s="10" t="n">
        <f aca="false">IF(AND(O$1&gt;Inputs!$B$34,O$1&lt;=Inputs!$B$19),Funding!$C$7/Inputs!$B$19,Inputs!$B$34)</f>
        <v>0</v>
      </c>
      <c r="P36" s="10" t="n">
        <f aca="false">IF(AND(P$1&gt;Inputs!$B$34,P$1&lt;=Inputs!$B$19),Funding!$C$7/Inputs!$B$19,Inputs!$B$34)</f>
        <v>0</v>
      </c>
      <c r="Q36" s="10" t="n">
        <f aca="false">IF(AND(Q$1&gt;Inputs!$B$34,Q$1&lt;=Inputs!$B$19),Funding!$C$7/Inputs!$B$19,Inputs!$B$34)</f>
        <v>0</v>
      </c>
      <c r="R36" s="10" t="n">
        <f aca="false">IF(AND(R$1&gt;Inputs!$B$34,R$1&lt;=Inputs!$B$19),Funding!$C$7/Inputs!$B$19,Inputs!$B$34)</f>
        <v>0</v>
      </c>
      <c r="S36" s="10" t="n">
        <f aca="false">IF(AND(S$1&gt;Inputs!$B$34,S$1&lt;=Inputs!$B$19),Funding!$C$7/Inputs!$B$19,Inputs!$B$34)</f>
        <v>0</v>
      </c>
      <c r="T36" s="10" t="n">
        <f aca="false">IF(AND(T$1&gt;Inputs!$B$34,T$1&lt;=Inputs!$B$19),Funding!$C$7/Inputs!$B$19,Inputs!$B$34)</f>
        <v>0</v>
      </c>
      <c r="U36" s="10" t="n">
        <f aca="false">IF(AND(U$1&gt;Inputs!$B$34,U$1&lt;=Inputs!$B$19),Funding!$C$7/Inputs!$B$19,Inputs!$B$34)</f>
        <v>0</v>
      </c>
      <c r="V36" s="10" t="n">
        <f aca="false">IF(AND(V$1&gt;Inputs!$B$34,V$1&lt;=Inputs!$B$19),Funding!$C$7/Inputs!$B$19,Inputs!$B$34)</f>
        <v>0</v>
      </c>
      <c r="W36" s="10" t="n">
        <f aca="false">IF(AND(W$1&gt;Inputs!$B$34,W$1&lt;=Inputs!$B$19),Funding!$C$7/Inputs!$B$19,Inputs!$B$34)</f>
        <v>0</v>
      </c>
      <c r="X36" s="10" t="n">
        <f aca="false">IF(AND(X$1&gt;Inputs!$B$34,X$1&lt;=Inputs!$B$19),Funding!$C$7/Inputs!$B$19,Inputs!$B$34)</f>
        <v>0</v>
      </c>
      <c r="Y36" s="10" t="n">
        <f aca="false">IF(AND(Y$1&gt;Inputs!$B$34,Y$1&lt;=Inputs!$B$19),Funding!$C$7/Inputs!$B$19,Inputs!$B$34)</f>
        <v>0</v>
      </c>
      <c r="Z36" s="10" t="n">
        <f aca="false">IF(AND(Z$1&gt;Inputs!$B$34,Z$1&lt;=Inputs!$B$19),Funding!$C$7/Inputs!$B$19,Inputs!$B$34)</f>
        <v>0</v>
      </c>
      <c r="AA36" s="10" t="n">
        <f aca="false">IF(AND(AA$1&gt;Inputs!$B$34,AA$1&lt;=Inputs!$B$19),Funding!$C$7/Inputs!$B$19,Inputs!$B$34)</f>
        <v>0</v>
      </c>
      <c r="AB36" s="10" t="n">
        <f aca="false">IF(AND(AB$1&gt;Inputs!$B$34,AB$1&lt;=Inputs!$B$19),Funding!$C$7/Inputs!$B$19,Inputs!$B$34)</f>
        <v>0</v>
      </c>
      <c r="AC36" s="10" t="n">
        <f aca="false">IF(AND(AC$1&gt;Inputs!$B$34,AC$1&lt;=Inputs!$B$19),Funding!$C$7/Inputs!$B$19,Inputs!$B$34)</f>
        <v>0</v>
      </c>
      <c r="AD36" s="10" t="n">
        <f aca="false">IF(AND(AD$1&gt;Inputs!$B$34,AD$1&lt;=Inputs!$B$19),Funding!$C$7/Inputs!$B$19,Inputs!$B$34)</f>
        <v>0</v>
      </c>
      <c r="AE36" s="10" t="n">
        <f aca="false">IF(AND(AE$1&gt;Inputs!$B$34,AE$1&lt;=Inputs!$B$19),Funding!$C$7/Inputs!$B$19,Inputs!$B$34)</f>
        <v>0</v>
      </c>
      <c r="AF36" s="10" t="n">
        <f aca="false">IF(AND(AF$1&gt;Inputs!$B$34,AF$1&lt;=Inputs!$B$19),Funding!$C$7/Inputs!$B$19,Inputs!$B$34)</f>
        <v>0</v>
      </c>
      <c r="AG36" s="10" t="n">
        <f aca="false">IF(AND(AG$1&gt;Inputs!$B$34,AG$1&lt;=Inputs!$B$19),Funding!$C$7/Inputs!$B$19,Inputs!$B$34)</f>
        <v>0</v>
      </c>
      <c r="AH36" s="10" t="n">
        <f aca="false">IF(AND(AH$1&gt;Inputs!$B$34,AH$1&lt;=Inputs!$B$19),Funding!$C$7/Inputs!$B$19,Inputs!$B$34)</f>
        <v>0</v>
      </c>
      <c r="AI36" s="10" t="n">
        <f aca="false">IF(AND(AI$1&gt;Inputs!$B$34,AI$1&lt;=Inputs!$B$19),Funding!$C$7/Inputs!$B$19,Inputs!$B$34)</f>
        <v>0</v>
      </c>
      <c r="AJ36" s="10" t="n">
        <f aca="false">IF(AND(AJ$1&gt;Inputs!$B$34,AJ$1&lt;=Inputs!$B$19),Funding!$C$7/Inputs!$B$19,Inputs!$B$34)</f>
        <v>0</v>
      </c>
      <c r="AK36" s="10" t="n">
        <f aca="false">IF(AND(AK$1&gt;Inputs!$B$34,AK$1&lt;=Inputs!$B$19),Funding!$C$7/Inputs!$B$19,Inputs!$B$34)</f>
        <v>0</v>
      </c>
      <c r="AL36" s="10" t="n">
        <f aca="false">IF(AND(AL$1&gt;Inputs!$B$34,AL$1&lt;=Inputs!$B$19),Funding!$C$7/Inputs!$B$19,Inputs!$B$34)</f>
        <v>0</v>
      </c>
      <c r="AM36" s="10" t="n">
        <f aca="false">IF(AND(AM$1&gt;Inputs!$B$34,AM$1&lt;=Inputs!$B$19),Funding!$C$7/Inputs!$B$19,Inputs!$B$34)</f>
        <v>0</v>
      </c>
      <c r="AN36" s="10" t="n">
        <f aca="false">IF(AND(AN$1&gt;Inputs!$B$34,AN$1&lt;=Inputs!$B$19),Funding!$C$7/Inputs!$B$19,Inputs!$B$34)</f>
        <v>0</v>
      </c>
      <c r="AO36" s="10" t="n">
        <f aca="false">IF(AND(AO$1&gt;Inputs!$B$34,AO$1&lt;=Inputs!$B$19),Funding!$C$7/Inputs!$B$19,Inputs!$B$34)</f>
        <v>0</v>
      </c>
      <c r="AP36" s="10" t="n">
        <f aca="false">IF(AND(AP$1&gt;Inputs!$B$34,AP$1&lt;=Inputs!$B$19),Funding!$C$7/Inputs!$B$19,Inputs!$B$34)</f>
        <v>0</v>
      </c>
      <c r="AQ36" s="10" t="n">
        <f aca="false">IF(AND(AQ$1&gt;Inputs!$B$34,AQ$1&lt;=Inputs!$B$19),Funding!$C$7/Inputs!$B$19,Inputs!$B$34)</f>
        <v>0</v>
      </c>
      <c r="AR36" s="10" t="n">
        <f aca="false">IF(AND(AR$1&gt;Inputs!$B$34,AR$1&lt;=Inputs!$B$19),Funding!$C$7/Inputs!$B$19,Inputs!$B$34)</f>
        <v>0</v>
      </c>
      <c r="AS36" s="10" t="n">
        <f aca="false">IF(AND(AS$1&gt;Inputs!$B$34,AS$1&lt;=Inputs!$B$19),Funding!$C$7/Inputs!$B$19,Inputs!$B$34)</f>
        <v>0</v>
      </c>
      <c r="AT36" s="10" t="n">
        <f aca="false">IF(AND(AT$1&gt;Inputs!$B$34,AT$1&lt;=Inputs!$B$19),Funding!$C$7/Inputs!$B$19,Inputs!$B$34)</f>
        <v>0</v>
      </c>
      <c r="AU36" s="10" t="n">
        <f aca="false">IF(AND(AU$1&gt;Inputs!$B$34,AU$1&lt;=Inputs!$B$19),Funding!$C$7/Inputs!$B$19,Inputs!$B$34)</f>
        <v>0</v>
      </c>
      <c r="AV36" s="10" t="n">
        <f aca="false">IF(AND(AV$1&gt;Inputs!$B$34,AV$1&lt;=Inputs!$B$19),Funding!$C$7/Inputs!$B$19,Inputs!$B$34)</f>
        <v>0</v>
      </c>
      <c r="AW36" s="10" t="n">
        <f aca="false">IF(AND(AW$1&gt;Inputs!$B$34,AW$1&lt;=Inputs!$B$19),Funding!$C$7/Inputs!$B$19,Inputs!$B$34)</f>
        <v>0</v>
      </c>
      <c r="AX36" s="10" t="n">
        <f aca="false">IF(AND(AX$1&gt;Inputs!$B$34,AX$1&lt;=Inputs!$B$19),Funding!$C$7/Inputs!$B$19,Inputs!$B$34)</f>
        <v>0</v>
      </c>
      <c r="AY36" s="10" t="n">
        <f aca="false">IF(AND(AY$1&gt;Inputs!$B$34,AY$1&lt;=Inputs!$B$19),Funding!$C$7/Inputs!$B$19,Inputs!$B$34)</f>
        <v>0</v>
      </c>
      <c r="AZ36" s="10" t="n">
        <f aca="false">IF(AND(AZ$1&gt;Inputs!$B$34,AZ$1&lt;=Inputs!$B$19),Funding!$C$7/Inputs!$B$19,Inputs!$B$34)</f>
        <v>0</v>
      </c>
      <c r="BA36" s="10" t="n">
        <f aca="false">IF(AND(BA$1&gt;Inputs!$B$34,BA$1&lt;=Inputs!$B$19),Funding!$C$7/Inputs!$B$19,Inputs!$B$34)</f>
        <v>0</v>
      </c>
      <c r="BB36" s="10" t="n">
        <f aca="false">IF(AND(BB$1&gt;Inputs!$B$34,BB$1&lt;=Inputs!$B$19),Funding!$C$7/Inputs!$B$19,Inputs!$B$34)</f>
        <v>0</v>
      </c>
      <c r="BC36" s="10" t="n">
        <f aca="false">IF(AND(BC$1&gt;Inputs!$B$34,BC$1&lt;=Inputs!$B$19),Funding!$C$7/Inputs!$B$19,Inputs!$B$34)</f>
        <v>0</v>
      </c>
      <c r="BD36" s="10" t="n">
        <f aca="false">IF(AND(BD$1&gt;Inputs!$B$34,BD$1&lt;=Inputs!$B$19),Funding!$C$7/Inputs!$B$19,Inputs!$B$34)</f>
        <v>0</v>
      </c>
      <c r="BE36" s="10" t="n">
        <f aca="false">IF(AND(BE$1&gt;Inputs!$B$34,BE$1&lt;=Inputs!$B$19),Funding!$C$7/Inputs!$B$19,Inputs!$B$34)</f>
        <v>0</v>
      </c>
      <c r="BF36" s="10" t="n">
        <f aca="false">IF(AND(BF$1&gt;Inputs!$B$34,BF$1&lt;=Inputs!$B$19),Funding!$C$7/Inputs!$B$19,Inputs!$B$34)</f>
        <v>0</v>
      </c>
      <c r="BG36" s="10" t="n">
        <f aca="false">IF(AND(BG$1&gt;Inputs!$B$34,BG$1&lt;=Inputs!$B$19),Funding!$C$7/Inputs!$B$19,Inputs!$B$34)</f>
        <v>0</v>
      </c>
      <c r="BH36" s="10" t="n">
        <f aca="false">IF(AND(BH$1&gt;Inputs!$B$34,BH$1&lt;=Inputs!$B$19),Funding!$C$7/Inputs!$B$19,Inputs!$B$34)</f>
        <v>0</v>
      </c>
      <c r="BI36" s="10" t="n">
        <f aca="false">IF(AND(BI$1&gt;Inputs!$B$34,BI$1&lt;=Inputs!$B$19),Funding!$C$7/Inputs!$B$19,Inputs!$B$34)</f>
        <v>0</v>
      </c>
      <c r="BJ36" s="10" t="n">
        <f aca="false">IF(AND(BJ$1&gt;Inputs!$B$34,BJ$1&lt;=Inputs!$B$19),Funding!$C$7/Inputs!$B$19,Inputs!$B$34)</f>
        <v>0</v>
      </c>
      <c r="BK36" s="10" t="n">
        <f aca="false">IF(AND(BK$1&gt;Inputs!$B$34,BK$1&lt;=Inputs!$B$19),Funding!$C$7/Inputs!$B$19,Inputs!$B$34)</f>
        <v>0</v>
      </c>
      <c r="BL36" s="10" t="n">
        <f aca="false">IF(AND(BL$1&gt;Inputs!$B$34,BL$1&lt;=Inputs!$B$19),Funding!$C$7/Inputs!$B$19,Inputs!$B$34)</f>
        <v>0</v>
      </c>
      <c r="BM36" s="10" t="n">
        <f aca="false">IF(AND(BM$1&gt;Inputs!$B$34,BM$1&lt;=Inputs!$B$19),Funding!$C$7/Inputs!$B$19,Inputs!$B$34)</f>
        <v>0</v>
      </c>
      <c r="BN36" s="10" t="n">
        <f aca="false">IF(AND(BN$1&gt;Inputs!$B$34,BN$1&lt;=Inputs!$B$19),Funding!$C$7/Inputs!$B$19,Inputs!$B$34)</f>
        <v>0</v>
      </c>
      <c r="BO36" s="10" t="n">
        <f aca="false">IF(AND(BO$1&gt;Inputs!$B$34,BO$1&lt;=Inputs!$B$19),Funding!$C$7/Inputs!$B$19,Inputs!$B$34)</f>
        <v>0</v>
      </c>
      <c r="BP36" s="10" t="n">
        <f aca="false">IF(AND(BP$1&gt;Inputs!$B$34,BP$1&lt;=Inputs!$B$19),Funding!$C$7/Inputs!$B$19,Inputs!$B$34)</f>
        <v>0</v>
      </c>
      <c r="BQ36" s="10" t="n">
        <f aca="false">IF(AND(BQ$1&gt;Inputs!$B$34,BQ$1&lt;=Inputs!$B$19),Funding!$C$7/Inputs!$B$19,Inputs!$B$34)</f>
        <v>0</v>
      </c>
      <c r="BR36" s="10" t="n">
        <f aca="false">IF(AND(BR$1&gt;Inputs!$B$34,BR$1&lt;=Inputs!$B$19),Funding!$C$7/Inputs!$B$19,Inputs!$B$34)</f>
        <v>0</v>
      </c>
      <c r="BS36" s="10" t="n">
        <f aca="false">IF(AND(BS$1&gt;Inputs!$B$34,BS$1&lt;=Inputs!$B$19),Funding!$C$7/Inputs!$B$19,Inputs!$B$34)</f>
        <v>0</v>
      </c>
      <c r="BT36" s="10" t="n">
        <f aca="false">IF(AND(BT$1&gt;Inputs!$B$34,BT$1&lt;=Inputs!$B$19),Funding!$C$7/Inputs!$B$19,Inputs!$B$34)</f>
        <v>0</v>
      </c>
      <c r="BU36" s="10" t="n">
        <f aca="false">IF(AND(BU$1&gt;Inputs!$B$34,BU$1&lt;=Inputs!$B$19),Funding!$C$7/Inputs!$B$19,Inputs!$B$34)</f>
        <v>0</v>
      </c>
      <c r="BV36" s="10" t="n">
        <f aca="false">IF(AND(BV$1&gt;Inputs!$B$34,BV$1&lt;=Inputs!$B$19),Funding!$C$7/Inputs!$B$19,Inputs!$B$34)</f>
        <v>0</v>
      </c>
      <c r="BW36" s="10" t="n">
        <f aca="false">IF(AND(BW$1&gt;Inputs!$B$34,BW$1&lt;=Inputs!$B$19),Funding!$C$7/Inputs!$B$19,Inputs!$B$34)</f>
        <v>0</v>
      </c>
      <c r="BX36" s="10" t="n">
        <f aca="false">IF(AND(BX$1&gt;Inputs!$B$34,BX$1&lt;=Inputs!$B$19),Funding!$C$7/Inputs!$B$19,Inputs!$B$34)</f>
        <v>0</v>
      </c>
      <c r="BY36" s="10" t="n">
        <f aca="false">IF(AND(BY$1&gt;Inputs!$B$34,BY$1&lt;=Inputs!$B$19),Funding!$C$7/Inputs!$B$19,Inputs!$B$34)</f>
        <v>0</v>
      </c>
      <c r="BZ36" s="10" t="n">
        <f aca="false">IF(AND(BZ$1&gt;Inputs!$B$34,BZ$1&lt;=Inputs!$B$19),Funding!$C$7/Inputs!$B$19,Inputs!$B$34)</f>
        <v>0</v>
      </c>
      <c r="CA36" s="10" t="n">
        <f aca="false">IF(AND(CA$1&gt;Inputs!$B$34,CA$1&lt;=Inputs!$B$19),Funding!$C$7/Inputs!$B$19,Inputs!$B$34)</f>
        <v>0</v>
      </c>
      <c r="CB36" s="10" t="n">
        <f aca="false">IF(AND(CB$1&gt;Inputs!$B$34,CB$1&lt;=Inputs!$B$19),Funding!$C$7/Inputs!$B$19,Inputs!$B$34)</f>
        <v>0</v>
      </c>
      <c r="CC36" s="10" t="n">
        <f aca="false">IF(AND(CC$1&gt;Inputs!$B$34,CC$1&lt;=Inputs!$B$19),Funding!$C$7/Inputs!$B$19,Inputs!$B$34)</f>
        <v>0</v>
      </c>
      <c r="CD36" s="10" t="n">
        <f aca="false">IF(AND(CD$1&gt;Inputs!$B$34,CD$1&lt;=Inputs!$B$19),Funding!$C$7/Inputs!$B$19,Inputs!$B$34)</f>
        <v>0</v>
      </c>
      <c r="CE36" s="10" t="n">
        <f aca="false">IF(AND(CE$1&gt;Inputs!$B$34,CE$1&lt;=Inputs!$B$19),Funding!$C$7/Inputs!$B$19,Inputs!$B$34)</f>
        <v>0</v>
      </c>
      <c r="CF36" s="10" t="n">
        <f aca="false">IF(AND(CF$1&gt;Inputs!$B$34,CF$1&lt;=Inputs!$B$19),Funding!$C$7/Inputs!$B$19,Inputs!$B$34)</f>
        <v>0</v>
      </c>
      <c r="CG36" s="10" t="n">
        <f aca="false">IF(AND(CG$1&gt;Inputs!$B$34,CG$1&lt;=Inputs!$B$19),Funding!$C$7/Inputs!$B$19,Inputs!$B$34)</f>
        <v>0</v>
      </c>
      <c r="CH36" s="10" t="n">
        <f aca="false">IF(AND(CH$1&gt;Inputs!$B$34,CH$1&lt;=Inputs!$B$19),Funding!$C$7/Inputs!$B$19,Inputs!$B$34)</f>
        <v>0</v>
      </c>
      <c r="CI36" s="10" t="n">
        <f aca="false">IF(AND(CI$1&gt;Inputs!$B$34,CI$1&lt;=Inputs!$B$19),Funding!$C$7/Inputs!$B$19,Inputs!$B$34)</f>
        <v>0</v>
      </c>
      <c r="CJ36" s="10" t="n">
        <f aca="false">IF(AND(CJ$1&gt;Inputs!$B$34,CJ$1&lt;=Inputs!$B$19),Funding!$C$7/Inputs!$B$19,Inputs!$B$34)</f>
        <v>0</v>
      </c>
      <c r="CK36" s="10" t="n">
        <f aca="false">IF(AND(CK$1&gt;Inputs!$B$34,CK$1&lt;=Inputs!$B$19),Funding!$C$7/Inputs!$B$19,Inputs!$B$34)</f>
        <v>0</v>
      </c>
      <c r="CL36" s="10" t="n">
        <f aca="false">IF(AND(CL$1&gt;Inputs!$B$34,CL$1&lt;=Inputs!$B$19),Funding!$C$7/Inputs!$B$19,Inputs!$B$34)</f>
        <v>0</v>
      </c>
      <c r="CM36" s="10" t="n">
        <f aca="false">IF(AND(CM$1&gt;Inputs!$B$34,CM$1&lt;=Inputs!$B$19),Funding!$C$7/Inputs!$B$19,Inputs!$B$34)</f>
        <v>0</v>
      </c>
      <c r="CN36" s="10" t="n">
        <f aca="false">IF(AND(CN$1&gt;Inputs!$B$34,CN$1&lt;=Inputs!$B$19),Funding!$C$7/Inputs!$B$19,Inputs!$B$34)</f>
        <v>0</v>
      </c>
      <c r="CO36" s="10" t="n">
        <f aca="false">IF(AND(CO$1&gt;Inputs!$B$34,CO$1&lt;=Inputs!$B$19),Funding!$C$7/Inputs!$B$19,Inputs!$B$34)</f>
        <v>0</v>
      </c>
      <c r="CP36" s="10" t="n">
        <f aca="false">IF(AND(CP$1&gt;Inputs!$B$34,CP$1&lt;=Inputs!$B$19),Funding!$C$7/Inputs!$B$19,Inputs!$B$34)</f>
        <v>0</v>
      </c>
      <c r="CQ36" s="10" t="n">
        <f aca="false">IF(AND(CQ$1&gt;Inputs!$B$34,CQ$1&lt;=Inputs!$B$19),Funding!$C$7/Inputs!$B$19,Inputs!$B$34)</f>
        <v>0</v>
      </c>
      <c r="CR36" s="10" t="n">
        <f aca="false">IF(AND(CR$1&gt;Inputs!$B$34,CR$1&lt;=Inputs!$B$19),Funding!$C$7/Inputs!$B$19,Inputs!$B$34)</f>
        <v>0</v>
      </c>
      <c r="CS36" s="10" t="n">
        <f aca="false">IF(AND(CS$1&gt;Inputs!$B$34,CS$1&lt;=Inputs!$B$19),Funding!$C$7/Inputs!$B$19,Inputs!$B$34)</f>
        <v>0</v>
      </c>
      <c r="CT36" s="10" t="n">
        <f aca="false">IF(AND(CT$1&gt;Inputs!$B$34,CT$1&lt;=Inputs!$B$19),Funding!$C$7/Inputs!$B$19,Inputs!$B$34)</f>
        <v>0</v>
      </c>
      <c r="CU36" s="10" t="n">
        <f aca="false">IF(AND(CU$1&gt;Inputs!$B$34,CU$1&lt;=Inputs!$B$19),Funding!$C$7/Inputs!$B$19,Inputs!$B$34)</f>
        <v>0</v>
      </c>
      <c r="CV36" s="10" t="n">
        <f aca="false">IF(AND(CV$1&gt;Inputs!$B$34,CV$1&lt;=Inputs!$B$19),Funding!$C$7/Inputs!$B$19,Inputs!$B$34)</f>
        <v>0</v>
      </c>
      <c r="CW36" s="10" t="n">
        <f aca="false">IF(AND(CW$1&gt;Inputs!$B$34,CW$1&lt;=Inputs!$B$19),Funding!$C$7/Inputs!$B$19,Inputs!$B$34)</f>
        <v>0</v>
      </c>
      <c r="CX36" s="10" t="n">
        <f aca="false">IF(AND(CX$1&gt;Inputs!$B$34,CX$1&lt;=Inputs!$B$19),Funding!$C$7/Inputs!$B$19,Inputs!$B$34)</f>
        <v>0</v>
      </c>
      <c r="CY36" s="10" t="n">
        <f aca="false">IF(AND(CY$1&gt;Inputs!$B$34,CY$1&lt;=Inputs!$B$19),Funding!$C$7/Inputs!$B$19,Inputs!$B$34)</f>
        <v>0</v>
      </c>
      <c r="CZ36" s="10" t="n">
        <f aca="false">IF(AND(CZ$1&gt;Inputs!$B$34,CZ$1&lt;=Inputs!$B$19),Funding!$C$7/Inputs!$B$19,Inputs!$B$34)</f>
        <v>0</v>
      </c>
      <c r="DA36" s="10" t="n">
        <f aca="false">IF(AND(DA$1&gt;Inputs!$B$34,DA$1&lt;=Inputs!$B$19),Funding!$C$7/Inputs!$B$19,Inputs!$B$34)</f>
        <v>0</v>
      </c>
      <c r="DB36" s="10" t="n">
        <f aca="false">IF(AND(DB$1&gt;Inputs!$B$34,DB$1&lt;=Inputs!$B$19),Funding!$C$7/Inputs!$B$19,Inputs!$B$34)</f>
        <v>0</v>
      </c>
      <c r="DC36" s="10" t="n">
        <f aca="false">IF(AND(DC$1&gt;Inputs!$B$34,DC$1&lt;=Inputs!$B$19),Funding!$C$7/Inputs!$B$19,Inputs!$B$34)</f>
        <v>0</v>
      </c>
      <c r="DD36" s="10" t="n">
        <f aca="false">IF(AND(DD$1&gt;Inputs!$B$34,DD$1&lt;=Inputs!$B$19),Funding!$C$7/Inputs!$B$19,Inputs!$B$34)</f>
        <v>0</v>
      </c>
      <c r="DE36" s="10" t="n">
        <f aca="false">IF(AND(DE$1&gt;Inputs!$B$34,DE$1&lt;=Inputs!$B$19),Funding!$C$7/Inputs!$B$19,Inputs!$B$34)</f>
        <v>0</v>
      </c>
      <c r="DF36" s="10" t="n">
        <f aca="false">IF(AND(DF$1&gt;Inputs!$B$34,DF$1&lt;=Inputs!$B$19),Funding!$C$7/Inputs!$B$19,Inputs!$B$34)</f>
        <v>0</v>
      </c>
      <c r="DG36" s="10" t="n">
        <f aca="false">IF(AND(DG$1&gt;Inputs!$B$34,DG$1&lt;=Inputs!$B$19),Funding!$C$7/Inputs!$B$19,Inputs!$B$34)</f>
        <v>0</v>
      </c>
      <c r="DH36" s="10" t="n">
        <f aca="false">IF(AND(DH$1&gt;Inputs!$B$34,DH$1&lt;=Inputs!$B$19),Funding!$C$7/Inputs!$B$19,Inputs!$B$34)</f>
        <v>0</v>
      </c>
      <c r="DI36" s="10" t="n">
        <f aca="false">IF(AND(DI$1&gt;Inputs!$B$34,DI$1&lt;=Inputs!$B$19),Funding!$C$7/Inputs!$B$19,Inputs!$B$34)</f>
        <v>0</v>
      </c>
      <c r="DJ36" s="10" t="n">
        <f aca="false">IF(AND(DJ$1&gt;Inputs!$B$34,DJ$1&lt;=Inputs!$B$19),Funding!$C$7/Inputs!$B$19,Inputs!$B$34)</f>
        <v>0</v>
      </c>
      <c r="DK36" s="10" t="n">
        <f aca="false">IF(AND(DK$1&gt;Inputs!$B$34,DK$1&lt;=Inputs!$B$19),Funding!$C$7/Inputs!$B$19,Inputs!$B$34)</f>
        <v>0</v>
      </c>
      <c r="DL36" s="10" t="n">
        <f aca="false">IF(AND(DL$1&gt;Inputs!$B$34,DL$1&lt;=Inputs!$B$19),Funding!$C$7/Inputs!$B$19,Inputs!$B$34)</f>
        <v>0</v>
      </c>
      <c r="DM36" s="10" t="n">
        <f aca="false">IF(AND(DM$1&gt;Inputs!$B$34,DM$1&lt;=Inputs!$B$19),Funding!$C$7/Inputs!$B$19,Inputs!$B$34)</f>
        <v>0</v>
      </c>
      <c r="DN36" s="10" t="n">
        <f aca="false">IF(AND(DN$1&gt;Inputs!$B$34,DN$1&lt;=Inputs!$B$19),Funding!$C$7/Inputs!$B$19,Inputs!$B$34)</f>
        <v>0</v>
      </c>
      <c r="DO36" s="10" t="n">
        <f aca="false">IF(AND(DO$1&gt;Inputs!$B$34,DO$1&lt;=Inputs!$B$19),Funding!$C$7/Inputs!$B$19,Inputs!$B$34)</f>
        <v>0</v>
      </c>
      <c r="DP36" s="10" t="n">
        <f aca="false">IF(AND(DP$1&gt;Inputs!$B$34,DP$1&lt;=Inputs!$B$19),Funding!$C$7/Inputs!$B$19,Inputs!$B$34)</f>
        <v>0</v>
      </c>
      <c r="DQ36" s="10" t="n">
        <f aca="false">IF(AND(DQ$1&gt;Inputs!$B$34,DQ$1&lt;=Inputs!$B$19),Funding!$C$7/Inputs!$B$19,Inputs!$B$34)</f>
        <v>0</v>
      </c>
      <c r="DR36" s="10" t="n">
        <f aca="false">IF(AND(DR$1&gt;Inputs!$B$34,DR$1&lt;=Inputs!$B$19),Funding!$C$7/Inputs!$B$19,Inputs!$B$34)</f>
        <v>0</v>
      </c>
    </row>
    <row r="37" customFormat="false" ht="15" hidden="false" customHeight="false" outlineLevel="0" collapsed="false">
      <c r="A37" s="9" t="s">
        <v>206</v>
      </c>
      <c r="B37" s="10" t="n">
        <f aca="false">IF(B$1&gt;Inputs!$B$19,B19*Inputs!$B$21,Inputs!$B$34)</f>
        <v>0</v>
      </c>
      <c r="C37" s="10" t="n">
        <f aca="false">IF(C$1&gt;Inputs!$B$19,C19*Inputs!$B$21,Inputs!$B$34)</f>
        <v>0</v>
      </c>
      <c r="D37" s="10" t="n">
        <f aca="false">IF(D$1&gt;Inputs!$B$19,D19*Inputs!$B$21,Inputs!$B$34)</f>
        <v>0</v>
      </c>
      <c r="E37" s="10" t="n">
        <f aca="false">IF(E$1&gt;Inputs!$B$19,E19*Inputs!$B$21,Inputs!$B$34)</f>
        <v>0</v>
      </c>
      <c r="F37" s="10" t="n">
        <f aca="false">IF(F$1&gt;Inputs!$B$19,F19*Inputs!$B$21,Inputs!$B$34)</f>
        <v>0</v>
      </c>
      <c r="G37" s="10" t="n">
        <f aca="false">IF(G$1&gt;Inputs!$B$19,G19*Inputs!$B$21,Inputs!$B$34)</f>
        <v>0</v>
      </c>
      <c r="H37" s="10" t="n">
        <f aca="false">IF(H$1&gt;Inputs!$B$19,H19*Inputs!$B$21,Inputs!$B$34)</f>
        <v>0</v>
      </c>
      <c r="I37" s="10" t="n">
        <f aca="false">IF(I$1&gt;Inputs!$B$19,I19*Inputs!$B$21,Inputs!$B$34)</f>
        <v>0</v>
      </c>
      <c r="J37" s="10" t="n">
        <f aca="false">IF(J$1&gt;Inputs!$B$19,J19*Inputs!$B$21,Inputs!$B$34)</f>
        <v>0</v>
      </c>
      <c r="K37" s="10" t="n">
        <f aca="false">IF(K$1&gt;Inputs!$B$19,K19*Inputs!$B$21,Inputs!$B$34)</f>
        <v>0</v>
      </c>
      <c r="L37" s="10" t="n">
        <f aca="false">IF(L$1&gt;Inputs!$B$19,L19*Inputs!$B$21,Inputs!$B$34)</f>
        <v>0</v>
      </c>
      <c r="M37" s="10" t="n">
        <f aca="false">IF(M$1&gt;Inputs!$B$19,M19*Inputs!$B$21,Inputs!$B$34)</f>
        <v>0</v>
      </c>
      <c r="N37" s="10" t="n">
        <f aca="false">IF(N$1&gt;Inputs!$B$19,N19*Inputs!$B$21,Inputs!$B$34)</f>
        <v>0</v>
      </c>
      <c r="O37" s="10" t="n">
        <f aca="false">IF(O$1&gt;Inputs!$B$19,O19*Inputs!$B$21,Inputs!$B$34)</f>
        <v>0.15</v>
      </c>
      <c r="P37" s="10" t="n">
        <f aca="false">IF(P$1&gt;Inputs!$B$19,P19*Inputs!$B$21,Inputs!$B$34)</f>
        <v>0.15</v>
      </c>
      <c r="Q37" s="10" t="n">
        <f aca="false">IF(Q$1&gt;Inputs!$B$19,Q19*Inputs!$B$21,Inputs!$B$34)</f>
        <v>0.21</v>
      </c>
      <c r="R37" s="10" t="n">
        <f aca="false">IF(R$1&gt;Inputs!$B$19,R19*Inputs!$B$21,Inputs!$B$34)</f>
        <v>0.21</v>
      </c>
      <c r="S37" s="10" t="n">
        <f aca="false">IF(S$1&gt;Inputs!$B$19,S19*Inputs!$B$21,Inputs!$B$34)</f>
        <v>0.21</v>
      </c>
      <c r="T37" s="10" t="n">
        <f aca="false">IF(T$1&gt;Inputs!$B$19,T19*Inputs!$B$21,Inputs!$B$34)</f>
        <v>0.21</v>
      </c>
      <c r="U37" s="10" t="n">
        <f aca="false">IF(U$1&gt;Inputs!$B$19,U19*Inputs!$B$21,Inputs!$B$34)</f>
        <v>0.21</v>
      </c>
      <c r="V37" s="10" t="n">
        <f aca="false">IF(V$1&gt;Inputs!$B$19,V19*Inputs!$B$21,Inputs!$B$34)</f>
        <v>0.21</v>
      </c>
      <c r="W37" s="10" t="n">
        <f aca="false">IF(W$1&gt;Inputs!$B$19,W19*Inputs!$B$21,Inputs!$B$34)</f>
        <v>0.21</v>
      </c>
      <c r="X37" s="10" t="n">
        <f aca="false">IF(X$1&gt;Inputs!$B$19,X19*Inputs!$B$21,Inputs!$B$34)</f>
        <v>0.21</v>
      </c>
      <c r="Y37" s="10" t="n">
        <f aca="false">IF(Y$1&gt;Inputs!$B$19,Y19*Inputs!$B$21,Inputs!$B$34)</f>
        <v>0.21</v>
      </c>
      <c r="Z37" s="10" t="n">
        <f aca="false">IF(Z$1&gt;Inputs!$B$19,Z19*Inputs!$B$21,Inputs!$B$34)</f>
        <v>0.21</v>
      </c>
      <c r="AA37" s="10" t="n">
        <f aca="false">IF(AA$1&gt;Inputs!$B$19,AA19*Inputs!$B$21,Inputs!$B$34)</f>
        <v>0.21</v>
      </c>
      <c r="AB37" s="10" t="n">
        <f aca="false">IF(AB$1&gt;Inputs!$B$19,AB19*Inputs!$B$21,Inputs!$B$34)</f>
        <v>0.21</v>
      </c>
      <c r="AC37" s="10" t="n">
        <f aca="false">IF(AC$1&gt;Inputs!$B$19,AC19*Inputs!$B$21,Inputs!$B$34)</f>
        <v>0.21</v>
      </c>
      <c r="AD37" s="10" t="n">
        <f aca="false">IF(AD$1&gt;Inputs!$B$19,AD19*Inputs!$B$21,Inputs!$B$34)</f>
        <v>0.21</v>
      </c>
      <c r="AE37" s="10" t="n">
        <f aca="false">IF(AE$1&gt;Inputs!$B$19,AE19*Inputs!$B$21,Inputs!$B$34)</f>
        <v>0.21</v>
      </c>
      <c r="AF37" s="10" t="n">
        <f aca="false">IF(AF$1&gt;Inputs!$B$19,AF19*Inputs!$B$21,Inputs!$B$34)</f>
        <v>0.21</v>
      </c>
      <c r="AG37" s="10" t="n">
        <f aca="false">IF(AG$1&gt;Inputs!$B$19,AG19*Inputs!$B$21,Inputs!$B$34)</f>
        <v>0.21</v>
      </c>
      <c r="AH37" s="10" t="n">
        <f aca="false">IF(AH$1&gt;Inputs!$B$19,AH19*Inputs!$B$21,Inputs!$B$34)</f>
        <v>0.21</v>
      </c>
      <c r="AI37" s="10" t="n">
        <f aca="false">IF(AI$1&gt;Inputs!$B$19,AI19*Inputs!$B$21,Inputs!$B$34)</f>
        <v>0.21</v>
      </c>
      <c r="AJ37" s="10" t="n">
        <f aca="false">IF(AJ$1&gt;Inputs!$B$19,AJ19*Inputs!$B$21,Inputs!$B$34)</f>
        <v>0.21</v>
      </c>
      <c r="AK37" s="10" t="n">
        <f aca="false">IF(AK$1&gt;Inputs!$B$19,AK19*Inputs!$B$21,Inputs!$B$34)</f>
        <v>0.21</v>
      </c>
      <c r="AL37" s="10" t="n">
        <f aca="false">IF(AL$1&gt;Inputs!$B$19,AL19*Inputs!$B$21,Inputs!$B$34)</f>
        <v>0.21</v>
      </c>
      <c r="AM37" s="10" t="n">
        <f aca="false">IF(AM$1&gt;Inputs!$B$19,AM19*Inputs!$B$21,Inputs!$B$34)</f>
        <v>0.21</v>
      </c>
      <c r="AN37" s="10" t="n">
        <f aca="false">IF(AN$1&gt;Inputs!$B$19,AN19*Inputs!$B$21,Inputs!$B$34)</f>
        <v>0.21</v>
      </c>
      <c r="AO37" s="10" t="n">
        <f aca="false">IF(AO$1&gt;Inputs!$B$19,AO19*Inputs!$B$21,Inputs!$B$34)</f>
        <v>0.21</v>
      </c>
      <c r="AP37" s="10" t="n">
        <f aca="false">IF(AP$1&gt;Inputs!$B$19,AP19*Inputs!$B$21,Inputs!$B$34)</f>
        <v>0.21</v>
      </c>
      <c r="AQ37" s="10" t="n">
        <f aca="false">IF(AQ$1&gt;Inputs!$B$19,AQ19*Inputs!$B$21,Inputs!$B$34)</f>
        <v>0.21</v>
      </c>
      <c r="AR37" s="10" t="n">
        <f aca="false">IF(AR$1&gt;Inputs!$B$19,AR19*Inputs!$B$21,Inputs!$B$34)</f>
        <v>0.21</v>
      </c>
      <c r="AS37" s="10" t="n">
        <f aca="false">IF(AS$1&gt;Inputs!$B$19,AS19*Inputs!$B$21,Inputs!$B$34)</f>
        <v>0.21</v>
      </c>
      <c r="AT37" s="10" t="n">
        <f aca="false">IF(AT$1&gt;Inputs!$B$19,AT19*Inputs!$B$21,Inputs!$B$34)</f>
        <v>0.21</v>
      </c>
      <c r="AU37" s="10" t="n">
        <f aca="false">IF(AU$1&gt;Inputs!$B$19,AU19*Inputs!$B$21,Inputs!$B$34)</f>
        <v>0.21</v>
      </c>
      <c r="AV37" s="10" t="n">
        <f aca="false">IF(AV$1&gt;Inputs!$B$19,AV19*Inputs!$B$21,Inputs!$B$34)</f>
        <v>0.21</v>
      </c>
      <c r="AW37" s="10" t="n">
        <f aca="false">IF(AW$1&gt;Inputs!$B$19,AW19*Inputs!$B$21,Inputs!$B$34)</f>
        <v>0.21</v>
      </c>
      <c r="AX37" s="10" t="n">
        <f aca="false">IF(AX$1&gt;Inputs!$B$19,AX19*Inputs!$B$21,Inputs!$B$34)</f>
        <v>0.21</v>
      </c>
      <c r="AY37" s="10" t="n">
        <f aca="false">IF(AY$1&gt;Inputs!$B$19,AY19*Inputs!$B$21,Inputs!$B$34)</f>
        <v>0.21</v>
      </c>
      <c r="AZ37" s="10" t="n">
        <f aca="false">IF(AZ$1&gt;Inputs!$B$19,AZ19*Inputs!$B$21,Inputs!$B$34)</f>
        <v>0.21</v>
      </c>
      <c r="BA37" s="10" t="n">
        <f aca="false">IF(BA$1&gt;Inputs!$B$19,BA19*Inputs!$B$21,Inputs!$B$34)</f>
        <v>0.21</v>
      </c>
      <c r="BB37" s="10" t="n">
        <f aca="false">IF(BB$1&gt;Inputs!$B$19,BB19*Inputs!$B$21,Inputs!$B$34)</f>
        <v>0.21</v>
      </c>
      <c r="BC37" s="10" t="n">
        <f aca="false">IF(BC$1&gt;Inputs!$B$19,BC19*Inputs!$B$21,Inputs!$B$34)</f>
        <v>0.21</v>
      </c>
      <c r="BD37" s="10" t="n">
        <f aca="false">IF(BD$1&gt;Inputs!$B$19,BD19*Inputs!$B$21,Inputs!$B$34)</f>
        <v>0.21</v>
      </c>
      <c r="BE37" s="10" t="n">
        <f aca="false">IF(BE$1&gt;Inputs!$B$19,BE19*Inputs!$B$21,Inputs!$B$34)</f>
        <v>0.21</v>
      </c>
      <c r="BF37" s="10" t="n">
        <f aca="false">IF(BF$1&gt;Inputs!$B$19,BF19*Inputs!$B$21,Inputs!$B$34)</f>
        <v>0.21</v>
      </c>
      <c r="BG37" s="10" t="n">
        <f aca="false">IF(BG$1&gt;Inputs!$B$19,BG19*Inputs!$B$21,Inputs!$B$34)</f>
        <v>0.21</v>
      </c>
      <c r="BH37" s="10" t="n">
        <f aca="false">IF(BH$1&gt;Inputs!$B$19,BH19*Inputs!$B$21,Inputs!$B$34)</f>
        <v>0.21</v>
      </c>
      <c r="BI37" s="10" t="n">
        <f aca="false">IF(BI$1&gt;Inputs!$B$19,BI19*Inputs!$B$21,Inputs!$B$34)</f>
        <v>0.21</v>
      </c>
      <c r="BJ37" s="10" t="n">
        <f aca="false">IF(BJ$1&gt;Inputs!$B$19,BJ19*Inputs!$B$21,Inputs!$B$34)</f>
        <v>0.21</v>
      </c>
      <c r="BK37" s="10" t="n">
        <f aca="false">IF(BK$1&gt;Inputs!$B$19,BK19*Inputs!$B$21,Inputs!$B$34)</f>
        <v>0.21</v>
      </c>
      <c r="BL37" s="10" t="n">
        <f aca="false">IF(BL$1&gt;Inputs!$B$19,BL19*Inputs!$B$21,Inputs!$B$34)</f>
        <v>0.21</v>
      </c>
      <c r="BM37" s="10" t="n">
        <f aca="false">IF(BM$1&gt;Inputs!$B$19,BM19*Inputs!$B$21,Inputs!$B$34)</f>
        <v>0.21</v>
      </c>
      <c r="BN37" s="10" t="n">
        <f aca="false">IF(BN$1&gt;Inputs!$B$19,BN19*Inputs!$B$21,Inputs!$B$34)</f>
        <v>0.21</v>
      </c>
      <c r="BO37" s="10" t="n">
        <f aca="false">IF(BO$1&gt;Inputs!$B$19,BO19*Inputs!$B$21,Inputs!$B$34)</f>
        <v>0.21</v>
      </c>
      <c r="BP37" s="10" t="n">
        <f aca="false">IF(BP$1&gt;Inputs!$B$19,BP19*Inputs!$B$21,Inputs!$B$34)</f>
        <v>0.21</v>
      </c>
      <c r="BQ37" s="10" t="n">
        <f aca="false">IF(BQ$1&gt;Inputs!$B$19,BQ19*Inputs!$B$21,Inputs!$B$34)</f>
        <v>0.21</v>
      </c>
      <c r="BR37" s="10" t="n">
        <f aca="false">IF(BR$1&gt;Inputs!$B$19,BR19*Inputs!$B$21,Inputs!$B$34)</f>
        <v>0.21</v>
      </c>
      <c r="BS37" s="10" t="n">
        <f aca="false">IF(BS$1&gt;Inputs!$B$19,BS19*Inputs!$B$21,Inputs!$B$34)</f>
        <v>0.21</v>
      </c>
      <c r="BT37" s="10" t="n">
        <f aca="false">IF(BT$1&gt;Inputs!$B$19,BT19*Inputs!$B$21,Inputs!$B$34)</f>
        <v>0.21</v>
      </c>
      <c r="BU37" s="10" t="n">
        <f aca="false">IF(BU$1&gt;Inputs!$B$19,BU19*Inputs!$B$21,Inputs!$B$34)</f>
        <v>0.21</v>
      </c>
      <c r="BV37" s="10" t="n">
        <f aca="false">IF(BV$1&gt;Inputs!$B$19,BV19*Inputs!$B$21,Inputs!$B$34)</f>
        <v>0.21</v>
      </c>
      <c r="BW37" s="10" t="n">
        <f aca="false">IF(BW$1&gt;Inputs!$B$19,BW19*Inputs!$B$21,Inputs!$B$34)</f>
        <v>0.21</v>
      </c>
      <c r="BX37" s="10" t="n">
        <f aca="false">IF(BX$1&gt;Inputs!$B$19,BX19*Inputs!$B$21,Inputs!$B$34)</f>
        <v>0.21</v>
      </c>
      <c r="BY37" s="10" t="n">
        <f aca="false">IF(BY$1&gt;Inputs!$B$19,BY19*Inputs!$B$21,Inputs!$B$34)</f>
        <v>0.21</v>
      </c>
      <c r="BZ37" s="10" t="n">
        <f aca="false">IF(BZ$1&gt;Inputs!$B$19,BZ19*Inputs!$B$21,Inputs!$B$34)</f>
        <v>0.21</v>
      </c>
      <c r="CA37" s="10" t="n">
        <f aca="false">IF(CA$1&gt;Inputs!$B$19,CA19*Inputs!$B$21,Inputs!$B$34)</f>
        <v>0.21</v>
      </c>
      <c r="CB37" s="10" t="n">
        <f aca="false">IF(CB$1&gt;Inputs!$B$19,CB19*Inputs!$B$21,Inputs!$B$34)</f>
        <v>0.21</v>
      </c>
      <c r="CC37" s="10" t="n">
        <f aca="false">IF(CC$1&gt;Inputs!$B$19,CC19*Inputs!$B$21,Inputs!$B$34)</f>
        <v>0.21</v>
      </c>
      <c r="CD37" s="10" t="n">
        <f aca="false">IF(CD$1&gt;Inputs!$B$19,CD19*Inputs!$B$21,Inputs!$B$34)</f>
        <v>0.21</v>
      </c>
      <c r="CE37" s="10" t="n">
        <f aca="false">IF(CE$1&gt;Inputs!$B$19,CE19*Inputs!$B$21,Inputs!$B$34)</f>
        <v>0.21</v>
      </c>
      <c r="CF37" s="10" t="n">
        <f aca="false">IF(CF$1&gt;Inputs!$B$19,CF19*Inputs!$B$21,Inputs!$B$34)</f>
        <v>0.21</v>
      </c>
      <c r="CG37" s="10" t="n">
        <f aca="false">IF(CG$1&gt;Inputs!$B$19,CG19*Inputs!$B$21,Inputs!$B$34)</f>
        <v>0.21</v>
      </c>
      <c r="CH37" s="10" t="n">
        <f aca="false">IF(CH$1&gt;Inputs!$B$19,CH19*Inputs!$B$21,Inputs!$B$34)</f>
        <v>0.21</v>
      </c>
      <c r="CI37" s="10" t="n">
        <f aca="false">IF(CI$1&gt;Inputs!$B$19,CI19*Inputs!$B$21,Inputs!$B$34)</f>
        <v>0.21</v>
      </c>
      <c r="CJ37" s="10" t="n">
        <f aca="false">IF(CJ$1&gt;Inputs!$B$19,CJ19*Inputs!$B$21,Inputs!$B$34)</f>
        <v>0.21</v>
      </c>
      <c r="CK37" s="10" t="n">
        <f aca="false">IF(CK$1&gt;Inputs!$B$19,CK19*Inputs!$B$21,Inputs!$B$34)</f>
        <v>0.21</v>
      </c>
      <c r="CL37" s="10" t="n">
        <f aca="false">IF(CL$1&gt;Inputs!$B$19,CL19*Inputs!$B$21,Inputs!$B$34)</f>
        <v>0.21</v>
      </c>
      <c r="CM37" s="10" t="n">
        <f aca="false">IF(CM$1&gt;Inputs!$B$19,CM19*Inputs!$B$21,Inputs!$B$34)</f>
        <v>0.21</v>
      </c>
      <c r="CN37" s="10" t="n">
        <f aca="false">IF(CN$1&gt;Inputs!$B$19,CN19*Inputs!$B$21,Inputs!$B$34)</f>
        <v>0.21</v>
      </c>
      <c r="CO37" s="10" t="n">
        <f aca="false">IF(CO$1&gt;Inputs!$B$19,CO19*Inputs!$B$21,Inputs!$B$34)</f>
        <v>0.21</v>
      </c>
      <c r="CP37" s="10" t="n">
        <f aca="false">IF(CP$1&gt;Inputs!$B$19,CP19*Inputs!$B$21,Inputs!$B$34)</f>
        <v>0.21</v>
      </c>
      <c r="CQ37" s="10" t="n">
        <f aca="false">IF(CQ$1&gt;Inputs!$B$19,CQ19*Inputs!$B$21,Inputs!$B$34)</f>
        <v>0.21</v>
      </c>
      <c r="CR37" s="10" t="n">
        <f aca="false">IF(CR$1&gt;Inputs!$B$19,CR19*Inputs!$B$21,Inputs!$B$34)</f>
        <v>0.21</v>
      </c>
      <c r="CS37" s="10" t="n">
        <f aca="false">IF(CS$1&gt;Inputs!$B$19,CS19*Inputs!$B$21,Inputs!$B$34)</f>
        <v>0.21</v>
      </c>
      <c r="CT37" s="10" t="n">
        <f aca="false">IF(CT$1&gt;Inputs!$B$19,CT19*Inputs!$B$21,Inputs!$B$34)</f>
        <v>0.21</v>
      </c>
      <c r="CU37" s="10" t="n">
        <f aca="false">IF(CU$1&gt;Inputs!$B$19,CU19*Inputs!$B$21,Inputs!$B$34)</f>
        <v>0.21</v>
      </c>
      <c r="CV37" s="10" t="n">
        <f aca="false">IF(CV$1&gt;Inputs!$B$19,CV19*Inputs!$B$21,Inputs!$B$34)</f>
        <v>0.21</v>
      </c>
      <c r="CW37" s="10" t="n">
        <f aca="false">IF(CW$1&gt;Inputs!$B$19,CW19*Inputs!$B$21,Inputs!$B$34)</f>
        <v>0.21</v>
      </c>
      <c r="CX37" s="10" t="n">
        <f aca="false">IF(CX$1&gt;Inputs!$B$19,CX19*Inputs!$B$21,Inputs!$B$34)</f>
        <v>0.21</v>
      </c>
      <c r="CY37" s="10" t="n">
        <f aca="false">IF(CY$1&gt;Inputs!$B$19,CY19*Inputs!$B$21,Inputs!$B$34)</f>
        <v>0.21</v>
      </c>
      <c r="CZ37" s="10" t="n">
        <f aca="false">IF(CZ$1&gt;Inputs!$B$19,CZ19*Inputs!$B$21,Inputs!$B$34)</f>
        <v>0.21</v>
      </c>
      <c r="DA37" s="10" t="n">
        <f aca="false">IF(DA$1&gt;Inputs!$B$19,DA19*Inputs!$B$21,Inputs!$B$34)</f>
        <v>0.21</v>
      </c>
      <c r="DB37" s="10" t="n">
        <f aca="false">IF(DB$1&gt;Inputs!$B$19,DB19*Inputs!$B$21,Inputs!$B$34)</f>
        <v>0.21</v>
      </c>
      <c r="DC37" s="10" t="n">
        <f aca="false">IF(DC$1&gt;Inputs!$B$19,DC19*Inputs!$B$21,Inputs!$B$34)</f>
        <v>0.21</v>
      </c>
      <c r="DD37" s="10" t="n">
        <f aca="false">IF(DD$1&gt;Inputs!$B$19,DD19*Inputs!$B$21,Inputs!$B$34)</f>
        <v>0.21</v>
      </c>
      <c r="DE37" s="10" t="n">
        <f aca="false">IF(DE$1&gt;Inputs!$B$19,DE19*Inputs!$B$21,Inputs!$B$34)</f>
        <v>0.21</v>
      </c>
      <c r="DF37" s="10" t="n">
        <f aca="false">IF(DF$1&gt;Inputs!$B$19,DF19*Inputs!$B$21,Inputs!$B$34)</f>
        <v>0.21</v>
      </c>
      <c r="DG37" s="10" t="n">
        <f aca="false">IF(DG$1&gt;Inputs!$B$19,DG19*Inputs!$B$21,Inputs!$B$34)</f>
        <v>0.21</v>
      </c>
      <c r="DH37" s="10" t="n">
        <f aca="false">IF(DH$1&gt;Inputs!$B$19,DH19*Inputs!$B$21,Inputs!$B$34)</f>
        <v>0.21</v>
      </c>
      <c r="DI37" s="10" t="n">
        <f aca="false">IF(DI$1&gt;Inputs!$B$19,DI19*Inputs!$B$21,Inputs!$B$34)</f>
        <v>0.21</v>
      </c>
      <c r="DJ37" s="10" t="n">
        <f aca="false">IF(DJ$1&gt;Inputs!$B$19,DJ19*Inputs!$B$21,Inputs!$B$34)</f>
        <v>0.21</v>
      </c>
      <c r="DK37" s="10" t="n">
        <f aca="false">IF(DK$1&gt;Inputs!$B$19,DK19*Inputs!$B$21,Inputs!$B$34)</f>
        <v>0.21</v>
      </c>
      <c r="DL37" s="10" t="n">
        <f aca="false">IF(DL$1&gt;Inputs!$B$19,DL19*Inputs!$B$21,Inputs!$B$34)</f>
        <v>0.21</v>
      </c>
      <c r="DM37" s="10" t="n">
        <f aca="false">IF(DM$1&gt;Inputs!$B$19,DM19*Inputs!$B$21,Inputs!$B$34)</f>
        <v>0.21</v>
      </c>
      <c r="DN37" s="10" t="n">
        <f aca="false">IF(DN$1&gt;Inputs!$B$19,DN19*Inputs!$B$21,Inputs!$B$34)</f>
        <v>0.21</v>
      </c>
      <c r="DO37" s="10" t="n">
        <f aca="false">IF(DO$1&gt;Inputs!$B$19,DO19*Inputs!$B$21,Inputs!$B$34)</f>
        <v>0.21</v>
      </c>
      <c r="DP37" s="10" t="n">
        <f aca="false">IF(DP$1&gt;Inputs!$B$19,DP19*Inputs!$B$21,Inputs!$B$34)</f>
        <v>0.21</v>
      </c>
      <c r="DQ37" s="10" t="n">
        <f aca="false">IF(DQ$1&gt;Inputs!$B$19,DQ19*Inputs!$B$21,Inputs!$B$34)</f>
        <v>0.21</v>
      </c>
      <c r="DR37" s="10" t="n">
        <f aca="false">IF(DR$1&gt;Inputs!$B$19,DR19*Inputs!$B$21,Inputs!$B$34)</f>
        <v>0.21</v>
      </c>
    </row>
    <row r="38" customFormat="false" ht="15" hidden="false" customHeight="false" outlineLevel="0" collapsed="false">
      <c r="A38" s="9" t="s">
        <v>207</v>
      </c>
      <c r="B38" s="11" t="n">
        <f aca="false">B36+B37</f>
        <v>0</v>
      </c>
      <c r="C38" s="11" t="n">
        <f aca="false">C36+C37</f>
        <v>3.58333333333333</v>
      </c>
      <c r="D38" s="11" t="n">
        <f aca="false">D36+D37</f>
        <v>3.58333333333333</v>
      </c>
      <c r="E38" s="11" t="n">
        <f aca="false">E36+E37</f>
        <v>3.58333333333333</v>
      </c>
      <c r="F38" s="11" t="n">
        <f aca="false">F36+F37</f>
        <v>3.58333333333333</v>
      </c>
      <c r="G38" s="11" t="n">
        <f aca="false">G36+G37</f>
        <v>3.58333333333333</v>
      </c>
      <c r="H38" s="11" t="n">
        <f aca="false">H36+H37</f>
        <v>3.58333333333333</v>
      </c>
      <c r="I38" s="11" t="n">
        <f aca="false">I36+I37</f>
        <v>3.58333333333333</v>
      </c>
      <c r="J38" s="11" t="n">
        <f aca="false">J36+J37</f>
        <v>3.58333333333333</v>
      </c>
      <c r="K38" s="11" t="n">
        <f aca="false">K36+K37</f>
        <v>3.58333333333333</v>
      </c>
      <c r="L38" s="11" t="n">
        <f aca="false">L36+L37</f>
        <v>3.58333333333333</v>
      </c>
      <c r="M38" s="11" t="n">
        <f aca="false">M36+M37</f>
        <v>3.58333333333333</v>
      </c>
      <c r="N38" s="11" t="n">
        <f aca="false">N36+N37</f>
        <v>3.58333333333333</v>
      </c>
      <c r="O38" s="11" t="n">
        <f aca="false">O36+O37</f>
        <v>0.15</v>
      </c>
      <c r="P38" s="11" t="n">
        <f aca="false">P36+P37</f>
        <v>0.15</v>
      </c>
      <c r="Q38" s="11" t="n">
        <f aca="false">Q36+Q37</f>
        <v>0.21</v>
      </c>
      <c r="R38" s="11" t="n">
        <f aca="false">R36+R37</f>
        <v>0.21</v>
      </c>
      <c r="S38" s="11" t="n">
        <f aca="false">S36+S37</f>
        <v>0.21</v>
      </c>
      <c r="T38" s="11" t="n">
        <f aca="false">T36+T37</f>
        <v>0.21</v>
      </c>
      <c r="U38" s="11" t="n">
        <f aca="false">U36+U37</f>
        <v>0.21</v>
      </c>
      <c r="V38" s="11" t="n">
        <f aca="false">V36+V37</f>
        <v>0.21</v>
      </c>
      <c r="W38" s="11" t="n">
        <f aca="false">W36+W37</f>
        <v>0.21</v>
      </c>
      <c r="X38" s="11" t="n">
        <f aca="false">X36+X37</f>
        <v>0.21</v>
      </c>
      <c r="Y38" s="11" t="n">
        <f aca="false">Y36+Y37</f>
        <v>0.21</v>
      </c>
      <c r="Z38" s="11" t="n">
        <f aca="false">Z36+Z37</f>
        <v>0.21</v>
      </c>
      <c r="AA38" s="11" t="n">
        <f aca="false">AA36+AA37</f>
        <v>0.21</v>
      </c>
      <c r="AB38" s="11" t="n">
        <f aca="false">AB36+AB37</f>
        <v>0.21</v>
      </c>
      <c r="AC38" s="11" t="n">
        <f aca="false">AC36+AC37</f>
        <v>0.21</v>
      </c>
      <c r="AD38" s="11" t="n">
        <f aca="false">AD36+AD37</f>
        <v>0.21</v>
      </c>
      <c r="AE38" s="11" t="n">
        <f aca="false">AE36+AE37</f>
        <v>0.21</v>
      </c>
      <c r="AF38" s="11" t="n">
        <f aca="false">AF36+AF37</f>
        <v>0.21</v>
      </c>
      <c r="AG38" s="11" t="n">
        <f aca="false">AG36+AG37</f>
        <v>0.21</v>
      </c>
      <c r="AH38" s="11" t="n">
        <f aca="false">AH36+AH37</f>
        <v>0.21</v>
      </c>
      <c r="AI38" s="11" t="n">
        <f aca="false">AI36+AI37</f>
        <v>0.21</v>
      </c>
      <c r="AJ38" s="11" t="n">
        <f aca="false">AJ36+AJ37</f>
        <v>0.21</v>
      </c>
      <c r="AK38" s="11" t="n">
        <f aca="false">AK36+AK37</f>
        <v>0.21</v>
      </c>
      <c r="AL38" s="11" t="n">
        <f aca="false">AL36+AL37</f>
        <v>0.21</v>
      </c>
      <c r="AM38" s="11" t="n">
        <f aca="false">AM36+AM37</f>
        <v>0.21</v>
      </c>
      <c r="AN38" s="11" t="n">
        <f aca="false">AN36+AN37</f>
        <v>0.21</v>
      </c>
      <c r="AO38" s="11" t="n">
        <f aca="false">AO36+AO37</f>
        <v>0.21</v>
      </c>
      <c r="AP38" s="11" t="n">
        <f aca="false">AP36+AP37</f>
        <v>0.21</v>
      </c>
      <c r="AQ38" s="11" t="n">
        <f aca="false">AQ36+AQ37</f>
        <v>0.21</v>
      </c>
      <c r="AR38" s="11" t="n">
        <f aca="false">AR36+AR37</f>
        <v>0.21</v>
      </c>
      <c r="AS38" s="11" t="n">
        <f aca="false">AS36+AS37</f>
        <v>0.21</v>
      </c>
      <c r="AT38" s="11" t="n">
        <f aca="false">AT36+AT37</f>
        <v>0.21</v>
      </c>
      <c r="AU38" s="11" t="n">
        <f aca="false">AU36+AU37</f>
        <v>0.21</v>
      </c>
      <c r="AV38" s="11" t="n">
        <f aca="false">AV36+AV37</f>
        <v>0.21</v>
      </c>
      <c r="AW38" s="11" t="n">
        <f aca="false">AW36+AW37</f>
        <v>0.21</v>
      </c>
      <c r="AX38" s="11" t="n">
        <f aca="false">AX36+AX37</f>
        <v>0.21</v>
      </c>
      <c r="AY38" s="11" t="n">
        <f aca="false">AY36+AY37</f>
        <v>0.21</v>
      </c>
      <c r="AZ38" s="11" t="n">
        <f aca="false">AZ36+AZ37</f>
        <v>0.21</v>
      </c>
      <c r="BA38" s="11" t="n">
        <f aca="false">BA36+BA37</f>
        <v>0.21</v>
      </c>
      <c r="BB38" s="11" t="n">
        <f aca="false">BB36+BB37</f>
        <v>0.21</v>
      </c>
      <c r="BC38" s="11" t="n">
        <f aca="false">BC36+BC37</f>
        <v>0.21</v>
      </c>
      <c r="BD38" s="11" t="n">
        <f aca="false">BD36+BD37</f>
        <v>0.21</v>
      </c>
      <c r="BE38" s="11" t="n">
        <f aca="false">BE36+BE37</f>
        <v>0.21</v>
      </c>
      <c r="BF38" s="11" t="n">
        <f aca="false">BF36+BF37</f>
        <v>0.21</v>
      </c>
      <c r="BG38" s="11" t="n">
        <f aca="false">BG36+BG37</f>
        <v>0.21</v>
      </c>
      <c r="BH38" s="11" t="n">
        <f aca="false">BH36+BH37</f>
        <v>0.21</v>
      </c>
      <c r="BI38" s="11" t="n">
        <f aca="false">BI36+BI37</f>
        <v>0.21</v>
      </c>
      <c r="BJ38" s="11" t="n">
        <f aca="false">BJ36+BJ37</f>
        <v>0.21</v>
      </c>
      <c r="BK38" s="11" t="n">
        <f aca="false">BK36+BK37</f>
        <v>0.21</v>
      </c>
      <c r="BL38" s="11" t="n">
        <f aca="false">BL36+BL37</f>
        <v>0.21</v>
      </c>
      <c r="BM38" s="11" t="n">
        <f aca="false">BM36+BM37</f>
        <v>0.21</v>
      </c>
      <c r="BN38" s="11" t="n">
        <f aca="false">BN36+BN37</f>
        <v>0.21</v>
      </c>
      <c r="BO38" s="11" t="n">
        <f aca="false">BO36+BO37</f>
        <v>0.21</v>
      </c>
      <c r="BP38" s="11" t="n">
        <f aca="false">BP36+BP37</f>
        <v>0.21</v>
      </c>
      <c r="BQ38" s="11" t="n">
        <f aca="false">BQ36+BQ37</f>
        <v>0.21</v>
      </c>
      <c r="BR38" s="11" t="n">
        <f aca="false">BR36+BR37</f>
        <v>0.21</v>
      </c>
      <c r="BS38" s="11" t="n">
        <f aca="false">BS36+BS37</f>
        <v>0.21</v>
      </c>
      <c r="BT38" s="11" t="n">
        <f aca="false">BT36+BT37</f>
        <v>0.21</v>
      </c>
      <c r="BU38" s="11" t="n">
        <f aca="false">BU36+BU37</f>
        <v>0.21</v>
      </c>
      <c r="BV38" s="11" t="n">
        <f aca="false">BV36+BV37</f>
        <v>0.21</v>
      </c>
      <c r="BW38" s="11" t="n">
        <f aca="false">BW36+BW37</f>
        <v>0.21</v>
      </c>
      <c r="BX38" s="11" t="n">
        <f aca="false">BX36+BX37</f>
        <v>0.21</v>
      </c>
      <c r="BY38" s="11" t="n">
        <f aca="false">BY36+BY37</f>
        <v>0.21</v>
      </c>
      <c r="BZ38" s="11" t="n">
        <f aca="false">BZ36+BZ37</f>
        <v>0.21</v>
      </c>
      <c r="CA38" s="11" t="n">
        <f aca="false">CA36+CA37</f>
        <v>0.21</v>
      </c>
      <c r="CB38" s="11" t="n">
        <f aca="false">CB36+CB37</f>
        <v>0.21</v>
      </c>
      <c r="CC38" s="11" t="n">
        <f aca="false">CC36+CC37</f>
        <v>0.21</v>
      </c>
      <c r="CD38" s="11" t="n">
        <f aca="false">CD36+CD37</f>
        <v>0.21</v>
      </c>
      <c r="CE38" s="11" t="n">
        <f aca="false">CE36+CE37</f>
        <v>0.21</v>
      </c>
      <c r="CF38" s="11" t="n">
        <f aca="false">CF36+CF37</f>
        <v>0.21</v>
      </c>
      <c r="CG38" s="11" t="n">
        <f aca="false">CG36+CG37</f>
        <v>0.21</v>
      </c>
      <c r="CH38" s="11" t="n">
        <f aca="false">CH36+CH37</f>
        <v>0.21</v>
      </c>
      <c r="CI38" s="11" t="n">
        <f aca="false">CI36+CI37</f>
        <v>0.21</v>
      </c>
      <c r="CJ38" s="11" t="n">
        <f aca="false">CJ36+CJ37</f>
        <v>0.21</v>
      </c>
      <c r="CK38" s="11" t="n">
        <f aca="false">CK36+CK37</f>
        <v>0.21</v>
      </c>
      <c r="CL38" s="11" t="n">
        <f aca="false">CL36+CL37</f>
        <v>0.21</v>
      </c>
      <c r="CM38" s="11" t="n">
        <f aca="false">CM36+CM37</f>
        <v>0.21</v>
      </c>
      <c r="CN38" s="11" t="n">
        <f aca="false">CN36+CN37</f>
        <v>0.21</v>
      </c>
      <c r="CO38" s="11" t="n">
        <f aca="false">CO36+CO37</f>
        <v>0.21</v>
      </c>
      <c r="CP38" s="11" t="n">
        <f aca="false">CP36+CP37</f>
        <v>0.21</v>
      </c>
      <c r="CQ38" s="11" t="n">
        <f aca="false">CQ36+CQ37</f>
        <v>0.21</v>
      </c>
      <c r="CR38" s="11" t="n">
        <f aca="false">CR36+CR37</f>
        <v>0.21</v>
      </c>
      <c r="CS38" s="11" t="n">
        <f aca="false">CS36+CS37</f>
        <v>0.21</v>
      </c>
      <c r="CT38" s="11" t="n">
        <f aca="false">CT36+CT37</f>
        <v>0.21</v>
      </c>
      <c r="CU38" s="11" t="n">
        <f aca="false">CU36+CU37</f>
        <v>0.21</v>
      </c>
      <c r="CV38" s="11" t="n">
        <f aca="false">CV36+CV37</f>
        <v>0.21</v>
      </c>
      <c r="CW38" s="11" t="n">
        <f aca="false">CW36+CW37</f>
        <v>0.21</v>
      </c>
      <c r="CX38" s="11" t="n">
        <f aca="false">CX36+CX37</f>
        <v>0.21</v>
      </c>
      <c r="CY38" s="11" t="n">
        <f aca="false">CY36+CY37</f>
        <v>0.21</v>
      </c>
      <c r="CZ38" s="11" t="n">
        <f aca="false">CZ36+CZ37</f>
        <v>0.21</v>
      </c>
      <c r="DA38" s="11" t="n">
        <f aca="false">DA36+DA37</f>
        <v>0.21</v>
      </c>
      <c r="DB38" s="11" t="n">
        <f aca="false">DB36+DB37</f>
        <v>0.21</v>
      </c>
      <c r="DC38" s="11" t="n">
        <f aca="false">DC36+DC37</f>
        <v>0.21</v>
      </c>
      <c r="DD38" s="11" t="n">
        <f aca="false">DD36+DD37</f>
        <v>0.21</v>
      </c>
      <c r="DE38" s="11" t="n">
        <f aca="false">DE36+DE37</f>
        <v>0.21</v>
      </c>
      <c r="DF38" s="11" t="n">
        <f aca="false">DF36+DF37</f>
        <v>0.21</v>
      </c>
      <c r="DG38" s="11" t="n">
        <f aca="false">DG36+DG37</f>
        <v>0.21</v>
      </c>
      <c r="DH38" s="11" t="n">
        <f aca="false">DH36+DH37</f>
        <v>0.21</v>
      </c>
      <c r="DI38" s="11" t="n">
        <f aca="false">DI36+DI37</f>
        <v>0.21</v>
      </c>
      <c r="DJ38" s="11" t="n">
        <f aca="false">DJ36+DJ37</f>
        <v>0.21</v>
      </c>
      <c r="DK38" s="11" t="n">
        <f aca="false">DK36+DK37</f>
        <v>0.21</v>
      </c>
      <c r="DL38" s="11" t="n">
        <f aca="false">DL36+DL37</f>
        <v>0.21</v>
      </c>
      <c r="DM38" s="11" t="n">
        <f aca="false">DM36+DM37</f>
        <v>0.21</v>
      </c>
      <c r="DN38" s="11" t="n">
        <f aca="false">DN36+DN37</f>
        <v>0.21</v>
      </c>
      <c r="DO38" s="11" t="n">
        <f aca="false">DO36+DO37</f>
        <v>0.21</v>
      </c>
      <c r="DP38" s="11" t="n">
        <f aca="false">DP36+DP37</f>
        <v>0.21</v>
      </c>
      <c r="DQ38" s="11" t="n">
        <f aca="false">DQ36+DQ37</f>
        <v>0.21</v>
      </c>
      <c r="DR38" s="11" t="n">
        <f aca="false">DR36+DR37</f>
        <v>0.21</v>
      </c>
    </row>
    <row r="39" customFormat="false" ht="15" hidden="false" customHeight="false" outlineLevel="0" collapsed="false">
      <c r="A39" s="9" t="s">
        <v>40</v>
      </c>
      <c r="B39" s="10" t="n">
        <f aca="false">SUM(INDEX($B$38:B38,Inputs!$B$35,MAX(Inputs!$B$35,COLUMN()-Inputs!$B$20)): B38)/Inputs!$B$20</f>
        <v>0</v>
      </c>
      <c r="C39" s="10" t="n">
        <f aca="false">SUM(INDEX($B$38:C38,Inputs!$B$35,MAX(Inputs!$B$35,COLUMN()-Inputs!$B$20)): C38)/Inputs!$B$20</f>
        <v>0.0597222222222222</v>
      </c>
      <c r="D39" s="10" t="n">
        <f aca="false">SUM(INDEX($B$38:D38,Inputs!$B$35,MAX(Inputs!$B$35,COLUMN()-Inputs!$B$20)): D38)/Inputs!$B$20</f>
        <v>0.119444444444444</v>
      </c>
      <c r="E39" s="10" t="n">
        <f aca="false">SUM(INDEX($B$38:E38,Inputs!$B$35,MAX(Inputs!$B$35,COLUMN()-Inputs!$B$20)): E38)/Inputs!$B$20</f>
        <v>0.179166666666667</v>
      </c>
      <c r="F39" s="10" t="n">
        <f aca="false">SUM(INDEX($B$38:F38,Inputs!$B$35,MAX(Inputs!$B$35,COLUMN()-Inputs!$B$20)): F38)/Inputs!$B$20</f>
        <v>0.238888888888889</v>
      </c>
      <c r="G39" s="10" t="n">
        <f aca="false">SUM(INDEX($B$38:G38,Inputs!$B$35,MAX(Inputs!$B$35,COLUMN()-Inputs!$B$20)): G38)/Inputs!$B$20</f>
        <v>0.298611111111111</v>
      </c>
      <c r="H39" s="10" t="n">
        <f aca="false">SUM(INDEX($B$38:H38,Inputs!$B$35,MAX(Inputs!$B$35,COLUMN()-Inputs!$B$20)): H38)/Inputs!$B$20</f>
        <v>0.358333333333333</v>
      </c>
      <c r="I39" s="10" t="n">
        <f aca="false">SUM(INDEX($B$38:I38,Inputs!$B$35,MAX(Inputs!$B$35,COLUMN()-Inputs!$B$20)): I38)/Inputs!$B$20</f>
        <v>0.418055555555556</v>
      </c>
      <c r="J39" s="10" t="n">
        <f aca="false">SUM(INDEX($B$38:J38,Inputs!$B$35,MAX(Inputs!$B$35,COLUMN()-Inputs!$B$20)): J38)/Inputs!$B$20</f>
        <v>0.477777777777778</v>
      </c>
      <c r="K39" s="10" t="n">
        <f aca="false">SUM(INDEX($B$38:K38,Inputs!$B$35,MAX(Inputs!$B$35,COLUMN()-Inputs!$B$20)): K38)/Inputs!$B$20</f>
        <v>0.5375</v>
      </c>
      <c r="L39" s="10" t="n">
        <f aca="false">SUM(INDEX($B$38:L38,Inputs!$B$35,MAX(Inputs!$B$35,COLUMN()-Inputs!$B$20)): L38)/Inputs!$B$20</f>
        <v>0.597222222222222</v>
      </c>
      <c r="M39" s="10" t="n">
        <f aca="false">SUM(INDEX($B$38:M38,Inputs!$B$35,MAX(Inputs!$B$35,COLUMN()-Inputs!$B$20)): M38)/Inputs!$B$20</f>
        <v>0.656944444444445</v>
      </c>
      <c r="N39" s="10" t="n">
        <f aca="false">SUM(INDEX($B$38:N38,Inputs!$B$35,MAX(Inputs!$B$35,COLUMN()-Inputs!$B$20)): N38)/Inputs!$B$20</f>
        <v>0.716666666666667</v>
      </c>
      <c r="O39" s="10" t="n">
        <f aca="false">SUM(INDEX($B$38:O38,Inputs!$B$35,MAX(Inputs!$B$35,COLUMN()-Inputs!$B$20)): O38)/Inputs!$B$20</f>
        <v>0.719166666666667</v>
      </c>
      <c r="P39" s="10" t="n">
        <f aca="false">SUM(INDEX($B$38:P38,Inputs!$B$35,MAX(Inputs!$B$35,COLUMN()-Inputs!$B$20)): P38)/Inputs!$B$20</f>
        <v>0.721666666666667</v>
      </c>
      <c r="Q39" s="10" t="n">
        <f aca="false">SUM(INDEX($B$38:Q38,Inputs!$B$35,MAX(Inputs!$B$35,COLUMN()-Inputs!$B$20)): Q38)/Inputs!$B$20</f>
        <v>0.725166666666667</v>
      </c>
      <c r="R39" s="10" t="n">
        <f aca="false">SUM(INDEX($B$38:R38,Inputs!$B$35,MAX(Inputs!$B$35,COLUMN()-Inputs!$B$20)): R38)/Inputs!$B$20</f>
        <v>0.728666666666667</v>
      </c>
      <c r="S39" s="10" t="n">
        <f aca="false">SUM(INDEX($B$38:S38,Inputs!$B$35,MAX(Inputs!$B$35,COLUMN()-Inputs!$B$20)): S38)/Inputs!$B$20</f>
        <v>0.732166666666667</v>
      </c>
      <c r="T39" s="10" t="n">
        <f aca="false">SUM(INDEX($B$38:T38,Inputs!$B$35,MAX(Inputs!$B$35,COLUMN()-Inputs!$B$20)): T38)/Inputs!$B$20</f>
        <v>0.735666666666667</v>
      </c>
      <c r="U39" s="10" t="n">
        <f aca="false">SUM(INDEX($B$38:U38,Inputs!$B$35,MAX(Inputs!$B$35,COLUMN()-Inputs!$B$20)): U38)/Inputs!$B$20</f>
        <v>0.739166666666667</v>
      </c>
      <c r="V39" s="10" t="n">
        <f aca="false">SUM(INDEX($B$38:V38,Inputs!$B$35,MAX(Inputs!$B$35,COLUMN()-Inputs!$B$20)): V38)/Inputs!$B$20</f>
        <v>0.742666666666667</v>
      </c>
      <c r="W39" s="10" t="n">
        <f aca="false">SUM(INDEX($B$38:W38,Inputs!$B$35,MAX(Inputs!$B$35,COLUMN()-Inputs!$B$20)): W38)/Inputs!$B$20</f>
        <v>0.746166666666667</v>
      </c>
      <c r="X39" s="10" t="n">
        <f aca="false">SUM(INDEX($B$38:X38,Inputs!$B$35,MAX(Inputs!$B$35,COLUMN()-Inputs!$B$20)): X38)/Inputs!$B$20</f>
        <v>0.749666666666667</v>
      </c>
      <c r="Y39" s="10" t="n">
        <f aca="false">SUM(INDEX($B$38:Y38,Inputs!$B$35,MAX(Inputs!$B$35,COLUMN()-Inputs!$B$20)): Y38)/Inputs!$B$20</f>
        <v>0.753166666666667</v>
      </c>
      <c r="Z39" s="10" t="n">
        <f aca="false">SUM(INDEX($B$38:Z38,Inputs!$B$35,MAX(Inputs!$B$35,COLUMN()-Inputs!$B$20)): Z38)/Inputs!$B$20</f>
        <v>0.756666666666667</v>
      </c>
      <c r="AA39" s="10" t="n">
        <f aca="false">SUM(INDEX($B$38:AA38,Inputs!$B$35,MAX(Inputs!$B$35,COLUMN()-Inputs!$B$20)): AA38)/Inputs!$B$20</f>
        <v>0.760166666666667</v>
      </c>
      <c r="AB39" s="10" t="n">
        <f aca="false">SUM(INDEX($B$38:AB38,Inputs!$B$35,MAX(Inputs!$B$35,COLUMN()-Inputs!$B$20)): AB38)/Inputs!$B$20</f>
        <v>0.763666666666667</v>
      </c>
      <c r="AC39" s="10" t="n">
        <f aca="false">SUM(INDEX($B$38:AC38,Inputs!$B$35,MAX(Inputs!$B$35,COLUMN()-Inputs!$B$20)): AC38)/Inputs!$B$20</f>
        <v>0.767166666666667</v>
      </c>
      <c r="AD39" s="10" t="n">
        <f aca="false">SUM(INDEX($B$38:AD38,Inputs!$B$35,MAX(Inputs!$B$35,COLUMN()-Inputs!$B$20)): AD38)/Inputs!$B$20</f>
        <v>0.770666666666667</v>
      </c>
      <c r="AE39" s="10" t="n">
        <f aca="false">SUM(INDEX($B$38:AE38,Inputs!$B$35,MAX(Inputs!$B$35,COLUMN()-Inputs!$B$20)): AE38)/Inputs!$B$20</f>
        <v>0.774166666666667</v>
      </c>
      <c r="AF39" s="10" t="n">
        <f aca="false">SUM(INDEX($B$38:AF38,Inputs!$B$35,MAX(Inputs!$B$35,COLUMN()-Inputs!$B$20)): AF38)/Inputs!$B$20</f>
        <v>0.777666666666667</v>
      </c>
      <c r="AG39" s="10" t="n">
        <f aca="false">SUM(INDEX($B$38:AG38,Inputs!$B$35,MAX(Inputs!$B$35,COLUMN()-Inputs!$B$20)): AG38)/Inputs!$B$20</f>
        <v>0.781166666666667</v>
      </c>
      <c r="AH39" s="10" t="n">
        <f aca="false">SUM(INDEX($B$38:AH38,Inputs!$B$35,MAX(Inputs!$B$35,COLUMN()-Inputs!$B$20)): AH38)/Inputs!$B$20</f>
        <v>0.784666666666667</v>
      </c>
      <c r="AI39" s="10" t="n">
        <f aca="false">SUM(INDEX($B$38:AI38,Inputs!$B$35,MAX(Inputs!$B$35,COLUMN()-Inputs!$B$20)): AI38)/Inputs!$B$20</f>
        <v>0.788166666666667</v>
      </c>
      <c r="AJ39" s="10" t="n">
        <f aca="false">SUM(INDEX($B$38:AJ38,Inputs!$B$35,MAX(Inputs!$B$35,COLUMN()-Inputs!$B$20)): AJ38)/Inputs!$B$20</f>
        <v>0.791666666666667</v>
      </c>
      <c r="AK39" s="10" t="n">
        <f aca="false">SUM(INDEX($B$38:AK38,Inputs!$B$35,MAX(Inputs!$B$35,COLUMN()-Inputs!$B$20)): AK38)/Inputs!$B$20</f>
        <v>0.795166666666667</v>
      </c>
      <c r="AL39" s="10" t="n">
        <f aca="false">SUM(INDEX($B$38:AL38,Inputs!$B$35,MAX(Inputs!$B$35,COLUMN()-Inputs!$B$20)): AL38)/Inputs!$B$20</f>
        <v>0.798666666666667</v>
      </c>
      <c r="AM39" s="10" t="n">
        <f aca="false">SUM(INDEX($B$38:AM38,Inputs!$B$35,MAX(Inputs!$B$35,COLUMN()-Inputs!$B$20)): AM38)/Inputs!$B$20</f>
        <v>0.802166666666667</v>
      </c>
      <c r="AN39" s="10" t="n">
        <f aca="false">SUM(INDEX($B$38:AN38,Inputs!$B$35,MAX(Inputs!$B$35,COLUMN()-Inputs!$B$20)): AN38)/Inputs!$B$20</f>
        <v>0.805666666666667</v>
      </c>
      <c r="AO39" s="10" t="n">
        <f aca="false">SUM(INDEX($B$38:AO38,Inputs!$B$35,MAX(Inputs!$B$35,COLUMN()-Inputs!$B$20)): AO38)/Inputs!$B$20</f>
        <v>0.809166666666667</v>
      </c>
      <c r="AP39" s="10" t="n">
        <f aca="false">SUM(INDEX($B$38:AP38,Inputs!$B$35,MAX(Inputs!$B$35,COLUMN()-Inputs!$B$20)): AP38)/Inputs!$B$20</f>
        <v>0.812666666666667</v>
      </c>
      <c r="AQ39" s="10" t="n">
        <f aca="false">SUM(INDEX($B$38:AQ38,Inputs!$B$35,MAX(Inputs!$B$35,COLUMN()-Inputs!$B$20)): AQ38)/Inputs!$B$20</f>
        <v>0.816166666666667</v>
      </c>
      <c r="AR39" s="10" t="n">
        <f aca="false">SUM(INDEX($B$38:AR38,Inputs!$B$35,MAX(Inputs!$B$35,COLUMN()-Inputs!$B$20)): AR38)/Inputs!$B$20</f>
        <v>0.819666666666667</v>
      </c>
      <c r="AS39" s="10" t="n">
        <f aca="false">SUM(INDEX($B$38:AS38,Inputs!$B$35,MAX(Inputs!$B$35,COLUMN()-Inputs!$B$20)): AS38)/Inputs!$B$20</f>
        <v>0.823166666666667</v>
      </c>
      <c r="AT39" s="10" t="n">
        <f aca="false">SUM(INDEX($B$38:AT38,Inputs!$B$35,MAX(Inputs!$B$35,COLUMN()-Inputs!$B$20)): AT38)/Inputs!$B$20</f>
        <v>0.826666666666667</v>
      </c>
      <c r="AU39" s="10" t="n">
        <f aca="false">SUM(INDEX($B$38:AU38,Inputs!$B$35,MAX(Inputs!$B$35,COLUMN()-Inputs!$B$20)): AU38)/Inputs!$B$20</f>
        <v>0.830166666666667</v>
      </c>
      <c r="AV39" s="10" t="n">
        <f aca="false">SUM(INDEX($B$38:AV38,Inputs!$B$35,MAX(Inputs!$B$35,COLUMN()-Inputs!$B$20)): AV38)/Inputs!$B$20</f>
        <v>0.833666666666667</v>
      </c>
      <c r="AW39" s="10" t="n">
        <f aca="false">SUM(INDEX($B$38:AW38,Inputs!$B$35,MAX(Inputs!$B$35,COLUMN()-Inputs!$B$20)): AW38)/Inputs!$B$20</f>
        <v>0.837166666666667</v>
      </c>
      <c r="AX39" s="10" t="n">
        <f aca="false">SUM(INDEX($B$38:AX38,Inputs!$B$35,MAX(Inputs!$B$35,COLUMN()-Inputs!$B$20)): AX38)/Inputs!$B$20</f>
        <v>0.840666666666667</v>
      </c>
      <c r="AY39" s="10" t="n">
        <f aca="false">SUM(INDEX($B$38:AY38,Inputs!$B$35,MAX(Inputs!$B$35,COLUMN()-Inputs!$B$20)): AY38)/Inputs!$B$20</f>
        <v>0.844166666666667</v>
      </c>
      <c r="AZ39" s="10" t="n">
        <f aca="false">SUM(INDEX($B$38:AZ38,Inputs!$B$35,MAX(Inputs!$B$35,COLUMN()-Inputs!$B$20)): AZ38)/Inputs!$B$20</f>
        <v>0.847666666666667</v>
      </c>
      <c r="BA39" s="10" t="n">
        <f aca="false">SUM(INDEX($B$38:BA38,Inputs!$B$35,MAX(Inputs!$B$35,COLUMN()-Inputs!$B$20)): BA38)/Inputs!$B$20</f>
        <v>0.851166666666667</v>
      </c>
      <c r="BB39" s="10" t="n">
        <f aca="false">SUM(INDEX($B$38:BB38,Inputs!$B$35,MAX(Inputs!$B$35,COLUMN()-Inputs!$B$20)): BB38)/Inputs!$B$20</f>
        <v>0.854666666666667</v>
      </c>
      <c r="BC39" s="10" t="n">
        <f aca="false">SUM(INDEX($B$38:BC38,Inputs!$B$35,MAX(Inputs!$B$35,COLUMN()-Inputs!$B$20)): BC38)/Inputs!$B$20</f>
        <v>0.858166666666667</v>
      </c>
      <c r="BD39" s="10" t="n">
        <f aca="false">SUM(INDEX($B$38:BD38,Inputs!$B$35,MAX(Inputs!$B$35,COLUMN()-Inputs!$B$20)): BD38)/Inputs!$B$20</f>
        <v>0.861666666666667</v>
      </c>
      <c r="BE39" s="10" t="n">
        <f aca="false">SUM(INDEX($B$38:BE38,Inputs!$B$35,MAX(Inputs!$B$35,COLUMN()-Inputs!$B$20)): BE38)/Inputs!$B$20</f>
        <v>0.865166666666667</v>
      </c>
      <c r="BF39" s="10" t="n">
        <f aca="false">SUM(INDEX($B$38:BF38,Inputs!$B$35,MAX(Inputs!$B$35,COLUMN()-Inputs!$B$20)): BF38)/Inputs!$B$20</f>
        <v>0.868666666666667</v>
      </c>
      <c r="BG39" s="10" t="n">
        <f aca="false">SUM(INDEX($B$38:BG38,Inputs!$B$35,MAX(Inputs!$B$35,COLUMN()-Inputs!$B$20)): BG38)/Inputs!$B$20</f>
        <v>0.872166666666667</v>
      </c>
      <c r="BH39" s="10" t="n">
        <f aca="false">SUM(INDEX($B$38:BH38,Inputs!$B$35,MAX(Inputs!$B$35,COLUMN()-Inputs!$B$20)): BH38)/Inputs!$B$20</f>
        <v>0.875666666666667</v>
      </c>
      <c r="BI39" s="10" t="n">
        <f aca="false">SUM(INDEX($B$38:BI38,Inputs!$B$35,MAX(Inputs!$B$35,COLUMN()-Inputs!$B$20)): BI38)/Inputs!$B$20</f>
        <v>0.879166666666667</v>
      </c>
      <c r="BJ39" s="10" t="n">
        <f aca="false">SUM(INDEX($B$38:BJ38,Inputs!$B$35,MAX(Inputs!$B$35,COLUMN()-Inputs!$B$20)): BJ38)/Inputs!$B$20</f>
        <v>0.882666666666667</v>
      </c>
      <c r="BK39" s="10" t="n">
        <f aca="false">SUM(INDEX($B$38:BK38,Inputs!$B$35,MAX(Inputs!$B$35,COLUMN()-Inputs!$B$20)): BK38)/Inputs!$B$20</f>
        <v>0.826444444444444</v>
      </c>
      <c r="BL39" s="10" t="n">
        <f aca="false">SUM(INDEX($B$38:BL38,Inputs!$B$35,MAX(Inputs!$B$35,COLUMN()-Inputs!$B$20)): BL38)/Inputs!$B$20</f>
        <v>0.770222222222222</v>
      </c>
      <c r="BM39" s="10" t="n">
        <f aca="false">SUM(INDEX($B$38:BM38,Inputs!$B$35,MAX(Inputs!$B$35,COLUMN()-Inputs!$B$20)): BM38)/Inputs!$B$20</f>
        <v>0.714</v>
      </c>
      <c r="BN39" s="10" t="n">
        <f aca="false">SUM(INDEX($B$38:BN38,Inputs!$B$35,MAX(Inputs!$B$35,COLUMN()-Inputs!$B$20)): BN38)/Inputs!$B$20</f>
        <v>0.657777777777778</v>
      </c>
      <c r="BO39" s="10" t="n">
        <f aca="false">SUM(INDEX($B$38:BO38,Inputs!$B$35,MAX(Inputs!$B$35,COLUMN()-Inputs!$B$20)): BO38)/Inputs!$B$20</f>
        <v>0.601555555555556</v>
      </c>
      <c r="BP39" s="10" t="n">
        <f aca="false">SUM(INDEX($B$38:BP38,Inputs!$B$35,MAX(Inputs!$B$35,COLUMN()-Inputs!$B$20)): BP38)/Inputs!$B$20</f>
        <v>0.545333333333333</v>
      </c>
      <c r="BQ39" s="10" t="n">
        <f aca="false">SUM(INDEX($B$38:BQ38,Inputs!$B$35,MAX(Inputs!$B$35,COLUMN()-Inputs!$B$20)): BQ38)/Inputs!$B$20</f>
        <v>0.489111111111111</v>
      </c>
      <c r="BR39" s="10" t="n">
        <f aca="false">SUM(INDEX($B$38:BR38,Inputs!$B$35,MAX(Inputs!$B$35,COLUMN()-Inputs!$B$20)): BR38)/Inputs!$B$20</f>
        <v>0.432888888888889</v>
      </c>
      <c r="BS39" s="10" t="n">
        <f aca="false">SUM(INDEX($B$38:BS38,Inputs!$B$35,MAX(Inputs!$B$35,COLUMN()-Inputs!$B$20)): BS38)/Inputs!$B$20</f>
        <v>0.376666666666667</v>
      </c>
      <c r="BT39" s="10" t="n">
        <f aca="false">SUM(INDEX($B$38:BT38,Inputs!$B$35,MAX(Inputs!$B$35,COLUMN()-Inputs!$B$20)): BT38)/Inputs!$B$20</f>
        <v>0.320444444444444</v>
      </c>
      <c r="BU39" s="10" t="n">
        <f aca="false">SUM(INDEX($B$38:BU38,Inputs!$B$35,MAX(Inputs!$B$35,COLUMN()-Inputs!$B$20)): BU38)/Inputs!$B$20</f>
        <v>0.264222222222222</v>
      </c>
      <c r="BV39" s="10" t="n">
        <f aca="false">SUM(INDEX($B$38:BV38,Inputs!$B$35,MAX(Inputs!$B$35,COLUMN()-Inputs!$B$20)): BV38)/Inputs!$B$20</f>
        <v>0.208</v>
      </c>
      <c r="BW39" s="10" t="n">
        <f aca="false">SUM(INDEX($B$38:BW38,Inputs!$B$35,MAX(Inputs!$B$35,COLUMN()-Inputs!$B$20)): BW38)/Inputs!$B$20</f>
        <v>0.209</v>
      </c>
      <c r="BX39" s="10" t="n">
        <f aca="false">SUM(INDEX($B$38:BX38,Inputs!$B$35,MAX(Inputs!$B$35,COLUMN()-Inputs!$B$20)): BX38)/Inputs!$B$20</f>
        <v>0.21</v>
      </c>
      <c r="BY39" s="10" t="n">
        <f aca="false">SUM(INDEX($B$38:BY38,Inputs!$B$35,MAX(Inputs!$B$35,COLUMN()-Inputs!$B$20)): BY38)/Inputs!$B$20</f>
        <v>0.21</v>
      </c>
      <c r="BZ39" s="10" t="n">
        <f aca="false">SUM(INDEX($B$38:BZ38,Inputs!$B$35,MAX(Inputs!$B$35,COLUMN()-Inputs!$B$20)): BZ38)/Inputs!$B$20</f>
        <v>0.21</v>
      </c>
      <c r="CA39" s="10" t="n">
        <f aca="false">SUM(INDEX($B$38:CA38,Inputs!$B$35,MAX(Inputs!$B$35,COLUMN()-Inputs!$B$20)): CA38)/Inputs!$B$20</f>
        <v>0.21</v>
      </c>
      <c r="CB39" s="10" t="n">
        <f aca="false">SUM(INDEX($B$38:CB38,Inputs!$B$35,MAX(Inputs!$B$35,COLUMN()-Inputs!$B$20)): CB38)/Inputs!$B$20</f>
        <v>0.21</v>
      </c>
      <c r="CC39" s="10" t="n">
        <f aca="false">SUM(INDEX($B$38:CC38,Inputs!$B$35,MAX(Inputs!$B$35,COLUMN()-Inputs!$B$20)): CC38)/Inputs!$B$20</f>
        <v>0.21</v>
      </c>
      <c r="CD39" s="10" t="n">
        <f aca="false">SUM(INDEX($B$38:CD38,Inputs!$B$35,MAX(Inputs!$B$35,COLUMN()-Inputs!$B$20)): CD38)/Inputs!$B$20</f>
        <v>0.21</v>
      </c>
      <c r="CE39" s="10" t="n">
        <f aca="false">SUM(INDEX($B$38:CE38,Inputs!$B$35,MAX(Inputs!$B$35,COLUMN()-Inputs!$B$20)): CE38)/Inputs!$B$20</f>
        <v>0.21</v>
      </c>
      <c r="CF39" s="10" t="n">
        <f aca="false">SUM(INDEX($B$38:CF38,Inputs!$B$35,MAX(Inputs!$B$35,COLUMN()-Inputs!$B$20)): CF38)/Inputs!$B$20</f>
        <v>0.21</v>
      </c>
      <c r="CG39" s="10" t="n">
        <f aca="false">SUM(INDEX($B$38:CG38,Inputs!$B$35,MAX(Inputs!$B$35,COLUMN()-Inputs!$B$20)): CG38)/Inputs!$B$20</f>
        <v>0.21</v>
      </c>
      <c r="CH39" s="10" t="n">
        <f aca="false">SUM(INDEX($B$38:CH38,Inputs!$B$35,MAX(Inputs!$B$35,COLUMN()-Inputs!$B$20)): CH38)/Inputs!$B$20</f>
        <v>0.21</v>
      </c>
      <c r="CI39" s="10" t="n">
        <f aca="false">SUM(INDEX($B$38:CI38,Inputs!$B$35,MAX(Inputs!$B$35,COLUMN()-Inputs!$B$20)): CI38)/Inputs!$B$20</f>
        <v>0.21</v>
      </c>
      <c r="CJ39" s="10" t="n">
        <f aca="false">SUM(INDEX($B$38:CJ38,Inputs!$B$35,MAX(Inputs!$B$35,COLUMN()-Inputs!$B$20)): CJ38)/Inputs!$B$20</f>
        <v>0.21</v>
      </c>
      <c r="CK39" s="10" t="n">
        <f aca="false">SUM(INDEX($B$38:CK38,Inputs!$B$35,MAX(Inputs!$B$35,COLUMN()-Inputs!$B$20)): CK38)/Inputs!$B$20</f>
        <v>0.21</v>
      </c>
      <c r="CL39" s="10" t="n">
        <f aca="false">SUM(INDEX($B$38:CL38,Inputs!$B$35,MAX(Inputs!$B$35,COLUMN()-Inputs!$B$20)): CL38)/Inputs!$B$20</f>
        <v>0.21</v>
      </c>
      <c r="CM39" s="10" t="n">
        <f aca="false">SUM(INDEX($B$38:CM38,Inputs!$B$35,MAX(Inputs!$B$35,COLUMN()-Inputs!$B$20)): CM38)/Inputs!$B$20</f>
        <v>0.21</v>
      </c>
      <c r="CN39" s="10" t="n">
        <f aca="false">SUM(INDEX($B$38:CN38,Inputs!$B$35,MAX(Inputs!$B$35,COLUMN()-Inputs!$B$20)): CN38)/Inputs!$B$20</f>
        <v>0.21</v>
      </c>
      <c r="CO39" s="10" t="n">
        <f aca="false">SUM(INDEX($B$38:CO38,Inputs!$B$35,MAX(Inputs!$B$35,COLUMN()-Inputs!$B$20)): CO38)/Inputs!$B$20</f>
        <v>0.21</v>
      </c>
      <c r="CP39" s="10" t="n">
        <f aca="false">SUM(INDEX($B$38:CP38,Inputs!$B$35,MAX(Inputs!$B$35,COLUMN()-Inputs!$B$20)): CP38)/Inputs!$B$20</f>
        <v>0.21</v>
      </c>
      <c r="CQ39" s="10" t="n">
        <f aca="false">SUM(INDEX($B$38:CQ38,Inputs!$B$35,MAX(Inputs!$B$35,COLUMN()-Inputs!$B$20)): CQ38)/Inputs!$B$20</f>
        <v>0.21</v>
      </c>
      <c r="CR39" s="10" t="n">
        <f aca="false">SUM(INDEX($B$38:CR38,Inputs!$B$35,MAX(Inputs!$B$35,COLUMN()-Inputs!$B$20)): CR38)/Inputs!$B$20</f>
        <v>0.21</v>
      </c>
      <c r="CS39" s="10" t="n">
        <f aca="false">SUM(INDEX($B$38:CS38,Inputs!$B$35,MAX(Inputs!$B$35,COLUMN()-Inputs!$B$20)): CS38)/Inputs!$B$20</f>
        <v>0.21</v>
      </c>
      <c r="CT39" s="10" t="n">
        <f aca="false">SUM(INDEX($B$38:CT38,Inputs!$B$35,MAX(Inputs!$B$35,COLUMN()-Inputs!$B$20)): CT38)/Inputs!$B$20</f>
        <v>0.21</v>
      </c>
      <c r="CU39" s="10" t="n">
        <f aca="false">SUM(INDEX($B$38:CU38,Inputs!$B$35,MAX(Inputs!$B$35,COLUMN()-Inputs!$B$20)): CU38)/Inputs!$B$20</f>
        <v>0.21</v>
      </c>
      <c r="CV39" s="10" t="n">
        <f aca="false">SUM(INDEX($B$38:CV38,Inputs!$B$35,MAX(Inputs!$B$35,COLUMN()-Inputs!$B$20)): CV38)/Inputs!$B$20</f>
        <v>0.21</v>
      </c>
      <c r="CW39" s="10" t="n">
        <f aca="false">SUM(INDEX($B$38:CW38,Inputs!$B$35,MAX(Inputs!$B$35,COLUMN()-Inputs!$B$20)): CW38)/Inputs!$B$20</f>
        <v>0.21</v>
      </c>
      <c r="CX39" s="10" t="n">
        <f aca="false">SUM(INDEX($B$38:CX38,Inputs!$B$35,MAX(Inputs!$B$35,COLUMN()-Inputs!$B$20)): CX38)/Inputs!$B$20</f>
        <v>0.21</v>
      </c>
      <c r="CY39" s="10" t="n">
        <f aca="false">SUM(INDEX($B$38:CY38,Inputs!$B$35,MAX(Inputs!$B$35,COLUMN()-Inputs!$B$20)): CY38)/Inputs!$B$20</f>
        <v>0.21</v>
      </c>
      <c r="CZ39" s="10" t="n">
        <f aca="false">SUM(INDEX($B$38:CZ38,Inputs!$B$35,MAX(Inputs!$B$35,COLUMN()-Inputs!$B$20)): CZ38)/Inputs!$B$20</f>
        <v>0.21</v>
      </c>
      <c r="DA39" s="10" t="n">
        <f aca="false">SUM(INDEX($B$38:DA38,Inputs!$B$35,MAX(Inputs!$B$35,COLUMN()-Inputs!$B$20)): DA38)/Inputs!$B$20</f>
        <v>0.21</v>
      </c>
      <c r="DB39" s="10" t="n">
        <f aca="false">SUM(INDEX($B$38:DB38,Inputs!$B$35,MAX(Inputs!$B$35,COLUMN()-Inputs!$B$20)): DB38)/Inputs!$B$20</f>
        <v>0.21</v>
      </c>
      <c r="DC39" s="10" t="n">
        <f aca="false">SUM(INDEX($B$38:DC38,Inputs!$B$35,MAX(Inputs!$B$35,COLUMN()-Inputs!$B$20)): DC38)/Inputs!$B$20</f>
        <v>0.21</v>
      </c>
      <c r="DD39" s="10" t="n">
        <f aca="false">SUM(INDEX($B$38:DD38,Inputs!$B$35,MAX(Inputs!$B$35,COLUMN()-Inputs!$B$20)): DD38)/Inputs!$B$20</f>
        <v>0.21</v>
      </c>
      <c r="DE39" s="10" t="n">
        <f aca="false">SUM(INDEX($B$38:DE38,Inputs!$B$35,MAX(Inputs!$B$35,COLUMN()-Inputs!$B$20)): DE38)/Inputs!$B$20</f>
        <v>0.21</v>
      </c>
      <c r="DF39" s="10" t="n">
        <f aca="false">SUM(INDEX($B$38:DF38,Inputs!$B$35,MAX(Inputs!$B$35,COLUMN()-Inputs!$B$20)): DF38)/Inputs!$B$20</f>
        <v>0.21</v>
      </c>
      <c r="DG39" s="10" t="n">
        <f aca="false">SUM(INDEX($B$38:DG38,Inputs!$B$35,MAX(Inputs!$B$35,COLUMN()-Inputs!$B$20)): DG38)/Inputs!$B$20</f>
        <v>0.21</v>
      </c>
      <c r="DH39" s="10" t="n">
        <f aca="false">SUM(INDEX($B$38:DH38,Inputs!$B$35,MAX(Inputs!$B$35,COLUMN()-Inputs!$B$20)): DH38)/Inputs!$B$20</f>
        <v>0.21</v>
      </c>
      <c r="DI39" s="10" t="n">
        <f aca="false">SUM(INDEX($B$38:DI38,Inputs!$B$35,MAX(Inputs!$B$35,COLUMN()-Inputs!$B$20)): DI38)/Inputs!$B$20</f>
        <v>0.21</v>
      </c>
      <c r="DJ39" s="10" t="n">
        <f aca="false">SUM(INDEX($B$38:DJ38,Inputs!$B$35,MAX(Inputs!$B$35,COLUMN()-Inputs!$B$20)): DJ38)/Inputs!$B$20</f>
        <v>0.21</v>
      </c>
      <c r="DK39" s="10" t="n">
        <f aca="false">SUM(INDEX($B$38:DK38,Inputs!$B$35,MAX(Inputs!$B$35,COLUMN()-Inputs!$B$20)): DK38)/Inputs!$B$20</f>
        <v>0.21</v>
      </c>
      <c r="DL39" s="10" t="n">
        <f aca="false">SUM(INDEX($B$38:DL38,Inputs!$B$35,MAX(Inputs!$B$35,COLUMN()-Inputs!$B$20)): DL38)/Inputs!$B$20</f>
        <v>0.21</v>
      </c>
      <c r="DM39" s="10" t="n">
        <f aca="false">SUM(INDEX($B$38:DM38,Inputs!$B$35,MAX(Inputs!$B$35,COLUMN()-Inputs!$B$20)): DM38)/Inputs!$B$20</f>
        <v>0.21</v>
      </c>
      <c r="DN39" s="10" t="n">
        <f aca="false">SUM(INDEX($B$38:DN38,Inputs!$B$35,MAX(Inputs!$B$35,COLUMN()-Inputs!$B$20)): DN38)/Inputs!$B$20</f>
        <v>0.21</v>
      </c>
      <c r="DO39" s="10" t="n">
        <f aca="false">SUM(INDEX($B$38:DO38,Inputs!$B$35,MAX(Inputs!$B$35,COLUMN()-Inputs!$B$20)): DO38)/Inputs!$B$20</f>
        <v>0.21</v>
      </c>
      <c r="DP39" s="10" t="n">
        <f aca="false">SUM(INDEX($B$38:DP38,Inputs!$B$35,MAX(Inputs!$B$35,COLUMN()-Inputs!$B$20)): DP38)/Inputs!$B$20</f>
        <v>0.21</v>
      </c>
      <c r="DQ39" s="10" t="n">
        <f aca="false">SUM(INDEX($B$38:DQ38,Inputs!$B$35,MAX(Inputs!$B$35,COLUMN()-Inputs!$B$20)): DQ38)/Inputs!$B$20</f>
        <v>0.21</v>
      </c>
      <c r="DR39" s="10" t="n">
        <f aca="false">SUM(INDEX($B$38:DR38,Inputs!$B$35,MAX(Inputs!$B$35,COLUMN()-Inputs!$B$20)): DR38)/Inputs!$B$20</f>
        <v>0.21</v>
      </c>
    </row>
    <row r="40" customFormat="false" ht="15" hidden="false" customHeight="false" outlineLevel="0" collapsed="false">
      <c r="A40" s="9" t="s">
        <v>208</v>
      </c>
      <c r="B40" s="11" t="n">
        <f aca="false">B35-B39</f>
        <v>0</v>
      </c>
      <c r="C40" s="11" t="n">
        <f aca="false">C35-C39</f>
        <v>-1.19305555555556</v>
      </c>
      <c r="D40" s="11" t="n">
        <f aca="false">D35-D39</f>
        <v>-1.25277777777778</v>
      </c>
      <c r="E40" s="11" t="n">
        <f aca="false">E35-E39</f>
        <v>-1.3125</v>
      </c>
      <c r="F40" s="11" t="n">
        <f aca="false">F35-F39</f>
        <v>-1.37222222222222</v>
      </c>
      <c r="G40" s="11" t="n">
        <f aca="false">G35-G39</f>
        <v>-1.43194444444444</v>
      </c>
      <c r="H40" s="11" t="n">
        <f aca="false">H35-H39</f>
        <v>-1.49166666666667</v>
      </c>
      <c r="I40" s="11" t="n">
        <f aca="false">I35-I39</f>
        <v>-1.55138888888889</v>
      </c>
      <c r="J40" s="11" t="n">
        <f aca="false">J35-J39</f>
        <v>-1.61111111111111</v>
      </c>
      <c r="K40" s="11" t="n">
        <f aca="false">K35-K39</f>
        <v>3.00916666666667</v>
      </c>
      <c r="L40" s="11" t="n">
        <f aca="false">L35-L39</f>
        <v>2.94944444444444</v>
      </c>
      <c r="M40" s="11" t="n">
        <f aca="false">M35-M39</f>
        <v>2.88972222222222</v>
      </c>
      <c r="N40" s="11" t="n">
        <f aca="false">N35-N39</f>
        <v>5.95</v>
      </c>
      <c r="O40" s="11" t="n">
        <f aca="false">O35-O39</f>
        <v>6.53083333333333</v>
      </c>
      <c r="P40" s="11" t="n">
        <f aca="false">P35-P39</f>
        <v>6.52833333333333</v>
      </c>
      <c r="Q40" s="11" t="n">
        <f aca="false">Q35-Q39</f>
        <v>9.64483333333333</v>
      </c>
      <c r="R40" s="11" t="n">
        <f aca="false">R35-R39</f>
        <v>9.64133333333333</v>
      </c>
      <c r="S40" s="11" t="n">
        <f aca="false">S35-S39</f>
        <v>9.63783333333333</v>
      </c>
      <c r="T40" s="11" t="n">
        <f aca="false">T35-T39</f>
        <v>9.63433333333333</v>
      </c>
      <c r="U40" s="11" t="n">
        <f aca="false">U35-U39</f>
        <v>9.63083333333333</v>
      </c>
      <c r="V40" s="11" t="n">
        <f aca="false">V35-V39</f>
        <v>9.62733333333333</v>
      </c>
      <c r="W40" s="11" t="n">
        <f aca="false">W35-W39</f>
        <v>9.62383333333333</v>
      </c>
      <c r="X40" s="11" t="n">
        <f aca="false">X35-X39</f>
        <v>9.62033333333333</v>
      </c>
      <c r="Y40" s="11" t="n">
        <f aca="false">Y35-Y39</f>
        <v>9.61683333333333</v>
      </c>
      <c r="Z40" s="11" t="n">
        <f aca="false">Z35-Z39</f>
        <v>9.61333333333333</v>
      </c>
      <c r="AA40" s="11" t="n">
        <f aca="false">AA35-AA39</f>
        <v>9.60983333333333</v>
      </c>
      <c r="AB40" s="11" t="n">
        <f aca="false">AB35-AB39</f>
        <v>9.60633333333333</v>
      </c>
      <c r="AC40" s="11" t="n">
        <f aca="false">AC35-AC39</f>
        <v>9.60283333333333</v>
      </c>
      <c r="AD40" s="11" t="n">
        <f aca="false">AD35-AD39</f>
        <v>9.59933333333333</v>
      </c>
      <c r="AE40" s="11" t="n">
        <f aca="false">AE35-AE39</f>
        <v>9.59583333333333</v>
      </c>
      <c r="AF40" s="11" t="n">
        <f aca="false">AF35-AF39</f>
        <v>9.59233333333333</v>
      </c>
      <c r="AG40" s="11" t="n">
        <f aca="false">AG35-AG39</f>
        <v>9.58883333333333</v>
      </c>
      <c r="AH40" s="11" t="n">
        <f aca="false">AH35-AH39</f>
        <v>9.58533333333333</v>
      </c>
      <c r="AI40" s="11" t="n">
        <f aca="false">AI35-AI39</f>
        <v>9.58183333333333</v>
      </c>
      <c r="AJ40" s="11" t="n">
        <f aca="false">AJ35-AJ39</f>
        <v>9.57833333333333</v>
      </c>
      <c r="AK40" s="11" t="n">
        <f aca="false">AK35-AK39</f>
        <v>9.57483333333333</v>
      </c>
      <c r="AL40" s="11" t="n">
        <f aca="false">AL35-AL39</f>
        <v>9.57133333333333</v>
      </c>
      <c r="AM40" s="11" t="n">
        <f aca="false">AM35-AM39</f>
        <v>9.56783333333333</v>
      </c>
      <c r="AN40" s="11" t="n">
        <f aca="false">AN35-AN39</f>
        <v>9.56433333333333</v>
      </c>
      <c r="AO40" s="11" t="n">
        <f aca="false">AO35-AO39</f>
        <v>9.56083333333333</v>
      </c>
      <c r="AP40" s="11" t="n">
        <f aca="false">AP35-AP39</f>
        <v>9.55733333333333</v>
      </c>
      <c r="AQ40" s="11" t="n">
        <f aca="false">AQ35-AQ39</f>
        <v>9.55383333333333</v>
      </c>
      <c r="AR40" s="11" t="n">
        <f aca="false">AR35-AR39</f>
        <v>9.55033333333333</v>
      </c>
      <c r="AS40" s="11" t="n">
        <f aca="false">AS35-AS39</f>
        <v>9.54683333333333</v>
      </c>
      <c r="AT40" s="11" t="n">
        <f aca="false">AT35-AT39</f>
        <v>9.54333333333333</v>
      </c>
      <c r="AU40" s="11" t="n">
        <f aca="false">AU35-AU39</f>
        <v>9.53983333333333</v>
      </c>
      <c r="AV40" s="11" t="n">
        <f aca="false">AV35-AV39</f>
        <v>9.53633333333333</v>
      </c>
      <c r="AW40" s="11" t="n">
        <f aca="false">AW35-AW39</f>
        <v>9.53283333333333</v>
      </c>
      <c r="AX40" s="11" t="n">
        <f aca="false">AX35-AX39</f>
        <v>9.52933333333333</v>
      </c>
      <c r="AY40" s="11" t="n">
        <f aca="false">AY35-AY39</f>
        <v>9.52583333333333</v>
      </c>
      <c r="AZ40" s="11" t="n">
        <f aca="false">AZ35-AZ39</f>
        <v>9.52233333333333</v>
      </c>
      <c r="BA40" s="11" t="n">
        <f aca="false">BA35-BA39</f>
        <v>9.51883333333333</v>
      </c>
      <c r="BB40" s="11" t="n">
        <f aca="false">BB35-BB39</f>
        <v>9.51533333333333</v>
      </c>
      <c r="BC40" s="11" t="n">
        <f aca="false">BC35-BC39</f>
        <v>9.51183333333333</v>
      </c>
      <c r="BD40" s="11" t="n">
        <f aca="false">BD35-BD39</f>
        <v>9.50833333333333</v>
      </c>
      <c r="BE40" s="11" t="n">
        <f aca="false">BE35-BE39</f>
        <v>9.50483333333333</v>
      </c>
      <c r="BF40" s="11" t="n">
        <f aca="false">BF35-BF39</f>
        <v>9.50133333333333</v>
      </c>
      <c r="BG40" s="11" t="n">
        <f aca="false">BG35-BG39</f>
        <v>9.49783333333333</v>
      </c>
      <c r="BH40" s="11" t="n">
        <f aca="false">BH35-BH39</f>
        <v>9.49433333333333</v>
      </c>
      <c r="BI40" s="11" t="n">
        <f aca="false">BI35-BI39</f>
        <v>9.49083333333333</v>
      </c>
      <c r="BJ40" s="11" t="n">
        <f aca="false">BJ35-BJ39</f>
        <v>9.48733333333333</v>
      </c>
      <c r="BK40" s="11" t="n">
        <f aca="false">BK35-BK39</f>
        <v>9.54355555555556</v>
      </c>
      <c r="BL40" s="11" t="n">
        <f aca="false">BL35-BL39</f>
        <v>9.59977777777778</v>
      </c>
      <c r="BM40" s="11" t="n">
        <f aca="false">BM35-BM39</f>
        <v>9.656</v>
      </c>
      <c r="BN40" s="11" t="n">
        <f aca="false">BN35-BN39</f>
        <v>9.71222222222222</v>
      </c>
      <c r="BO40" s="11" t="n">
        <f aca="false">BO35-BO39</f>
        <v>9.76844444444444</v>
      </c>
      <c r="BP40" s="11" t="n">
        <f aca="false">BP35-BP39</f>
        <v>9.82466666666667</v>
      </c>
      <c r="BQ40" s="11" t="n">
        <f aca="false">BQ35-BQ39</f>
        <v>9.88088888888889</v>
      </c>
      <c r="BR40" s="11" t="n">
        <f aca="false">BR35-BR39</f>
        <v>9.93711111111111</v>
      </c>
      <c r="BS40" s="11" t="n">
        <f aca="false">BS35-BS39</f>
        <v>9.99333333333333</v>
      </c>
      <c r="BT40" s="11" t="n">
        <f aca="false">BT35-BT39</f>
        <v>10.0495555555556</v>
      </c>
      <c r="BU40" s="11" t="n">
        <f aca="false">BU35-BU39</f>
        <v>10.1057777777778</v>
      </c>
      <c r="BV40" s="11" t="n">
        <f aca="false">BV35-BV39</f>
        <v>10.162</v>
      </c>
      <c r="BW40" s="11" t="n">
        <f aca="false">BW35-BW39</f>
        <v>10.161</v>
      </c>
      <c r="BX40" s="11" t="n">
        <f aca="false">BX35-BX39</f>
        <v>10.16</v>
      </c>
      <c r="BY40" s="11" t="n">
        <f aca="false">BY35-BY39</f>
        <v>10.16</v>
      </c>
      <c r="BZ40" s="11" t="n">
        <f aca="false">BZ35-BZ39</f>
        <v>10.16</v>
      </c>
      <c r="CA40" s="11" t="n">
        <f aca="false">CA35-CA39</f>
        <v>10.16</v>
      </c>
      <c r="CB40" s="11" t="n">
        <f aca="false">CB35-CB39</f>
        <v>10.16</v>
      </c>
      <c r="CC40" s="11" t="n">
        <f aca="false">CC35-CC39</f>
        <v>10.16</v>
      </c>
      <c r="CD40" s="11" t="n">
        <f aca="false">CD35-CD39</f>
        <v>10.16</v>
      </c>
      <c r="CE40" s="11" t="n">
        <f aca="false">CE35-CE39</f>
        <v>10.16</v>
      </c>
      <c r="CF40" s="11" t="n">
        <f aca="false">CF35-CF39</f>
        <v>10.16</v>
      </c>
      <c r="CG40" s="11" t="n">
        <f aca="false">CG35-CG39</f>
        <v>10.16</v>
      </c>
      <c r="CH40" s="11" t="n">
        <f aca="false">CH35-CH39</f>
        <v>10.16</v>
      </c>
      <c r="CI40" s="11" t="n">
        <f aca="false">CI35-CI39</f>
        <v>10.16</v>
      </c>
      <c r="CJ40" s="11" t="n">
        <f aca="false">CJ35-CJ39</f>
        <v>10.16</v>
      </c>
      <c r="CK40" s="11" t="n">
        <f aca="false">CK35-CK39</f>
        <v>10.16</v>
      </c>
      <c r="CL40" s="11" t="n">
        <f aca="false">CL35-CL39</f>
        <v>10.16</v>
      </c>
      <c r="CM40" s="11" t="n">
        <f aca="false">CM35-CM39</f>
        <v>10.16</v>
      </c>
      <c r="CN40" s="11" t="n">
        <f aca="false">CN35-CN39</f>
        <v>10.16</v>
      </c>
      <c r="CO40" s="11" t="n">
        <f aca="false">CO35-CO39</f>
        <v>10.16</v>
      </c>
      <c r="CP40" s="11" t="n">
        <f aca="false">CP35-CP39</f>
        <v>10.16</v>
      </c>
      <c r="CQ40" s="11" t="n">
        <f aca="false">CQ35-CQ39</f>
        <v>10.16</v>
      </c>
      <c r="CR40" s="11" t="n">
        <f aca="false">CR35-CR39</f>
        <v>10.16</v>
      </c>
      <c r="CS40" s="11" t="n">
        <f aca="false">CS35-CS39</f>
        <v>10.16</v>
      </c>
      <c r="CT40" s="11" t="n">
        <f aca="false">CT35-CT39</f>
        <v>10.16</v>
      </c>
      <c r="CU40" s="11" t="n">
        <f aca="false">CU35-CU39</f>
        <v>10.16</v>
      </c>
      <c r="CV40" s="11" t="n">
        <f aca="false">CV35-CV39</f>
        <v>10.16</v>
      </c>
      <c r="CW40" s="11" t="n">
        <f aca="false">CW35-CW39</f>
        <v>10.16</v>
      </c>
      <c r="CX40" s="11" t="n">
        <f aca="false">CX35-CX39</f>
        <v>10.16</v>
      </c>
      <c r="CY40" s="11" t="n">
        <f aca="false">CY35-CY39</f>
        <v>10.16</v>
      </c>
      <c r="CZ40" s="11" t="n">
        <f aca="false">CZ35-CZ39</f>
        <v>10.16</v>
      </c>
      <c r="DA40" s="11" t="n">
        <f aca="false">DA35-DA39</f>
        <v>10.16</v>
      </c>
      <c r="DB40" s="11" t="n">
        <f aca="false">DB35-DB39</f>
        <v>10.16</v>
      </c>
      <c r="DC40" s="11" t="n">
        <f aca="false">DC35-DC39</f>
        <v>10.16</v>
      </c>
      <c r="DD40" s="11" t="n">
        <f aca="false">DD35-DD39</f>
        <v>10.16</v>
      </c>
      <c r="DE40" s="11" t="n">
        <f aca="false">DE35-DE39</f>
        <v>10.16</v>
      </c>
      <c r="DF40" s="11" t="n">
        <f aca="false">DF35-DF39</f>
        <v>10.16</v>
      </c>
      <c r="DG40" s="11" t="n">
        <f aca="false">DG35-DG39</f>
        <v>10.16</v>
      </c>
      <c r="DH40" s="11" t="n">
        <f aca="false">DH35-DH39</f>
        <v>10.16</v>
      </c>
      <c r="DI40" s="11" t="n">
        <f aca="false">DI35-DI39</f>
        <v>10.16</v>
      </c>
      <c r="DJ40" s="11" t="n">
        <f aca="false">DJ35-DJ39</f>
        <v>10.16</v>
      </c>
      <c r="DK40" s="11" t="n">
        <f aca="false">DK35-DK39</f>
        <v>10.16</v>
      </c>
      <c r="DL40" s="11" t="n">
        <f aca="false">DL35-DL39</f>
        <v>10.16</v>
      </c>
      <c r="DM40" s="11" t="n">
        <f aca="false">DM35-DM39</f>
        <v>10.16</v>
      </c>
      <c r="DN40" s="11" t="n">
        <f aca="false">DN35-DN39</f>
        <v>10.16</v>
      </c>
      <c r="DO40" s="11" t="n">
        <f aca="false">DO35-DO39</f>
        <v>10.16</v>
      </c>
      <c r="DP40" s="11" t="n">
        <f aca="false">DP35-DP39</f>
        <v>10.16</v>
      </c>
      <c r="DQ40" s="11" t="n">
        <f aca="false">DQ35-DQ39</f>
        <v>10.16</v>
      </c>
      <c r="DR40" s="11" t="n">
        <f aca="false">DR35-DR39</f>
        <v>10.16</v>
      </c>
    </row>
    <row r="41" customFormat="false" ht="15" hidden="false" customHeight="false" outlineLevel="0" collapsed="false">
      <c r="A41" s="9" t="s">
        <v>209</v>
      </c>
      <c r="B41" s="10" t="n">
        <f aca="false">MAX(Inputs!$B$34,B40)*Inputs!$B$11</f>
        <v>0</v>
      </c>
      <c r="C41" s="10" t="n">
        <f aca="false">MAX(Inputs!$B$34,C40)*Inputs!$B$11</f>
        <v>0</v>
      </c>
      <c r="D41" s="10" t="n">
        <f aca="false">MAX(Inputs!$B$34,D40)*Inputs!$B$11</f>
        <v>0</v>
      </c>
      <c r="E41" s="10" t="n">
        <f aca="false">MAX(Inputs!$B$34,E40)*Inputs!$B$11</f>
        <v>0</v>
      </c>
      <c r="F41" s="10" t="n">
        <f aca="false">MAX(Inputs!$B$34,F40)*Inputs!$B$11</f>
        <v>0</v>
      </c>
      <c r="G41" s="10" t="n">
        <f aca="false">MAX(Inputs!$B$34,G40)*Inputs!$B$11</f>
        <v>0</v>
      </c>
      <c r="H41" s="10" t="n">
        <f aca="false">MAX(Inputs!$B$34,H40)*Inputs!$B$11</f>
        <v>0</v>
      </c>
      <c r="I41" s="10" t="n">
        <f aca="false">MAX(Inputs!$B$34,I40)*Inputs!$B$11</f>
        <v>0</v>
      </c>
      <c r="J41" s="10" t="n">
        <f aca="false">MAX(Inputs!$B$34,J40)*Inputs!$B$11</f>
        <v>0</v>
      </c>
      <c r="K41" s="10" t="n">
        <f aca="false">MAX(Inputs!$B$34,K40)*Inputs!$B$11</f>
        <v>0.90275</v>
      </c>
      <c r="L41" s="10" t="n">
        <f aca="false">MAX(Inputs!$B$34,L40)*Inputs!$B$11</f>
        <v>0.884833333333333</v>
      </c>
      <c r="M41" s="10" t="n">
        <f aca="false">MAX(Inputs!$B$34,M40)*Inputs!$B$11</f>
        <v>0.866916666666667</v>
      </c>
      <c r="N41" s="10" t="n">
        <f aca="false">MAX(Inputs!$B$34,N40)*Inputs!$B$11</f>
        <v>1.785</v>
      </c>
      <c r="O41" s="10" t="n">
        <f aca="false">MAX(Inputs!$B$34,O40)*Inputs!$B$11</f>
        <v>1.95925</v>
      </c>
      <c r="P41" s="10" t="n">
        <f aca="false">MAX(Inputs!$B$34,P40)*Inputs!$B$11</f>
        <v>1.9585</v>
      </c>
      <c r="Q41" s="10" t="n">
        <f aca="false">MAX(Inputs!$B$34,Q40)*Inputs!$B$11</f>
        <v>2.89345</v>
      </c>
      <c r="R41" s="10" t="n">
        <f aca="false">MAX(Inputs!$B$34,R40)*Inputs!$B$11</f>
        <v>2.8924</v>
      </c>
      <c r="S41" s="10" t="n">
        <f aca="false">MAX(Inputs!$B$34,S40)*Inputs!$B$11</f>
        <v>2.89135</v>
      </c>
      <c r="T41" s="10" t="n">
        <f aca="false">MAX(Inputs!$B$34,T40)*Inputs!$B$11</f>
        <v>2.8903</v>
      </c>
      <c r="U41" s="10" t="n">
        <f aca="false">MAX(Inputs!$B$34,U40)*Inputs!$B$11</f>
        <v>2.88925</v>
      </c>
      <c r="V41" s="10" t="n">
        <f aca="false">MAX(Inputs!$B$34,V40)*Inputs!$B$11</f>
        <v>2.8882</v>
      </c>
      <c r="W41" s="10" t="n">
        <f aca="false">MAX(Inputs!$B$34,W40)*Inputs!$B$11</f>
        <v>2.88715</v>
      </c>
      <c r="X41" s="10" t="n">
        <f aca="false">MAX(Inputs!$B$34,X40)*Inputs!$B$11</f>
        <v>2.8861</v>
      </c>
      <c r="Y41" s="10" t="n">
        <f aca="false">MAX(Inputs!$B$34,Y40)*Inputs!$B$11</f>
        <v>2.88505</v>
      </c>
      <c r="Z41" s="10" t="n">
        <f aca="false">MAX(Inputs!$B$34,Z40)*Inputs!$B$11</f>
        <v>2.884</v>
      </c>
      <c r="AA41" s="10" t="n">
        <f aca="false">MAX(Inputs!$B$34,AA40)*Inputs!$B$11</f>
        <v>2.88295</v>
      </c>
      <c r="AB41" s="10" t="n">
        <f aca="false">MAX(Inputs!$B$34,AB40)*Inputs!$B$11</f>
        <v>2.8819</v>
      </c>
      <c r="AC41" s="10" t="n">
        <f aca="false">MAX(Inputs!$B$34,AC40)*Inputs!$B$11</f>
        <v>2.88085</v>
      </c>
      <c r="AD41" s="10" t="n">
        <f aca="false">MAX(Inputs!$B$34,AD40)*Inputs!$B$11</f>
        <v>2.8798</v>
      </c>
      <c r="AE41" s="10" t="n">
        <f aca="false">MAX(Inputs!$B$34,AE40)*Inputs!$B$11</f>
        <v>2.87875</v>
      </c>
      <c r="AF41" s="10" t="n">
        <f aca="false">MAX(Inputs!$B$34,AF40)*Inputs!$B$11</f>
        <v>2.8777</v>
      </c>
      <c r="AG41" s="10" t="n">
        <f aca="false">MAX(Inputs!$B$34,AG40)*Inputs!$B$11</f>
        <v>2.87665</v>
      </c>
      <c r="AH41" s="10" t="n">
        <f aca="false">MAX(Inputs!$B$34,AH40)*Inputs!$B$11</f>
        <v>2.8756</v>
      </c>
      <c r="AI41" s="10" t="n">
        <f aca="false">MAX(Inputs!$B$34,AI40)*Inputs!$B$11</f>
        <v>2.87455</v>
      </c>
      <c r="AJ41" s="10" t="n">
        <f aca="false">MAX(Inputs!$B$34,AJ40)*Inputs!$B$11</f>
        <v>2.8735</v>
      </c>
      <c r="AK41" s="10" t="n">
        <f aca="false">MAX(Inputs!$B$34,AK40)*Inputs!$B$11</f>
        <v>2.87245</v>
      </c>
      <c r="AL41" s="10" t="n">
        <f aca="false">MAX(Inputs!$B$34,AL40)*Inputs!$B$11</f>
        <v>2.8714</v>
      </c>
      <c r="AM41" s="10" t="n">
        <f aca="false">MAX(Inputs!$B$34,AM40)*Inputs!$B$11</f>
        <v>2.87035</v>
      </c>
      <c r="AN41" s="10" t="n">
        <f aca="false">MAX(Inputs!$B$34,AN40)*Inputs!$B$11</f>
        <v>2.8693</v>
      </c>
      <c r="AO41" s="10" t="n">
        <f aca="false">MAX(Inputs!$B$34,AO40)*Inputs!$B$11</f>
        <v>2.86825</v>
      </c>
      <c r="AP41" s="10" t="n">
        <f aca="false">MAX(Inputs!$B$34,AP40)*Inputs!$B$11</f>
        <v>2.8672</v>
      </c>
      <c r="AQ41" s="10" t="n">
        <f aca="false">MAX(Inputs!$B$34,AQ40)*Inputs!$B$11</f>
        <v>2.86615</v>
      </c>
      <c r="AR41" s="10" t="n">
        <f aca="false">MAX(Inputs!$B$34,AR40)*Inputs!$B$11</f>
        <v>2.8651</v>
      </c>
      <c r="AS41" s="10" t="n">
        <f aca="false">MAX(Inputs!$B$34,AS40)*Inputs!$B$11</f>
        <v>2.86405</v>
      </c>
      <c r="AT41" s="10" t="n">
        <f aca="false">MAX(Inputs!$B$34,AT40)*Inputs!$B$11</f>
        <v>2.863</v>
      </c>
      <c r="AU41" s="10" t="n">
        <f aca="false">MAX(Inputs!$B$34,AU40)*Inputs!$B$11</f>
        <v>2.86195</v>
      </c>
      <c r="AV41" s="10" t="n">
        <f aca="false">MAX(Inputs!$B$34,AV40)*Inputs!$B$11</f>
        <v>2.8609</v>
      </c>
      <c r="AW41" s="10" t="n">
        <f aca="false">MAX(Inputs!$B$34,AW40)*Inputs!$B$11</f>
        <v>2.85985</v>
      </c>
      <c r="AX41" s="10" t="n">
        <f aca="false">MAX(Inputs!$B$34,AX40)*Inputs!$B$11</f>
        <v>2.8588</v>
      </c>
      <c r="AY41" s="10" t="n">
        <f aca="false">MAX(Inputs!$B$34,AY40)*Inputs!$B$11</f>
        <v>2.85775</v>
      </c>
      <c r="AZ41" s="10" t="n">
        <f aca="false">MAX(Inputs!$B$34,AZ40)*Inputs!$B$11</f>
        <v>2.8567</v>
      </c>
      <c r="BA41" s="10" t="n">
        <f aca="false">MAX(Inputs!$B$34,BA40)*Inputs!$B$11</f>
        <v>2.85565</v>
      </c>
      <c r="BB41" s="10" t="n">
        <f aca="false">MAX(Inputs!$B$34,BB40)*Inputs!$B$11</f>
        <v>2.8546</v>
      </c>
      <c r="BC41" s="10" t="n">
        <f aca="false">MAX(Inputs!$B$34,BC40)*Inputs!$B$11</f>
        <v>2.85355</v>
      </c>
      <c r="BD41" s="10" t="n">
        <f aca="false">MAX(Inputs!$B$34,BD40)*Inputs!$B$11</f>
        <v>2.8525</v>
      </c>
      <c r="BE41" s="10" t="n">
        <f aca="false">MAX(Inputs!$B$34,BE40)*Inputs!$B$11</f>
        <v>2.85145</v>
      </c>
      <c r="BF41" s="10" t="n">
        <f aca="false">MAX(Inputs!$B$34,BF40)*Inputs!$B$11</f>
        <v>2.8504</v>
      </c>
      <c r="BG41" s="10" t="n">
        <f aca="false">MAX(Inputs!$B$34,BG40)*Inputs!$B$11</f>
        <v>2.84935</v>
      </c>
      <c r="BH41" s="10" t="n">
        <f aca="false">MAX(Inputs!$B$34,BH40)*Inputs!$B$11</f>
        <v>2.8483</v>
      </c>
      <c r="BI41" s="10" t="n">
        <f aca="false">MAX(Inputs!$B$34,BI40)*Inputs!$B$11</f>
        <v>2.84725</v>
      </c>
      <c r="BJ41" s="10" t="n">
        <f aca="false">MAX(Inputs!$B$34,BJ40)*Inputs!$B$11</f>
        <v>2.8462</v>
      </c>
      <c r="BK41" s="10" t="n">
        <f aca="false">MAX(Inputs!$B$34,BK40)*Inputs!$B$11</f>
        <v>2.86306666666667</v>
      </c>
      <c r="BL41" s="10" t="n">
        <f aca="false">MAX(Inputs!$B$34,BL40)*Inputs!$B$11</f>
        <v>2.87993333333333</v>
      </c>
      <c r="BM41" s="10" t="n">
        <f aca="false">MAX(Inputs!$B$34,BM40)*Inputs!$B$11</f>
        <v>2.8968</v>
      </c>
      <c r="BN41" s="10" t="n">
        <f aca="false">MAX(Inputs!$B$34,BN40)*Inputs!$B$11</f>
        <v>2.91366666666667</v>
      </c>
      <c r="BO41" s="10" t="n">
        <f aca="false">MAX(Inputs!$B$34,BO40)*Inputs!$B$11</f>
        <v>2.93053333333333</v>
      </c>
      <c r="BP41" s="10" t="n">
        <f aca="false">MAX(Inputs!$B$34,BP40)*Inputs!$B$11</f>
        <v>2.9474</v>
      </c>
      <c r="BQ41" s="10" t="n">
        <f aca="false">MAX(Inputs!$B$34,BQ40)*Inputs!$B$11</f>
        <v>2.96426666666667</v>
      </c>
      <c r="BR41" s="10" t="n">
        <f aca="false">MAX(Inputs!$B$34,BR40)*Inputs!$B$11</f>
        <v>2.98113333333333</v>
      </c>
      <c r="BS41" s="10" t="n">
        <f aca="false">MAX(Inputs!$B$34,BS40)*Inputs!$B$11</f>
        <v>2.998</v>
      </c>
      <c r="BT41" s="10" t="n">
        <f aca="false">MAX(Inputs!$B$34,BT40)*Inputs!$B$11</f>
        <v>3.01486666666667</v>
      </c>
      <c r="BU41" s="10" t="n">
        <f aca="false">MAX(Inputs!$B$34,BU40)*Inputs!$B$11</f>
        <v>3.03173333333333</v>
      </c>
      <c r="BV41" s="10" t="n">
        <f aca="false">MAX(Inputs!$B$34,BV40)*Inputs!$B$11</f>
        <v>3.0486</v>
      </c>
      <c r="BW41" s="10" t="n">
        <f aca="false">MAX(Inputs!$B$34,BW40)*Inputs!$B$11</f>
        <v>3.0483</v>
      </c>
      <c r="BX41" s="10" t="n">
        <f aca="false">MAX(Inputs!$B$34,BX40)*Inputs!$B$11</f>
        <v>3.048</v>
      </c>
      <c r="BY41" s="10" t="n">
        <f aca="false">MAX(Inputs!$B$34,BY40)*Inputs!$B$11</f>
        <v>3.048</v>
      </c>
      <c r="BZ41" s="10" t="n">
        <f aca="false">MAX(Inputs!$B$34,BZ40)*Inputs!$B$11</f>
        <v>3.048</v>
      </c>
      <c r="CA41" s="10" t="n">
        <f aca="false">MAX(Inputs!$B$34,CA40)*Inputs!$B$11</f>
        <v>3.048</v>
      </c>
      <c r="CB41" s="10" t="n">
        <f aca="false">MAX(Inputs!$B$34,CB40)*Inputs!$B$11</f>
        <v>3.048</v>
      </c>
      <c r="CC41" s="10" t="n">
        <f aca="false">MAX(Inputs!$B$34,CC40)*Inputs!$B$11</f>
        <v>3.048</v>
      </c>
      <c r="CD41" s="10" t="n">
        <f aca="false">MAX(Inputs!$B$34,CD40)*Inputs!$B$11</f>
        <v>3.048</v>
      </c>
      <c r="CE41" s="10" t="n">
        <f aca="false">MAX(Inputs!$B$34,CE40)*Inputs!$B$11</f>
        <v>3.048</v>
      </c>
      <c r="CF41" s="10" t="n">
        <f aca="false">MAX(Inputs!$B$34,CF40)*Inputs!$B$11</f>
        <v>3.048</v>
      </c>
      <c r="CG41" s="10" t="n">
        <f aca="false">MAX(Inputs!$B$34,CG40)*Inputs!$B$11</f>
        <v>3.048</v>
      </c>
      <c r="CH41" s="10" t="n">
        <f aca="false">MAX(Inputs!$B$34,CH40)*Inputs!$B$11</f>
        <v>3.048</v>
      </c>
      <c r="CI41" s="10" t="n">
        <f aca="false">MAX(Inputs!$B$34,CI40)*Inputs!$B$11</f>
        <v>3.048</v>
      </c>
      <c r="CJ41" s="10" t="n">
        <f aca="false">MAX(Inputs!$B$34,CJ40)*Inputs!$B$11</f>
        <v>3.048</v>
      </c>
      <c r="CK41" s="10" t="n">
        <f aca="false">MAX(Inputs!$B$34,CK40)*Inputs!$B$11</f>
        <v>3.048</v>
      </c>
      <c r="CL41" s="10" t="n">
        <f aca="false">MAX(Inputs!$B$34,CL40)*Inputs!$B$11</f>
        <v>3.048</v>
      </c>
      <c r="CM41" s="10" t="n">
        <f aca="false">MAX(Inputs!$B$34,CM40)*Inputs!$B$11</f>
        <v>3.048</v>
      </c>
      <c r="CN41" s="10" t="n">
        <f aca="false">MAX(Inputs!$B$34,CN40)*Inputs!$B$11</f>
        <v>3.048</v>
      </c>
      <c r="CO41" s="10" t="n">
        <f aca="false">MAX(Inputs!$B$34,CO40)*Inputs!$B$11</f>
        <v>3.048</v>
      </c>
      <c r="CP41" s="10" t="n">
        <f aca="false">MAX(Inputs!$B$34,CP40)*Inputs!$B$11</f>
        <v>3.048</v>
      </c>
      <c r="CQ41" s="10" t="n">
        <f aca="false">MAX(Inputs!$B$34,CQ40)*Inputs!$B$11</f>
        <v>3.048</v>
      </c>
      <c r="CR41" s="10" t="n">
        <f aca="false">MAX(Inputs!$B$34,CR40)*Inputs!$B$11</f>
        <v>3.048</v>
      </c>
      <c r="CS41" s="10" t="n">
        <f aca="false">MAX(Inputs!$B$34,CS40)*Inputs!$B$11</f>
        <v>3.048</v>
      </c>
      <c r="CT41" s="10" t="n">
        <f aca="false">MAX(Inputs!$B$34,CT40)*Inputs!$B$11</f>
        <v>3.048</v>
      </c>
      <c r="CU41" s="10" t="n">
        <f aca="false">MAX(Inputs!$B$34,CU40)*Inputs!$B$11</f>
        <v>3.048</v>
      </c>
      <c r="CV41" s="10" t="n">
        <f aca="false">MAX(Inputs!$B$34,CV40)*Inputs!$B$11</f>
        <v>3.048</v>
      </c>
      <c r="CW41" s="10" t="n">
        <f aca="false">MAX(Inputs!$B$34,CW40)*Inputs!$B$11</f>
        <v>3.048</v>
      </c>
      <c r="CX41" s="10" t="n">
        <f aca="false">MAX(Inputs!$B$34,CX40)*Inputs!$B$11</f>
        <v>3.048</v>
      </c>
      <c r="CY41" s="10" t="n">
        <f aca="false">MAX(Inputs!$B$34,CY40)*Inputs!$B$11</f>
        <v>3.048</v>
      </c>
      <c r="CZ41" s="10" t="n">
        <f aca="false">MAX(Inputs!$B$34,CZ40)*Inputs!$B$11</f>
        <v>3.048</v>
      </c>
      <c r="DA41" s="10" t="n">
        <f aca="false">MAX(Inputs!$B$34,DA40)*Inputs!$B$11</f>
        <v>3.048</v>
      </c>
      <c r="DB41" s="10" t="n">
        <f aca="false">MAX(Inputs!$B$34,DB40)*Inputs!$B$11</f>
        <v>3.048</v>
      </c>
      <c r="DC41" s="10" t="n">
        <f aca="false">MAX(Inputs!$B$34,DC40)*Inputs!$B$11</f>
        <v>3.048</v>
      </c>
      <c r="DD41" s="10" t="n">
        <f aca="false">MAX(Inputs!$B$34,DD40)*Inputs!$B$11</f>
        <v>3.048</v>
      </c>
      <c r="DE41" s="10" t="n">
        <f aca="false">MAX(Inputs!$B$34,DE40)*Inputs!$B$11</f>
        <v>3.048</v>
      </c>
      <c r="DF41" s="10" t="n">
        <f aca="false">MAX(Inputs!$B$34,DF40)*Inputs!$B$11</f>
        <v>3.048</v>
      </c>
      <c r="DG41" s="10" t="n">
        <f aca="false">MAX(Inputs!$B$34,DG40)*Inputs!$B$11</f>
        <v>3.048</v>
      </c>
      <c r="DH41" s="10" t="n">
        <f aca="false">MAX(Inputs!$B$34,DH40)*Inputs!$B$11</f>
        <v>3.048</v>
      </c>
      <c r="DI41" s="10" t="n">
        <f aca="false">MAX(Inputs!$B$34,DI40)*Inputs!$B$11</f>
        <v>3.048</v>
      </c>
      <c r="DJ41" s="10" t="n">
        <f aca="false">MAX(Inputs!$B$34,DJ40)*Inputs!$B$11</f>
        <v>3.048</v>
      </c>
      <c r="DK41" s="10" t="n">
        <f aca="false">MAX(Inputs!$B$34,DK40)*Inputs!$B$11</f>
        <v>3.048</v>
      </c>
      <c r="DL41" s="10" t="n">
        <f aca="false">MAX(Inputs!$B$34,DL40)*Inputs!$B$11</f>
        <v>3.048</v>
      </c>
      <c r="DM41" s="10" t="n">
        <f aca="false">MAX(Inputs!$B$34,DM40)*Inputs!$B$11</f>
        <v>3.048</v>
      </c>
      <c r="DN41" s="10" t="n">
        <f aca="false">MAX(Inputs!$B$34,DN40)*Inputs!$B$11</f>
        <v>3.048</v>
      </c>
      <c r="DO41" s="10" t="n">
        <f aca="false">MAX(Inputs!$B$34,DO40)*Inputs!$B$11</f>
        <v>3.048</v>
      </c>
      <c r="DP41" s="10" t="n">
        <f aca="false">MAX(Inputs!$B$34,DP40)*Inputs!$B$11</f>
        <v>3.048</v>
      </c>
      <c r="DQ41" s="10" t="n">
        <f aca="false">MAX(Inputs!$B$34,DQ40)*Inputs!$B$11</f>
        <v>3.048</v>
      </c>
      <c r="DR41" s="10" t="n">
        <f aca="false">MAX(Inputs!$B$34,DR40)*Inputs!$B$11</f>
        <v>3.048</v>
      </c>
    </row>
    <row r="42" customFormat="false" ht="15" hidden="false" customHeight="false" outlineLevel="0" collapsed="false">
      <c r="A42" s="12" t="s">
        <v>210</v>
      </c>
      <c r="B42" s="13" t="n">
        <f aca="false">B40-B41</f>
        <v>0</v>
      </c>
      <c r="C42" s="13" t="n">
        <f aca="false">C40-C41</f>
        <v>-1.19305555555556</v>
      </c>
      <c r="D42" s="13" t="n">
        <f aca="false">D40-D41</f>
        <v>-1.25277777777778</v>
      </c>
      <c r="E42" s="13" t="n">
        <f aca="false">E40-E41</f>
        <v>-1.3125</v>
      </c>
      <c r="F42" s="13" t="n">
        <f aca="false">F40-F41</f>
        <v>-1.37222222222222</v>
      </c>
      <c r="G42" s="13" t="n">
        <f aca="false">G40-G41</f>
        <v>-1.43194444444444</v>
      </c>
      <c r="H42" s="13" t="n">
        <f aca="false">H40-H41</f>
        <v>-1.49166666666667</v>
      </c>
      <c r="I42" s="13" t="n">
        <f aca="false">I40-I41</f>
        <v>-1.55138888888889</v>
      </c>
      <c r="J42" s="13" t="n">
        <f aca="false">J40-J41</f>
        <v>-1.61111111111111</v>
      </c>
      <c r="K42" s="13" t="n">
        <f aca="false">K40-K41</f>
        <v>2.10641666666667</v>
      </c>
      <c r="L42" s="13" t="n">
        <f aca="false">L40-L41</f>
        <v>2.06461111111111</v>
      </c>
      <c r="M42" s="13" t="n">
        <f aca="false">M40-M41</f>
        <v>2.02280555555556</v>
      </c>
      <c r="N42" s="13" t="n">
        <f aca="false">N40-N41</f>
        <v>4.165</v>
      </c>
      <c r="O42" s="13" t="n">
        <f aca="false">O40-O41</f>
        <v>4.57158333333333</v>
      </c>
      <c r="P42" s="13" t="n">
        <f aca="false">P40-P41</f>
        <v>4.56983333333333</v>
      </c>
      <c r="Q42" s="13" t="n">
        <f aca="false">Q40-Q41</f>
        <v>6.75138333333333</v>
      </c>
      <c r="R42" s="13" t="n">
        <f aca="false">R40-R41</f>
        <v>6.74893333333333</v>
      </c>
      <c r="S42" s="13" t="n">
        <f aca="false">S40-S41</f>
        <v>6.74648333333333</v>
      </c>
      <c r="T42" s="13" t="n">
        <f aca="false">T40-T41</f>
        <v>6.74403333333333</v>
      </c>
      <c r="U42" s="13" t="n">
        <f aca="false">U40-U41</f>
        <v>6.74158333333333</v>
      </c>
      <c r="V42" s="13" t="n">
        <f aca="false">V40-V41</f>
        <v>6.73913333333333</v>
      </c>
      <c r="W42" s="13" t="n">
        <f aca="false">W40-W41</f>
        <v>6.73668333333333</v>
      </c>
      <c r="X42" s="13" t="n">
        <f aca="false">X40-X41</f>
        <v>6.73423333333333</v>
      </c>
      <c r="Y42" s="13" t="n">
        <f aca="false">Y40-Y41</f>
        <v>6.73178333333333</v>
      </c>
      <c r="Z42" s="13" t="n">
        <f aca="false">Z40-Z41</f>
        <v>6.72933333333333</v>
      </c>
      <c r="AA42" s="13" t="n">
        <f aca="false">AA40-AA41</f>
        <v>6.72688333333333</v>
      </c>
      <c r="AB42" s="13" t="n">
        <f aca="false">AB40-AB41</f>
        <v>6.72443333333333</v>
      </c>
      <c r="AC42" s="13" t="n">
        <f aca="false">AC40-AC41</f>
        <v>6.72198333333333</v>
      </c>
      <c r="AD42" s="13" t="n">
        <f aca="false">AD40-AD41</f>
        <v>6.71953333333333</v>
      </c>
      <c r="AE42" s="13" t="n">
        <f aca="false">AE40-AE41</f>
        <v>6.71708333333333</v>
      </c>
      <c r="AF42" s="13" t="n">
        <f aca="false">AF40-AF41</f>
        <v>6.71463333333333</v>
      </c>
      <c r="AG42" s="13" t="n">
        <f aca="false">AG40-AG41</f>
        <v>6.71218333333333</v>
      </c>
      <c r="AH42" s="13" t="n">
        <f aca="false">AH40-AH41</f>
        <v>6.70973333333333</v>
      </c>
      <c r="AI42" s="13" t="n">
        <f aca="false">AI40-AI41</f>
        <v>6.70728333333333</v>
      </c>
      <c r="AJ42" s="13" t="n">
        <f aca="false">AJ40-AJ41</f>
        <v>6.70483333333333</v>
      </c>
      <c r="AK42" s="13" t="n">
        <f aca="false">AK40-AK41</f>
        <v>6.70238333333333</v>
      </c>
      <c r="AL42" s="13" t="n">
        <f aca="false">AL40-AL41</f>
        <v>6.69993333333333</v>
      </c>
      <c r="AM42" s="13" t="n">
        <f aca="false">AM40-AM41</f>
        <v>6.69748333333333</v>
      </c>
      <c r="AN42" s="13" t="n">
        <f aca="false">AN40-AN41</f>
        <v>6.69503333333333</v>
      </c>
      <c r="AO42" s="13" t="n">
        <f aca="false">AO40-AO41</f>
        <v>6.69258333333333</v>
      </c>
      <c r="AP42" s="13" t="n">
        <f aca="false">AP40-AP41</f>
        <v>6.69013333333333</v>
      </c>
      <c r="AQ42" s="13" t="n">
        <f aca="false">AQ40-AQ41</f>
        <v>6.68768333333333</v>
      </c>
      <c r="AR42" s="13" t="n">
        <f aca="false">AR40-AR41</f>
        <v>6.68523333333333</v>
      </c>
      <c r="AS42" s="13" t="n">
        <f aca="false">AS40-AS41</f>
        <v>6.68278333333333</v>
      </c>
      <c r="AT42" s="13" t="n">
        <f aca="false">AT40-AT41</f>
        <v>6.68033333333333</v>
      </c>
      <c r="AU42" s="13" t="n">
        <f aca="false">AU40-AU41</f>
        <v>6.67788333333333</v>
      </c>
      <c r="AV42" s="13" t="n">
        <f aca="false">AV40-AV41</f>
        <v>6.67543333333333</v>
      </c>
      <c r="AW42" s="13" t="n">
        <f aca="false">AW40-AW41</f>
        <v>6.67298333333333</v>
      </c>
      <c r="AX42" s="13" t="n">
        <f aca="false">AX40-AX41</f>
        <v>6.67053333333333</v>
      </c>
      <c r="AY42" s="13" t="n">
        <f aca="false">AY40-AY41</f>
        <v>6.66808333333333</v>
      </c>
      <c r="AZ42" s="13" t="n">
        <f aca="false">AZ40-AZ41</f>
        <v>6.66563333333333</v>
      </c>
      <c r="BA42" s="13" t="n">
        <f aca="false">BA40-BA41</f>
        <v>6.66318333333333</v>
      </c>
      <c r="BB42" s="13" t="n">
        <f aca="false">BB40-BB41</f>
        <v>6.66073333333333</v>
      </c>
      <c r="BC42" s="13" t="n">
        <f aca="false">BC40-BC41</f>
        <v>6.65828333333333</v>
      </c>
      <c r="BD42" s="13" t="n">
        <f aca="false">BD40-BD41</f>
        <v>6.65583333333333</v>
      </c>
      <c r="BE42" s="13" t="n">
        <f aca="false">BE40-BE41</f>
        <v>6.65338333333333</v>
      </c>
      <c r="BF42" s="13" t="n">
        <f aca="false">BF40-BF41</f>
        <v>6.65093333333333</v>
      </c>
      <c r="BG42" s="13" t="n">
        <f aca="false">BG40-BG41</f>
        <v>6.64848333333333</v>
      </c>
      <c r="BH42" s="13" t="n">
        <f aca="false">BH40-BH41</f>
        <v>6.64603333333333</v>
      </c>
      <c r="BI42" s="13" t="n">
        <f aca="false">BI40-BI41</f>
        <v>6.64358333333333</v>
      </c>
      <c r="BJ42" s="13" t="n">
        <f aca="false">BJ40-BJ41</f>
        <v>6.64113333333333</v>
      </c>
      <c r="BK42" s="13" t="n">
        <f aca="false">BK40-BK41</f>
        <v>6.68048888888889</v>
      </c>
      <c r="BL42" s="13" t="n">
        <f aca="false">BL40-BL41</f>
        <v>6.71984444444444</v>
      </c>
      <c r="BM42" s="13" t="n">
        <f aca="false">BM40-BM41</f>
        <v>6.7592</v>
      </c>
      <c r="BN42" s="13" t="n">
        <f aca="false">BN40-BN41</f>
        <v>6.79855555555556</v>
      </c>
      <c r="BO42" s="13" t="n">
        <f aca="false">BO40-BO41</f>
        <v>6.83791111111111</v>
      </c>
      <c r="BP42" s="13" t="n">
        <f aca="false">BP40-BP41</f>
        <v>6.87726666666667</v>
      </c>
      <c r="BQ42" s="13" t="n">
        <f aca="false">BQ40-BQ41</f>
        <v>6.91662222222222</v>
      </c>
      <c r="BR42" s="13" t="n">
        <f aca="false">BR40-BR41</f>
        <v>6.95597777777778</v>
      </c>
      <c r="BS42" s="13" t="n">
        <f aca="false">BS40-BS41</f>
        <v>6.99533333333333</v>
      </c>
      <c r="BT42" s="13" t="n">
        <f aca="false">BT40-BT41</f>
        <v>7.03468888888889</v>
      </c>
      <c r="BU42" s="13" t="n">
        <f aca="false">BU40-BU41</f>
        <v>7.07404444444444</v>
      </c>
      <c r="BV42" s="13" t="n">
        <f aca="false">BV40-BV41</f>
        <v>7.1134</v>
      </c>
      <c r="BW42" s="13" t="n">
        <f aca="false">BW40-BW41</f>
        <v>7.1127</v>
      </c>
      <c r="BX42" s="13" t="n">
        <f aca="false">BX40-BX41</f>
        <v>7.112</v>
      </c>
      <c r="BY42" s="13" t="n">
        <f aca="false">BY40-BY41</f>
        <v>7.112</v>
      </c>
      <c r="BZ42" s="13" t="n">
        <f aca="false">BZ40-BZ41</f>
        <v>7.112</v>
      </c>
      <c r="CA42" s="13" t="n">
        <f aca="false">CA40-CA41</f>
        <v>7.112</v>
      </c>
      <c r="CB42" s="13" t="n">
        <f aca="false">CB40-CB41</f>
        <v>7.112</v>
      </c>
      <c r="CC42" s="13" t="n">
        <f aca="false">CC40-CC41</f>
        <v>7.112</v>
      </c>
      <c r="CD42" s="13" t="n">
        <f aca="false">CD40-CD41</f>
        <v>7.112</v>
      </c>
      <c r="CE42" s="13" t="n">
        <f aca="false">CE40-CE41</f>
        <v>7.112</v>
      </c>
      <c r="CF42" s="13" t="n">
        <f aca="false">CF40-CF41</f>
        <v>7.112</v>
      </c>
      <c r="CG42" s="13" t="n">
        <f aca="false">CG40-CG41</f>
        <v>7.112</v>
      </c>
      <c r="CH42" s="13" t="n">
        <f aca="false">CH40-CH41</f>
        <v>7.112</v>
      </c>
      <c r="CI42" s="13" t="n">
        <f aca="false">CI40-CI41</f>
        <v>7.112</v>
      </c>
      <c r="CJ42" s="13" t="n">
        <f aca="false">CJ40-CJ41</f>
        <v>7.112</v>
      </c>
      <c r="CK42" s="13" t="n">
        <f aca="false">CK40-CK41</f>
        <v>7.112</v>
      </c>
      <c r="CL42" s="13" t="n">
        <f aca="false">CL40-CL41</f>
        <v>7.112</v>
      </c>
      <c r="CM42" s="13" t="n">
        <f aca="false">CM40-CM41</f>
        <v>7.112</v>
      </c>
      <c r="CN42" s="13" t="n">
        <f aca="false">CN40-CN41</f>
        <v>7.112</v>
      </c>
      <c r="CO42" s="13" t="n">
        <f aca="false">CO40-CO41</f>
        <v>7.112</v>
      </c>
      <c r="CP42" s="13" t="n">
        <f aca="false">CP40-CP41</f>
        <v>7.112</v>
      </c>
      <c r="CQ42" s="13" t="n">
        <f aca="false">CQ40-CQ41</f>
        <v>7.112</v>
      </c>
      <c r="CR42" s="13" t="n">
        <f aca="false">CR40-CR41</f>
        <v>7.112</v>
      </c>
      <c r="CS42" s="13" t="n">
        <f aca="false">CS40-CS41</f>
        <v>7.112</v>
      </c>
      <c r="CT42" s="13" t="n">
        <f aca="false">CT40-CT41</f>
        <v>7.112</v>
      </c>
      <c r="CU42" s="13" t="n">
        <f aca="false">CU40-CU41</f>
        <v>7.112</v>
      </c>
      <c r="CV42" s="13" t="n">
        <f aca="false">CV40-CV41</f>
        <v>7.112</v>
      </c>
      <c r="CW42" s="13" t="n">
        <f aca="false">CW40-CW41</f>
        <v>7.112</v>
      </c>
      <c r="CX42" s="13" t="n">
        <f aca="false">CX40-CX41</f>
        <v>7.112</v>
      </c>
      <c r="CY42" s="13" t="n">
        <f aca="false">CY40-CY41</f>
        <v>7.112</v>
      </c>
      <c r="CZ42" s="13" t="n">
        <f aca="false">CZ40-CZ41</f>
        <v>7.112</v>
      </c>
      <c r="DA42" s="13" t="n">
        <f aca="false">DA40-DA41</f>
        <v>7.112</v>
      </c>
      <c r="DB42" s="13" t="n">
        <f aca="false">DB40-DB41</f>
        <v>7.112</v>
      </c>
      <c r="DC42" s="13" t="n">
        <f aca="false">DC40-DC41</f>
        <v>7.112</v>
      </c>
      <c r="DD42" s="13" t="n">
        <f aca="false">DD40-DD41</f>
        <v>7.112</v>
      </c>
      <c r="DE42" s="13" t="n">
        <f aca="false">DE40-DE41</f>
        <v>7.112</v>
      </c>
      <c r="DF42" s="13" t="n">
        <f aca="false">DF40-DF41</f>
        <v>7.112</v>
      </c>
      <c r="DG42" s="13" t="n">
        <f aca="false">DG40-DG41</f>
        <v>7.112</v>
      </c>
      <c r="DH42" s="13" t="n">
        <f aca="false">DH40-DH41</f>
        <v>7.112</v>
      </c>
      <c r="DI42" s="13" t="n">
        <f aca="false">DI40-DI41</f>
        <v>7.112</v>
      </c>
      <c r="DJ42" s="13" t="n">
        <f aca="false">DJ40-DJ41</f>
        <v>7.112</v>
      </c>
      <c r="DK42" s="13" t="n">
        <f aca="false">DK40-DK41</f>
        <v>7.112</v>
      </c>
      <c r="DL42" s="13" t="n">
        <f aca="false">DL40-DL41</f>
        <v>7.112</v>
      </c>
      <c r="DM42" s="13" t="n">
        <f aca="false">DM40-DM41</f>
        <v>7.112</v>
      </c>
      <c r="DN42" s="13" t="n">
        <f aca="false">DN40-DN41</f>
        <v>7.112</v>
      </c>
      <c r="DO42" s="13" t="n">
        <f aca="false">DO40-DO41</f>
        <v>7.112</v>
      </c>
      <c r="DP42" s="13" t="n">
        <f aca="false">DP40-DP41</f>
        <v>7.112</v>
      </c>
      <c r="DQ42" s="13" t="n">
        <f aca="false">DQ40-DQ41</f>
        <v>7.112</v>
      </c>
      <c r="DR42" s="13" t="n">
        <f aca="false">DR40-DR41</f>
        <v>7.112</v>
      </c>
    </row>
    <row r="43" customFormat="false" ht="15" hidden="false" customHeight="false" outlineLevel="0" collapsed="false">
      <c r="A43" s="9" t="s">
        <v>211</v>
      </c>
      <c r="B43" s="10" t="n">
        <f aca="false">B31*Inputs!$B$17/Inputs!$B$18</f>
        <v>0</v>
      </c>
      <c r="C43" s="10" t="n">
        <f aca="false">C31*Inputs!$B$17/Inputs!$B$18</f>
        <v>0</v>
      </c>
      <c r="D43" s="10" t="n">
        <f aca="false">D31*Inputs!$B$17/Inputs!$B$18</f>
        <v>0</v>
      </c>
      <c r="E43" s="10" t="n">
        <f aca="false">E31*Inputs!$B$17/Inputs!$B$18</f>
        <v>0</v>
      </c>
      <c r="F43" s="10" t="n">
        <f aca="false">F31*Inputs!$B$17/Inputs!$B$18</f>
        <v>0</v>
      </c>
      <c r="G43" s="10" t="n">
        <f aca="false">G31*Inputs!$B$17/Inputs!$B$18</f>
        <v>0</v>
      </c>
      <c r="H43" s="10" t="n">
        <f aca="false">H31*Inputs!$B$17/Inputs!$B$18</f>
        <v>0</v>
      </c>
      <c r="I43" s="10" t="n">
        <f aca="false">I31*Inputs!$B$17/Inputs!$B$18</f>
        <v>0</v>
      </c>
      <c r="J43" s="10" t="n">
        <f aca="false">J31*Inputs!$B$17/Inputs!$B$18</f>
        <v>0</v>
      </c>
      <c r="K43" s="10" t="n">
        <f aca="false">K31*Inputs!$B$17/Inputs!$B$18</f>
        <v>0</v>
      </c>
      <c r="L43" s="10" t="n">
        <f aca="false">L31*Inputs!$B$17/Inputs!$B$18</f>
        <v>0</v>
      </c>
      <c r="M43" s="10" t="n">
        <f aca="false">M31*Inputs!$B$17/Inputs!$B$18</f>
        <v>0</v>
      </c>
      <c r="N43" s="10" t="n">
        <f aca="false">N31*Inputs!$B$17/Inputs!$B$18</f>
        <v>0</v>
      </c>
      <c r="O43" s="10" t="n">
        <f aca="false">O31*Inputs!$B$17/Inputs!$B$18</f>
        <v>0</v>
      </c>
      <c r="P43" s="10" t="n">
        <f aca="false">P31*Inputs!$B$17/Inputs!$B$18</f>
        <v>0</v>
      </c>
      <c r="Q43" s="10" t="n">
        <f aca="false">Q31*Inputs!$B$17/Inputs!$B$18</f>
        <v>0</v>
      </c>
      <c r="R43" s="10" t="n">
        <f aca="false">R31*Inputs!$B$17/Inputs!$B$18</f>
        <v>0</v>
      </c>
      <c r="S43" s="10" t="n">
        <f aca="false">S31*Inputs!$B$17/Inputs!$B$18</f>
        <v>0</v>
      </c>
      <c r="T43" s="10" t="n">
        <f aca="false">T31*Inputs!$B$17/Inputs!$B$18</f>
        <v>0</v>
      </c>
      <c r="U43" s="10" t="n">
        <f aca="false">U31*Inputs!$B$17/Inputs!$B$18</f>
        <v>0</v>
      </c>
      <c r="V43" s="10" t="n">
        <f aca="false">V31*Inputs!$B$17/Inputs!$B$18</f>
        <v>0</v>
      </c>
      <c r="W43" s="10" t="n">
        <f aca="false">W31*Inputs!$B$17/Inputs!$B$18</f>
        <v>0</v>
      </c>
      <c r="X43" s="10" t="n">
        <f aca="false">X31*Inputs!$B$17/Inputs!$B$18</f>
        <v>0</v>
      </c>
      <c r="Y43" s="10" t="n">
        <f aca="false">Y31*Inputs!$B$17/Inputs!$B$18</f>
        <v>0</v>
      </c>
      <c r="Z43" s="10" t="n">
        <f aca="false">Z31*Inputs!$B$17/Inputs!$B$18</f>
        <v>0</v>
      </c>
      <c r="AA43" s="10" t="n">
        <f aca="false">AA31*Inputs!$B$17/Inputs!$B$18</f>
        <v>0</v>
      </c>
      <c r="AB43" s="10" t="n">
        <f aca="false">AB31*Inputs!$B$17/Inputs!$B$18</f>
        <v>0</v>
      </c>
      <c r="AC43" s="10" t="n">
        <f aca="false">AC31*Inputs!$B$17/Inputs!$B$18</f>
        <v>0</v>
      </c>
      <c r="AD43" s="10" t="n">
        <f aca="false">AD31*Inputs!$B$17/Inputs!$B$18</f>
        <v>0</v>
      </c>
      <c r="AE43" s="10" t="n">
        <f aca="false">AE31*Inputs!$B$17/Inputs!$B$18</f>
        <v>0</v>
      </c>
      <c r="AF43" s="10" t="n">
        <f aca="false">AF31*Inputs!$B$17/Inputs!$B$18</f>
        <v>0</v>
      </c>
      <c r="AG43" s="10" t="n">
        <f aca="false">AG31*Inputs!$B$17/Inputs!$B$18</f>
        <v>0</v>
      </c>
      <c r="AH43" s="10" t="n">
        <f aca="false">AH31*Inputs!$B$17/Inputs!$B$18</f>
        <v>0</v>
      </c>
      <c r="AI43" s="10" t="n">
        <f aca="false">AI31*Inputs!$B$17/Inputs!$B$18</f>
        <v>0</v>
      </c>
      <c r="AJ43" s="10" t="n">
        <f aca="false">AJ31*Inputs!$B$17/Inputs!$B$18</f>
        <v>0</v>
      </c>
      <c r="AK43" s="10" t="n">
        <f aca="false">AK31*Inputs!$B$17/Inputs!$B$18</f>
        <v>0</v>
      </c>
      <c r="AL43" s="10" t="n">
        <f aca="false">AL31*Inputs!$B$17/Inputs!$B$18</f>
        <v>0</v>
      </c>
      <c r="AM43" s="10" t="n">
        <f aca="false">AM31*Inputs!$B$17/Inputs!$B$18</f>
        <v>0</v>
      </c>
      <c r="AN43" s="10" t="n">
        <f aca="false">AN31*Inputs!$B$17/Inputs!$B$18</f>
        <v>0</v>
      </c>
      <c r="AO43" s="10" t="n">
        <f aca="false">AO31*Inputs!$B$17/Inputs!$B$18</f>
        <v>0</v>
      </c>
      <c r="AP43" s="10" t="n">
        <f aca="false">AP31*Inputs!$B$17/Inputs!$B$18</f>
        <v>0</v>
      </c>
      <c r="AQ43" s="10" t="n">
        <f aca="false">AQ31*Inputs!$B$17/Inputs!$B$18</f>
        <v>0</v>
      </c>
      <c r="AR43" s="10" t="n">
        <f aca="false">AR31*Inputs!$B$17/Inputs!$B$18</f>
        <v>0</v>
      </c>
      <c r="AS43" s="10" t="n">
        <f aca="false">AS31*Inputs!$B$17/Inputs!$B$18</f>
        <v>0</v>
      </c>
      <c r="AT43" s="10" t="n">
        <f aca="false">AT31*Inputs!$B$17/Inputs!$B$18</f>
        <v>0</v>
      </c>
      <c r="AU43" s="10" t="n">
        <f aca="false">AU31*Inputs!$B$17/Inputs!$B$18</f>
        <v>0</v>
      </c>
      <c r="AV43" s="10" t="n">
        <f aca="false">AV31*Inputs!$B$17/Inputs!$B$18</f>
        <v>0</v>
      </c>
      <c r="AW43" s="10" t="n">
        <f aca="false">AW31*Inputs!$B$17/Inputs!$B$18</f>
        <v>0</v>
      </c>
      <c r="AX43" s="10" t="n">
        <f aca="false">AX31*Inputs!$B$17/Inputs!$B$18</f>
        <v>0</v>
      </c>
      <c r="AY43" s="10" t="n">
        <f aca="false">AY31*Inputs!$B$17/Inputs!$B$18</f>
        <v>0</v>
      </c>
      <c r="AZ43" s="10" t="n">
        <f aca="false">AZ31*Inputs!$B$17/Inputs!$B$18</f>
        <v>0</v>
      </c>
      <c r="BA43" s="10" t="n">
        <f aca="false">BA31*Inputs!$B$17/Inputs!$B$18</f>
        <v>0</v>
      </c>
      <c r="BB43" s="10" t="n">
        <f aca="false">BB31*Inputs!$B$17/Inputs!$B$18</f>
        <v>0</v>
      </c>
      <c r="BC43" s="10" t="n">
        <f aca="false">BC31*Inputs!$B$17/Inputs!$B$18</f>
        <v>0</v>
      </c>
      <c r="BD43" s="10" t="n">
        <f aca="false">BD31*Inputs!$B$17/Inputs!$B$18</f>
        <v>0</v>
      </c>
      <c r="BE43" s="10" t="n">
        <f aca="false">BE31*Inputs!$B$17/Inputs!$B$18</f>
        <v>0</v>
      </c>
      <c r="BF43" s="10" t="n">
        <f aca="false">BF31*Inputs!$B$17/Inputs!$B$18</f>
        <v>0</v>
      </c>
      <c r="BG43" s="10" t="n">
        <f aca="false">BG31*Inputs!$B$17/Inputs!$B$18</f>
        <v>0</v>
      </c>
      <c r="BH43" s="10" t="n">
        <f aca="false">BH31*Inputs!$B$17/Inputs!$B$18</f>
        <v>0</v>
      </c>
      <c r="BI43" s="10" t="n">
        <f aca="false">BI31*Inputs!$B$17/Inputs!$B$18</f>
        <v>0</v>
      </c>
      <c r="BJ43" s="10" t="n">
        <f aca="false">BJ31*Inputs!$B$17/Inputs!$B$18</f>
        <v>0</v>
      </c>
      <c r="BK43" s="10" t="n">
        <f aca="false">BK31*Inputs!$B$17/Inputs!$B$18</f>
        <v>0</v>
      </c>
      <c r="BL43" s="10" t="n">
        <f aca="false">BL31*Inputs!$B$17/Inputs!$B$18</f>
        <v>0</v>
      </c>
      <c r="BM43" s="10" t="n">
        <f aca="false">BM31*Inputs!$B$17/Inputs!$B$18</f>
        <v>0</v>
      </c>
      <c r="BN43" s="10" t="n">
        <f aca="false">BN31*Inputs!$B$17/Inputs!$B$18</f>
        <v>0</v>
      </c>
      <c r="BO43" s="10" t="n">
        <f aca="false">BO31*Inputs!$B$17/Inputs!$B$18</f>
        <v>0</v>
      </c>
      <c r="BP43" s="10" t="n">
        <f aca="false">BP31*Inputs!$B$17/Inputs!$B$18</f>
        <v>0</v>
      </c>
      <c r="BQ43" s="10" t="n">
        <f aca="false">BQ31*Inputs!$B$17/Inputs!$B$18</f>
        <v>0</v>
      </c>
      <c r="BR43" s="10" t="n">
        <f aca="false">BR31*Inputs!$B$17/Inputs!$B$18</f>
        <v>0</v>
      </c>
      <c r="BS43" s="10" t="n">
        <f aca="false">BS31*Inputs!$B$17/Inputs!$B$18</f>
        <v>0</v>
      </c>
      <c r="BT43" s="10" t="n">
        <f aca="false">BT31*Inputs!$B$17/Inputs!$B$18</f>
        <v>0</v>
      </c>
      <c r="BU43" s="10" t="n">
        <f aca="false">BU31*Inputs!$B$17/Inputs!$B$18</f>
        <v>0</v>
      </c>
      <c r="BV43" s="10" t="n">
        <f aca="false">BV31*Inputs!$B$17/Inputs!$B$18</f>
        <v>0</v>
      </c>
      <c r="BW43" s="10" t="n">
        <f aca="false">BW31*Inputs!$B$17/Inputs!$B$18</f>
        <v>0</v>
      </c>
      <c r="BX43" s="10" t="n">
        <f aca="false">BX31*Inputs!$B$17/Inputs!$B$18</f>
        <v>0</v>
      </c>
      <c r="BY43" s="10" t="n">
        <f aca="false">BY31*Inputs!$B$17/Inputs!$B$18</f>
        <v>0</v>
      </c>
      <c r="BZ43" s="10" t="n">
        <f aca="false">BZ31*Inputs!$B$17/Inputs!$B$18</f>
        <v>0</v>
      </c>
      <c r="CA43" s="10" t="n">
        <f aca="false">CA31*Inputs!$B$17/Inputs!$B$18</f>
        <v>0</v>
      </c>
      <c r="CB43" s="10" t="n">
        <f aca="false">CB31*Inputs!$B$17/Inputs!$B$18</f>
        <v>0</v>
      </c>
      <c r="CC43" s="10" t="n">
        <f aca="false">CC31*Inputs!$B$17/Inputs!$B$18</f>
        <v>0</v>
      </c>
      <c r="CD43" s="10" t="n">
        <f aca="false">CD31*Inputs!$B$17/Inputs!$B$18</f>
        <v>0</v>
      </c>
      <c r="CE43" s="10" t="n">
        <f aca="false">CE31*Inputs!$B$17/Inputs!$B$18</f>
        <v>0</v>
      </c>
      <c r="CF43" s="10" t="n">
        <f aca="false">CF31*Inputs!$B$17/Inputs!$B$18</f>
        <v>0</v>
      </c>
      <c r="CG43" s="10" t="n">
        <f aca="false">CG31*Inputs!$B$17/Inputs!$B$18</f>
        <v>0</v>
      </c>
      <c r="CH43" s="10" t="n">
        <f aca="false">CH31*Inputs!$B$17/Inputs!$B$18</f>
        <v>0</v>
      </c>
      <c r="CI43" s="10" t="n">
        <f aca="false">CI31*Inputs!$B$17/Inputs!$B$18</f>
        <v>0</v>
      </c>
      <c r="CJ43" s="10" t="n">
        <f aca="false">CJ31*Inputs!$B$17/Inputs!$B$18</f>
        <v>0</v>
      </c>
      <c r="CK43" s="10" t="n">
        <f aca="false">CK31*Inputs!$B$17/Inputs!$B$18</f>
        <v>0</v>
      </c>
      <c r="CL43" s="10" t="n">
        <f aca="false">CL31*Inputs!$B$17/Inputs!$B$18</f>
        <v>0</v>
      </c>
      <c r="CM43" s="10" t="n">
        <f aca="false">CM31*Inputs!$B$17/Inputs!$B$18</f>
        <v>0</v>
      </c>
      <c r="CN43" s="10" t="n">
        <f aca="false">CN31*Inputs!$B$17/Inputs!$B$18</f>
        <v>0</v>
      </c>
      <c r="CO43" s="10" t="n">
        <f aca="false">CO31*Inputs!$B$17/Inputs!$B$18</f>
        <v>0</v>
      </c>
      <c r="CP43" s="10" t="n">
        <f aca="false">CP31*Inputs!$B$17/Inputs!$B$18</f>
        <v>0</v>
      </c>
      <c r="CQ43" s="10" t="n">
        <f aca="false">CQ31*Inputs!$B$17/Inputs!$B$18</f>
        <v>0</v>
      </c>
      <c r="CR43" s="10" t="n">
        <f aca="false">CR31*Inputs!$B$17/Inputs!$B$18</f>
        <v>0</v>
      </c>
      <c r="CS43" s="10" t="n">
        <f aca="false">CS31*Inputs!$B$17/Inputs!$B$18</f>
        <v>0</v>
      </c>
      <c r="CT43" s="10" t="n">
        <f aca="false">CT31*Inputs!$B$17/Inputs!$B$18</f>
        <v>0</v>
      </c>
      <c r="CU43" s="10" t="n">
        <f aca="false">CU31*Inputs!$B$17/Inputs!$B$18</f>
        <v>0</v>
      </c>
      <c r="CV43" s="10" t="n">
        <f aca="false">CV31*Inputs!$B$17/Inputs!$B$18</f>
        <v>0</v>
      </c>
      <c r="CW43" s="10" t="n">
        <f aca="false">CW31*Inputs!$B$17/Inputs!$B$18</f>
        <v>0</v>
      </c>
      <c r="CX43" s="10" t="n">
        <f aca="false">CX31*Inputs!$B$17/Inputs!$B$18</f>
        <v>0</v>
      </c>
      <c r="CY43" s="10" t="n">
        <f aca="false">CY31*Inputs!$B$17/Inputs!$B$18</f>
        <v>0</v>
      </c>
      <c r="CZ43" s="10" t="n">
        <f aca="false">CZ31*Inputs!$B$17/Inputs!$B$18</f>
        <v>0</v>
      </c>
      <c r="DA43" s="10" t="n">
        <f aca="false">DA31*Inputs!$B$17/Inputs!$B$18</f>
        <v>0</v>
      </c>
      <c r="DB43" s="10" t="n">
        <f aca="false">DB31*Inputs!$B$17/Inputs!$B$18</f>
        <v>0</v>
      </c>
      <c r="DC43" s="10" t="n">
        <f aca="false">DC31*Inputs!$B$17/Inputs!$B$18</f>
        <v>0</v>
      </c>
      <c r="DD43" s="10" t="n">
        <f aca="false">DD31*Inputs!$B$17/Inputs!$B$18</f>
        <v>0</v>
      </c>
      <c r="DE43" s="10" t="n">
        <f aca="false">DE31*Inputs!$B$17/Inputs!$B$18</f>
        <v>0</v>
      </c>
      <c r="DF43" s="10" t="n">
        <f aca="false">DF31*Inputs!$B$17/Inputs!$B$18</f>
        <v>0</v>
      </c>
      <c r="DG43" s="10" t="n">
        <f aca="false">DG31*Inputs!$B$17/Inputs!$B$18</f>
        <v>0</v>
      </c>
      <c r="DH43" s="10" t="n">
        <f aca="false">DH31*Inputs!$B$17/Inputs!$B$18</f>
        <v>0</v>
      </c>
      <c r="DI43" s="10" t="n">
        <f aca="false">DI31*Inputs!$B$17/Inputs!$B$18</f>
        <v>0</v>
      </c>
      <c r="DJ43" s="10" t="n">
        <f aca="false">DJ31*Inputs!$B$17/Inputs!$B$18</f>
        <v>0</v>
      </c>
      <c r="DK43" s="10" t="n">
        <f aca="false">DK31*Inputs!$B$17/Inputs!$B$18</f>
        <v>0</v>
      </c>
      <c r="DL43" s="10" t="n">
        <f aca="false">DL31*Inputs!$B$17/Inputs!$B$18</f>
        <v>0</v>
      </c>
      <c r="DM43" s="10" t="n">
        <f aca="false">DM31*Inputs!$B$17/Inputs!$B$18</f>
        <v>0</v>
      </c>
      <c r="DN43" s="10" t="n">
        <f aca="false">DN31*Inputs!$B$17/Inputs!$B$18</f>
        <v>0</v>
      </c>
      <c r="DO43" s="10" t="n">
        <f aca="false">DO31*Inputs!$B$17/Inputs!$B$18</f>
        <v>0</v>
      </c>
      <c r="DP43" s="10" t="n">
        <f aca="false">DP31*Inputs!$B$17/Inputs!$B$18</f>
        <v>0</v>
      </c>
      <c r="DQ43" s="10" t="n">
        <f aca="false">DQ31*Inputs!$B$17/Inputs!$B$18</f>
        <v>0</v>
      </c>
      <c r="DR43" s="10" t="n">
        <f aca="false">DR31*Inputs!$B$17/Inputs!$B$18</f>
        <v>0</v>
      </c>
    </row>
    <row r="44" customFormat="false" ht="15" hidden="false" customHeight="false" outlineLevel="0" collapsed="false">
      <c r="A44" s="9" t="s">
        <v>212</v>
      </c>
      <c r="B44" s="10" t="n">
        <f aca="false">B43-Inputs!$B$34</f>
        <v>0</v>
      </c>
      <c r="C44" s="11" t="n">
        <f aca="false">C43-B43</f>
        <v>0</v>
      </c>
      <c r="D44" s="11" t="n">
        <f aca="false">D43-C43</f>
        <v>0</v>
      </c>
      <c r="E44" s="11" t="n">
        <f aca="false">E43-D43</f>
        <v>0</v>
      </c>
      <c r="F44" s="11" t="n">
        <f aca="false">F43-E43</f>
        <v>0</v>
      </c>
      <c r="G44" s="11" t="n">
        <f aca="false">G43-F43</f>
        <v>0</v>
      </c>
      <c r="H44" s="11" t="n">
        <f aca="false">H43-G43</f>
        <v>0</v>
      </c>
      <c r="I44" s="11" t="n">
        <f aca="false">I43-H43</f>
        <v>0</v>
      </c>
      <c r="J44" s="11" t="n">
        <f aca="false">J43-I43</f>
        <v>0</v>
      </c>
      <c r="K44" s="11" t="n">
        <f aca="false">K43-J43</f>
        <v>0</v>
      </c>
      <c r="L44" s="11" t="n">
        <f aca="false">L43-K43</f>
        <v>0</v>
      </c>
      <c r="M44" s="11" t="n">
        <f aca="false">M43-L43</f>
        <v>0</v>
      </c>
      <c r="N44" s="11" t="n">
        <f aca="false">N43-M43</f>
        <v>0</v>
      </c>
      <c r="O44" s="11" t="n">
        <f aca="false">O43-N43</f>
        <v>0</v>
      </c>
      <c r="P44" s="11" t="n">
        <f aca="false">P43-O43</f>
        <v>0</v>
      </c>
      <c r="Q44" s="11" t="n">
        <f aca="false">Q43-P43</f>
        <v>0</v>
      </c>
      <c r="R44" s="11" t="n">
        <f aca="false">R43-Q43</f>
        <v>0</v>
      </c>
      <c r="S44" s="11" t="n">
        <f aca="false">S43-R43</f>
        <v>0</v>
      </c>
      <c r="T44" s="11" t="n">
        <f aca="false">T43-S43</f>
        <v>0</v>
      </c>
      <c r="U44" s="11" t="n">
        <f aca="false">U43-T43</f>
        <v>0</v>
      </c>
      <c r="V44" s="11" t="n">
        <f aca="false">V43-U43</f>
        <v>0</v>
      </c>
      <c r="W44" s="11" t="n">
        <f aca="false">W43-V43</f>
        <v>0</v>
      </c>
      <c r="X44" s="11" t="n">
        <f aca="false">X43-W43</f>
        <v>0</v>
      </c>
      <c r="Y44" s="11" t="n">
        <f aca="false">Y43-X43</f>
        <v>0</v>
      </c>
      <c r="Z44" s="11" t="n">
        <f aca="false">Z43-Y43</f>
        <v>0</v>
      </c>
      <c r="AA44" s="11" t="n">
        <f aca="false">AA43-Z43</f>
        <v>0</v>
      </c>
      <c r="AB44" s="11" t="n">
        <f aca="false">AB43-AA43</f>
        <v>0</v>
      </c>
      <c r="AC44" s="11" t="n">
        <f aca="false">AC43-AB43</f>
        <v>0</v>
      </c>
      <c r="AD44" s="11" t="n">
        <f aca="false">AD43-AC43</f>
        <v>0</v>
      </c>
      <c r="AE44" s="11" t="n">
        <f aca="false">AE43-AD43</f>
        <v>0</v>
      </c>
      <c r="AF44" s="11" t="n">
        <f aca="false">AF43-AE43</f>
        <v>0</v>
      </c>
      <c r="AG44" s="11" t="n">
        <f aca="false">AG43-AF43</f>
        <v>0</v>
      </c>
      <c r="AH44" s="11" t="n">
        <f aca="false">AH43-AG43</f>
        <v>0</v>
      </c>
      <c r="AI44" s="11" t="n">
        <f aca="false">AI43-AH43</f>
        <v>0</v>
      </c>
      <c r="AJ44" s="11" t="n">
        <f aca="false">AJ43-AI43</f>
        <v>0</v>
      </c>
      <c r="AK44" s="11" t="n">
        <f aca="false">AK43-AJ43</f>
        <v>0</v>
      </c>
      <c r="AL44" s="11" t="n">
        <f aca="false">AL43-AK43</f>
        <v>0</v>
      </c>
      <c r="AM44" s="11" t="n">
        <f aca="false">AM43-AL43</f>
        <v>0</v>
      </c>
      <c r="AN44" s="11" t="n">
        <f aca="false">AN43-AM43</f>
        <v>0</v>
      </c>
      <c r="AO44" s="11" t="n">
        <f aca="false">AO43-AN43</f>
        <v>0</v>
      </c>
      <c r="AP44" s="11" t="n">
        <f aca="false">AP43-AO43</f>
        <v>0</v>
      </c>
      <c r="AQ44" s="11" t="n">
        <f aca="false">AQ43-AP43</f>
        <v>0</v>
      </c>
      <c r="AR44" s="11" t="n">
        <f aca="false">AR43-AQ43</f>
        <v>0</v>
      </c>
      <c r="AS44" s="11" t="n">
        <f aca="false">AS43-AR43</f>
        <v>0</v>
      </c>
      <c r="AT44" s="11" t="n">
        <f aca="false">AT43-AS43</f>
        <v>0</v>
      </c>
      <c r="AU44" s="11" t="n">
        <f aca="false">AU43-AT43</f>
        <v>0</v>
      </c>
      <c r="AV44" s="11" t="n">
        <f aca="false">AV43-AU43</f>
        <v>0</v>
      </c>
      <c r="AW44" s="11" t="n">
        <f aca="false">AW43-AV43</f>
        <v>0</v>
      </c>
      <c r="AX44" s="11" t="n">
        <f aca="false">AX43-AW43</f>
        <v>0</v>
      </c>
      <c r="AY44" s="11" t="n">
        <f aca="false">AY43-AX43</f>
        <v>0</v>
      </c>
      <c r="AZ44" s="11" t="n">
        <f aca="false">AZ43-AY43</f>
        <v>0</v>
      </c>
      <c r="BA44" s="11" t="n">
        <f aca="false">BA43-AZ43</f>
        <v>0</v>
      </c>
      <c r="BB44" s="11" t="n">
        <f aca="false">BB43-BA43</f>
        <v>0</v>
      </c>
      <c r="BC44" s="11" t="n">
        <f aca="false">BC43-BB43</f>
        <v>0</v>
      </c>
      <c r="BD44" s="11" t="n">
        <f aca="false">BD43-BC43</f>
        <v>0</v>
      </c>
      <c r="BE44" s="11" t="n">
        <f aca="false">BE43-BD43</f>
        <v>0</v>
      </c>
      <c r="BF44" s="11" t="n">
        <f aca="false">BF43-BE43</f>
        <v>0</v>
      </c>
      <c r="BG44" s="11" t="n">
        <f aca="false">BG43-BF43</f>
        <v>0</v>
      </c>
      <c r="BH44" s="11" t="n">
        <f aca="false">BH43-BG43</f>
        <v>0</v>
      </c>
      <c r="BI44" s="11" t="n">
        <f aca="false">BI43-BH43</f>
        <v>0</v>
      </c>
      <c r="BJ44" s="11" t="n">
        <f aca="false">BJ43-BI43</f>
        <v>0</v>
      </c>
      <c r="BK44" s="11" t="n">
        <f aca="false">BK43-BJ43</f>
        <v>0</v>
      </c>
      <c r="BL44" s="11" t="n">
        <f aca="false">BL43-BK43</f>
        <v>0</v>
      </c>
      <c r="BM44" s="11" t="n">
        <f aca="false">BM43-BL43</f>
        <v>0</v>
      </c>
      <c r="BN44" s="11" t="n">
        <f aca="false">BN43-BM43</f>
        <v>0</v>
      </c>
      <c r="BO44" s="11" t="n">
        <f aca="false">BO43-BN43</f>
        <v>0</v>
      </c>
      <c r="BP44" s="11" t="n">
        <f aca="false">BP43-BO43</f>
        <v>0</v>
      </c>
      <c r="BQ44" s="11" t="n">
        <f aca="false">BQ43-BP43</f>
        <v>0</v>
      </c>
      <c r="BR44" s="11" t="n">
        <f aca="false">BR43-BQ43</f>
        <v>0</v>
      </c>
      <c r="BS44" s="11" t="n">
        <f aca="false">BS43-BR43</f>
        <v>0</v>
      </c>
      <c r="BT44" s="11" t="n">
        <f aca="false">BT43-BS43</f>
        <v>0</v>
      </c>
      <c r="BU44" s="11" t="n">
        <f aca="false">BU43-BT43</f>
        <v>0</v>
      </c>
      <c r="BV44" s="11" t="n">
        <f aca="false">BV43-BU43</f>
        <v>0</v>
      </c>
      <c r="BW44" s="11" t="n">
        <f aca="false">BW43-BV43</f>
        <v>0</v>
      </c>
      <c r="BX44" s="11" t="n">
        <f aca="false">BX43-BW43</f>
        <v>0</v>
      </c>
      <c r="BY44" s="11" t="n">
        <f aca="false">BY43-BX43</f>
        <v>0</v>
      </c>
      <c r="BZ44" s="11" t="n">
        <f aca="false">BZ43-BY43</f>
        <v>0</v>
      </c>
      <c r="CA44" s="11" t="n">
        <f aca="false">CA43-BZ43</f>
        <v>0</v>
      </c>
      <c r="CB44" s="11" t="n">
        <f aca="false">CB43-CA43</f>
        <v>0</v>
      </c>
      <c r="CC44" s="11" t="n">
        <f aca="false">CC43-CB43</f>
        <v>0</v>
      </c>
      <c r="CD44" s="11" t="n">
        <f aca="false">CD43-CC43</f>
        <v>0</v>
      </c>
      <c r="CE44" s="11" t="n">
        <f aca="false">CE43-CD43</f>
        <v>0</v>
      </c>
      <c r="CF44" s="11" t="n">
        <f aca="false">CF43-CE43</f>
        <v>0</v>
      </c>
      <c r="CG44" s="11" t="n">
        <f aca="false">CG43-CF43</f>
        <v>0</v>
      </c>
      <c r="CH44" s="11" t="n">
        <f aca="false">CH43-CG43</f>
        <v>0</v>
      </c>
      <c r="CI44" s="11" t="n">
        <f aca="false">CI43-CH43</f>
        <v>0</v>
      </c>
      <c r="CJ44" s="11" t="n">
        <f aca="false">CJ43-CI43</f>
        <v>0</v>
      </c>
      <c r="CK44" s="11" t="n">
        <f aca="false">CK43-CJ43</f>
        <v>0</v>
      </c>
      <c r="CL44" s="11" t="n">
        <f aca="false">CL43-CK43</f>
        <v>0</v>
      </c>
      <c r="CM44" s="11" t="n">
        <f aca="false">CM43-CL43</f>
        <v>0</v>
      </c>
      <c r="CN44" s="11" t="n">
        <f aca="false">CN43-CM43</f>
        <v>0</v>
      </c>
      <c r="CO44" s="11" t="n">
        <f aca="false">CO43-CN43</f>
        <v>0</v>
      </c>
      <c r="CP44" s="11" t="n">
        <f aca="false">CP43-CO43</f>
        <v>0</v>
      </c>
      <c r="CQ44" s="11" t="n">
        <f aca="false">CQ43-CP43</f>
        <v>0</v>
      </c>
      <c r="CR44" s="11" t="n">
        <f aca="false">CR43-CQ43</f>
        <v>0</v>
      </c>
      <c r="CS44" s="11" t="n">
        <f aca="false">CS43-CR43</f>
        <v>0</v>
      </c>
      <c r="CT44" s="11" t="n">
        <f aca="false">CT43-CS43</f>
        <v>0</v>
      </c>
      <c r="CU44" s="11" t="n">
        <f aca="false">CU43-CT43</f>
        <v>0</v>
      </c>
      <c r="CV44" s="11" t="n">
        <f aca="false">CV43-CU43</f>
        <v>0</v>
      </c>
      <c r="CW44" s="11" t="n">
        <f aca="false">CW43-CV43</f>
        <v>0</v>
      </c>
      <c r="CX44" s="11" t="n">
        <f aca="false">CX43-CW43</f>
        <v>0</v>
      </c>
      <c r="CY44" s="11" t="n">
        <f aca="false">CY43-CX43</f>
        <v>0</v>
      </c>
      <c r="CZ44" s="11" t="n">
        <f aca="false">CZ43-CY43</f>
        <v>0</v>
      </c>
      <c r="DA44" s="11" t="n">
        <f aca="false">DA43-CZ43</f>
        <v>0</v>
      </c>
      <c r="DB44" s="11" t="n">
        <f aca="false">DB43-DA43</f>
        <v>0</v>
      </c>
      <c r="DC44" s="11" t="n">
        <f aca="false">DC43-DB43</f>
        <v>0</v>
      </c>
      <c r="DD44" s="11" t="n">
        <f aca="false">DD43-DC43</f>
        <v>0</v>
      </c>
      <c r="DE44" s="11" t="n">
        <f aca="false">DE43-DD43</f>
        <v>0</v>
      </c>
      <c r="DF44" s="11" t="n">
        <f aca="false">DF43-DE43</f>
        <v>0</v>
      </c>
      <c r="DG44" s="11" t="n">
        <f aca="false">DG43-DF43</f>
        <v>0</v>
      </c>
      <c r="DH44" s="11" t="n">
        <f aca="false">DH43-DG43</f>
        <v>0</v>
      </c>
      <c r="DI44" s="11" t="n">
        <f aca="false">DI43-DH43</f>
        <v>0</v>
      </c>
      <c r="DJ44" s="11" t="n">
        <f aca="false">DJ43-DI43</f>
        <v>0</v>
      </c>
      <c r="DK44" s="11" t="n">
        <f aca="false">DK43-DJ43</f>
        <v>0</v>
      </c>
      <c r="DL44" s="11" t="n">
        <f aca="false">DL43-DK43</f>
        <v>0</v>
      </c>
      <c r="DM44" s="11" t="n">
        <f aca="false">DM43-DL43</f>
        <v>0</v>
      </c>
      <c r="DN44" s="11" t="n">
        <f aca="false">DN43-DM43</f>
        <v>0</v>
      </c>
      <c r="DO44" s="11" t="n">
        <f aca="false">DO43-DN43</f>
        <v>0</v>
      </c>
      <c r="DP44" s="11" t="n">
        <f aca="false">DP43-DO43</f>
        <v>0</v>
      </c>
      <c r="DQ44" s="11" t="n">
        <f aca="false">DQ43-DP43</f>
        <v>0</v>
      </c>
      <c r="DR44" s="11" t="n">
        <f aca="false">DR43-DQ43</f>
        <v>0</v>
      </c>
    </row>
    <row r="45" customFormat="false" ht="15" hidden="false" customHeight="false" outlineLevel="0" collapsed="false">
      <c r="A45" s="12" t="s">
        <v>213</v>
      </c>
      <c r="B45" s="13" t="n">
        <f aca="false">B42+B39-B21+B44</f>
        <v>0</v>
      </c>
      <c r="C45" s="13" t="n">
        <f aca="false">C42+C39-C21+C44</f>
        <v>-1.13333333333333</v>
      </c>
      <c r="D45" s="13" t="n">
        <f aca="false">D42+D39-D21+D44</f>
        <v>-1.13333333333333</v>
      </c>
      <c r="E45" s="13" t="n">
        <f aca="false">E42+E39-E21+E44</f>
        <v>-1.13333333333333</v>
      </c>
      <c r="F45" s="13" t="n">
        <f aca="false">F42+F39-F21+F44</f>
        <v>-1.13333333333333</v>
      </c>
      <c r="G45" s="13" t="n">
        <f aca="false">G42+G39-G21+G44</f>
        <v>-1.13333333333333</v>
      </c>
      <c r="H45" s="13" t="n">
        <f aca="false">H42+H39-H21+H44</f>
        <v>-1.13333333333333</v>
      </c>
      <c r="I45" s="13" t="n">
        <f aca="false">I42+I39-I21+I44</f>
        <v>-1.13333333333333</v>
      </c>
      <c r="J45" s="13" t="n">
        <f aca="false">J42+J39-J21+J44</f>
        <v>-1.13333333333333</v>
      </c>
      <c r="K45" s="13" t="n">
        <f aca="false">K42+K39-K21+K44</f>
        <v>2.64391666666667</v>
      </c>
      <c r="L45" s="13" t="n">
        <f aca="false">L42+L39-L21+L44</f>
        <v>2.66183333333333</v>
      </c>
      <c r="M45" s="13" t="n">
        <f aca="false">M42+M39-M21+M44</f>
        <v>2.67975</v>
      </c>
      <c r="N45" s="13" t="n">
        <f aca="false">N42+N39-N21+N44</f>
        <v>4.88166666666667</v>
      </c>
      <c r="O45" s="13" t="n">
        <f aca="false">O42+O39-O21+O44</f>
        <v>5.29075</v>
      </c>
      <c r="P45" s="13" t="n">
        <f aca="false">P42+P39-P21+P44</f>
        <v>5.2915</v>
      </c>
      <c r="Q45" s="13" t="n">
        <f aca="false">Q42+Q39-Q21+Q44</f>
        <v>7.47655</v>
      </c>
      <c r="R45" s="13" t="n">
        <f aca="false">R42+R39-R21+R44</f>
        <v>7.4776</v>
      </c>
      <c r="S45" s="13" t="n">
        <f aca="false">S42+S39-S21+S44</f>
        <v>7.47865</v>
      </c>
      <c r="T45" s="13" t="n">
        <f aca="false">T42+T39-T21+T44</f>
        <v>7.4797</v>
      </c>
      <c r="U45" s="13" t="n">
        <f aca="false">U42+U39-U21+U44</f>
        <v>7.48075</v>
      </c>
      <c r="V45" s="13" t="n">
        <f aca="false">V42+V39-V21+V44</f>
        <v>7.4818</v>
      </c>
      <c r="W45" s="13" t="n">
        <f aca="false">W42+W39-W21+W44</f>
        <v>7.48285</v>
      </c>
      <c r="X45" s="13" t="n">
        <f aca="false">X42+X39-X21+X44</f>
        <v>7.4839</v>
      </c>
      <c r="Y45" s="13" t="n">
        <f aca="false">Y42+Y39-Y21+Y44</f>
        <v>7.48495</v>
      </c>
      <c r="Z45" s="13" t="n">
        <f aca="false">Z42+Z39-Z21+Z44</f>
        <v>7.486</v>
      </c>
      <c r="AA45" s="13" t="n">
        <f aca="false">AA42+AA39-AA21+AA44</f>
        <v>7.48705</v>
      </c>
      <c r="AB45" s="13" t="n">
        <f aca="false">AB42+AB39-AB21+AB44</f>
        <v>7.4881</v>
      </c>
      <c r="AC45" s="13" t="n">
        <f aca="false">AC42+AC39-AC21+AC44</f>
        <v>7.48915</v>
      </c>
      <c r="AD45" s="13" t="n">
        <f aca="false">AD42+AD39-AD21+AD44</f>
        <v>7.4902</v>
      </c>
      <c r="AE45" s="13" t="n">
        <f aca="false">AE42+AE39-AE21+AE44</f>
        <v>7.49125</v>
      </c>
      <c r="AF45" s="13" t="n">
        <f aca="false">AF42+AF39-AF21+AF44</f>
        <v>7.4923</v>
      </c>
      <c r="AG45" s="13" t="n">
        <f aca="false">AG42+AG39-AG21+AG44</f>
        <v>7.49335</v>
      </c>
      <c r="AH45" s="13" t="n">
        <f aca="false">AH42+AH39-AH21+AH44</f>
        <v>7.4944</v>
      </c>
      <c r="AI45" s="13" t="n">
        <f aca="false">AI42+AI39-AI21+AI44</f>
        <v>7.49545</v>
      </c>
      <c r="AJ45" s="13" t="n">
        <f aca="false">AJ42+AJ39-AJ21+AJ44</f>
        <v>7.4965</v>
      </c>
      <c r="AK45" s="13" t="n">
        <f aca="false">AK42+AK39-AK21+AK44</f>
        <v>7.49755</v>
      </c>
      <c r="AL45" s="13" t="n">
        <f aca="false">AL42+AL39-AL21+AL44</f>
        <v>7.4986</v>
      </c>
      <c r="AM45" s="13" t="n">
        <f aca="false">AM42+AM39-AM21+AM44</f>
        <v>7.49965</v>
      </c>
      <c r="AN45" s="13" t="n">
        <f aca="false">AN42+AN39-AN21+AN44</f>
        <v>7.5007</v>
      </c>
      <c r="AO45" s="13" t="n">
        <f aca="false">AO42+AO39-AO21+AO44</f>
        <v>7.50175</v>
      </c>
      <c r="AP45" s="13" t="n">
        <f aca="false">AP42+AP39-AP21+AP44</f>
        <v>7.5028</v>
      </c>
      <c r="AQ45" s="13" t="n">
        <f aca="false">AQ42+AQ39-AQ21+AQ44</f>
        <v>7.50385</v>
      </c>
      <c r="AR45" s="13" t="n">
        <f aca="false">AR42+AR39-AR21+AR44</f>
        <v>7.5049</v>
      </c>
      <c r="AS45" s="13" t="n">
        <f aca="false">AS42+AS39-AS21+AS44</f>
        <v>7.50595</v>
      </c>
      <c r="AT45" s="13" t="n">
        <f aca="false">AT42+AT39-AT21+AT44</f>
        <v>7.507</v>
      </c>
      <c r="AU45" s="13" t="n">
        <f aca="false">AU42+AU39-AU21+AU44</f>
        <v>7.50805</v>
      </c>
      <c r="AV45" s="13" t="n">
        <f aca="false">AV42+AV39-AV21+AV44</f>
        <v>7.5091</v>
      </c>
      <c r="AW45" s="13" t="n">
        <f aca="false">AW42+AW39-AW21+AW44</f>
        <v>7.51015</v>
      </c>
      <c r="AX45" s="13" t="n">
        <f aca="false">AX42+AX39-AX21+AX44</f>
        <v>7.5112</v>
      </c>
      <c r="AY45" s="13" t="n">
        <f aca="false">AY42+AY39-AY21+AY44</f>
        <v>7.51225</v>
      </c>
      <c r="AZ45" s="13" t="n">
        <f aca="false">AZ42+AZ39-AZ21+AZ44</f>
        <v>7.5133</v>
      </c>
      <c r="BA45" s="13" t="n">
        <f aca="false">BA42+BA39-BA21+BA44</f>
        <v>7.51435</v>
      </c>
      <c r="BB45" s="13" t="n">
        <f aca="false">BB42+BB39-BB21+BB44</f>
        <v>7.5154</v>
      </c>
      <c r="BC45" s="13" t="n">
        <f aca="false">BC42+BC39-BC21+BC44</f>
        <v>7.51645</v>
      </c>
      <c r="BD45" s="13" t="n">
        <f aca="false">BD42+BD39-BD21+BD44</f>
        <v>7.5175</v>
      </c>
      <c r="BE45" s="13" t="n">
        <f aca="false">BE42+BE39-BE21+BE44</f>
        <v>7.51855</v>
      </c>
      <c r="BF45" s="13" t="n">
        <f aca="false">BF42+BF39-BF21+BF44</f>
        <v>7.5196</v>
      </c>
      <c r="BG45" s="13" t="n">
        <f aca="false">BG42+BG39-BG21+BG44</f>
        <v>7.52065</v>
      </c>
      <c r="BH45" s="13" t="n">
        <f aca="false">BH42+BH39-BH21+BH44</f>
        <v>7.5217</v>
      </c>
      <c r="BI45" s="13" t="n">
        <f aca="false">BI42+BI39-BI21+BI44</f>
        <v>7.52275</v>
      </c>
      <c r="BJ45" s="13" t="n">
        <f aca="false">BJ42+BJ39-BJ21+BJ44</f>
        <v>7.5238</v>
      </c>
      <c r="BK45" s="13" t="n">
        <f aca="false">BK42+BK39-BK21+BK44</f>
        <v>7.50693333333333</v>
      </c>
      <c r="BL45" s="13" t="n">
        <f aca="false">BL42+BL39-BL21+BL44</f>
        <v>7.49006666666667</v>
      </c>
      <c r="BM45" s="13" t="n">
        <f aca="false">BM42+BM39-BM21+BM44</f>
        <v>7.4732</v>
      </c>
      <c r="BN45" s="13" t="n">
        <f aca="false">BN42+BN39-BN21+BN44</f>
        <v>7.45633333333333</v>
      </c>
      <c r="BO45" s="13" t="n">
        <f aca="false">BO42+BO39-BO21+BO44</f>
        <v>7.43946666666667</v>
      </c>
      <c r="BP45" s="13" t="n">
        <f aca="false">BP42+BP39-BP21+BP44</f>
        <v>7.4226</v>
      </c>
      <c r="BQ45" s="13" t="n">
        <f aca="false">BQ42+BQ39-BQ21+BQ44</f>
        <v>7.40573333333333</v>
      </c>
      <c r="BR45" s="13" t="n">
        <f aca="false">BR42+BR39-BR21+BR44</f>
        <v>7.38886666666667</v>
      </c>
      <c r="BS45" s="13" t="n">
        <f aca="false">BS42+BS39-BS21+BS44</f>
        <v>7.372</v>
      </c>
      <c r="BT45" s="13" t="n">
        <f aca="false">BT42+BT39-BT21+BT44</f>
        <v>7.35513333333333</v>
      </c>
      <c r="BU45" s="13" t="n">
        <f aca="false">BU42+BU39-BU21+BU44</f>
        <v>7.33826666666667</v>
      </c>
      <c r="BV45" s="13" t="n">
        <f aca="false">BV42+BV39-BV21+BV44</f>
        <v>7.3214</v>
      </c>
      <c r="BW45" s="13" t="n">
        <f aca="false">BW42+BW39-BW21+BW44</f>
        <v>7.3217</v>
      </c>
      <c r="BX45" s="13" t="n">
        <f aca="false">BX42+BX39-BX21+BX44</f>
        <v>7.322</v>
      </c>
      <c r="BY45" s="13" t="n">
        <f aca="false">BY42+BY39-BY21+BY44</f>
        <v>7.322</v>
      </c>
      <c r="BZ45" s="13" t="n">
        <f aca="false">BZ42+BZ39-BZ21+BZ44</f>
        <v>7.322</v>
      </c>
      <c r="CA45" s="13" t="n">
        <f aca="false">CA42+CA39-CA21+CA44</f>
        <v>7.322</v>
      </c>
      <c r="CB45" s="13" t="n">
        <f aca="false">CB42+CB39-CB21+CB44</f>
        <v>7.322</v>
      </c>
      <c r="CC45" s="13" t="n">
        <f aca="false">CC42+CC39-CC21+CC44</f>
        <v>7.322</v>
      </c>
      <c r="CD45" s="13" t="n">
        <f aca="false">CD42+CD39-CD21+CD44</f>
        <v>7.322</v>
      </c>
      <c r="CE45" s="13" t="n">
        <f aca="false">CE42+CE39-CE21+CE44</f>
        <v>7.322</v>
      </c>
      <c r="CF45" s="13" t="n">
        <f aca="false">CF42+CF39-CF21+CF44</f>
        <v>7.322</v>
      </c>
      <c r="CG45" s="13" t="n">
        <f aca="false">CG42+CG39-CG21+CG44</f>
        <v>7.322</v>
      </c>
      <c r="CH45" s="13" t="n">
        <f aca="false">CH42+CH39-CH21+CH44</f>
        <v>7.322</v>
      </c>
      <c r="CI45" s="13" t="n">
        <f aca="false">CI42+CI39-CI21+CI44</f>
        <v>7.322</v>
      </c>
      <c r="CJ45" s="13" t="n">
        <f aca="false">CJ42+CJ39-CJ21+CJ44</f>
        <v>7.322</v>
      </c>
      <c r="CK45" s="13" t="n">
        <f aca="false">CK42+CK39-CK21+CK44</f>
        <v>7.322</v>
      </c>
      <c r="CL45" s="13" t="n">
        <f aca="false">CL42+CL39-CL21+CL44</f>
        <v>7.322</v>
      </c>
      <c r="CM45" s="13" t="n">
        <f aca="false">CM42+CM39-CM21+CM44</f>
        <v>7.322</v>
      </c>
      <c r="CN45" s="13" t="n">
        <f aca="false">CN42+CN39-CN21+CN44</f>
        <v>7.322</v>
      </c>
      <c r="CO45" s="13" t="n">
        <f aca="false">CO42+CO39-CO21+CO44</f>
        <v>7.322</v>
      </c>
      <c r="CP45" s="13" t="n">
        <f aca="false">CP42+CP39-CP21+CP44</f>
        <v>7.322</v>
      </c>
      <c r="CQ45" s="13" t="n">
        <f aca="false">CQ42+CQ39-CQ21+CQ44</f>
        <v>7.322</v>
      </c>
      <c r="CR45" s="13" t="n">
        <f aca="false">CR42+CR39-CR21+CR44</f>
        <v>7.322</v>
      </c>
      <c r="CS45" s="13" t="n">
        <f aca="false">CS42+CS39-CS21+CS44</f>
        <v>7.322</v>
      </c>
      <c r="CT45" s="13" t="n">
        <f aca="false">CT42+CT39-CT21+CT44</f>
        <v>7.322</v>
      </c>
      <c r="CU45" s="13" t="n">
        <f aca="false">CU42+CU39-CU21+CU44</f>
        <v>7.322</v>
      </c>
      <c r="CV45" s="13" t="n">
        <f aca="false">CV42+CV39-CV21+CV44</f>
        <v>7.322</v>
      </c>
      <c r="CW45" s="13" t="n">
        <f aca="false">CW42+CW39-CW21+CW44</f>
        <v>7.322</v>
      </c>
      <c r="CX45" s="13" t="n">
        <f aca="false">CX42+CX39-CX21+CX44</f>
        <v>7.322</v>
      </c>
      <c r="CY45" s="13" t="n">
        <f aca="false">CY42+CY39-CY21+CY44</f>
        <v>7.322</v>
      </c>
      <c r="CZ45" s="13" t="n">
        <f aca="false">CZ42+CZ39-CZ21+CZ44</f>
        <v>7.322</v>
      </c>
      <c r="DA45" s="13" t="n">
        <f aca="false">DA42+DA39-DA21+DA44</f>
        <v>7.322</v>
      </c>
      <c r="DB45" s="13" t="n">
        <f aca="false">DB42+DB39-DB21+DB44</f>
        <v>7.322</v>
      </c>
      <c r="DC45" s="13" t="n">
        <f aca="false">DC42+DC39-DC21+DC44</f>
        <v>7.322</v>
      </c>
      <c r="DD45" s="13" t="n">
        <f aca="false">DD42+DD39-DD21+DD44</f>
        <v>7.322</v>
      </c>
      <c r="DE45" s="13" t="n">
        <f aca="false">DE42+DE39-DE21+DE44</f>
        <v>7.322</v>
      </c>
      <c r="DF45" s="13" t="n">
        <f aca="false">DF42+DF39-DF21+DF44</f>
        <v>7.322</v>
      </c>
      <c r="DG45" s="13" t="n">
        <f aca="false">DG42+DG39-DG21+DG44</f>
        <v>7.322</v>
      </c>
      <c r="DH45" s="13" t="n">
        <f aca="false">DH42+DH39-DH21+DH44</f>
        <v>7.322</v>
      </c>
      <c r="DI45" s="13" t="n">
        <f aca="false">DI42+DI39-DI21+DI44</f>
        <v>7.322</v>
      </c>
      <c r="DJ45" s="13" t="n">
        <f aca="false">DJ42+DJ39-DJ21+DJ44</f>
        <v>7.322</v>
      </c>
      <c r="DK45" s="13" t="n">
        <f aca="false">DK42+DK39-DK21+DK44</f>
        <v>7.322</v>
      </c>
      <c r="DL45" s="13" t="n">
        <f aca="false">DL42+DL39-DL21+DL44</f>
        <v>7.322</v>
      </c>
      <c r="DM45" s="13" t="n">
        <f aca="false">DM42+DM39-DM21+DM44</f>
        <v>7.322</v>
      </c>
      <c r="DN45" s="13" t="n">
        <f aca="false">DN42+DN39-DN21+DN44</f>
        <v>7.322</v>
      </c>
      <c r="DO45" s="13" t="n">
        <f aca="false">DO42+DO39-DO21+DO44</f>
        <v>7.322</v>
      </c>
      <c r="DP45" s="13" t="n">
        <f aca="false">DP42+DP39-DP21+DP44</f>
        <v>7.322</v>
      </c>
      <c r="DQ45" s="13" t="n">
        <f aca="false">DQ42+DQ39-DQ21+DQ44</f>
        <v>7.322</v>
      </c>
      <c r="DR45" s="13" t="n">
        <f aca="false">DR42+DR39-DR21+DR44</f>
        <v>7.322</v>
      </c>
    </row>
    <row r="46" customFormat="false" ht="15" hidden="false" customHeight="false" outlineLevel="0" collapsed="false">
      <c r="A46" s="9" t="s">
        <v>214</v>
      </c>
      <c r="B46" s="11" t="n">
        <f aca="false">-B38</f>
        <v>-0</v>
      </c>
      <c r="C46" s="11" t="n">
        <f aca="false">-C38</f>
        <v>-3.58333333333333</v>
      </c>
      <c r="D46" s="11" t="n">
        <f aca="false">-D38</f>
        <v>-3.58333333333333</v>
      </c>
      <c r="E46" s="11" t="n">
        <f aca="false">-E38</f>
        <v>-3.58333333333333</v>
      </c>
      <c r="F46" s="11" t="n">
        <f aca="false">-F38</f>
        <v>-3.58333333333333</v>
      </c>
      <c r="G46" s="11" t="n">
        <f aca="false">-G38</f>
        <v>-3.58333333333333</v>
      </c>
      <c r="H46" s="11" t="n">
        <f aca="false">-H38</f>
        <v>-3.58333333333333</v>
      </c>
      <c r="I46" s="11" t="n">
        <f aca="false">-I38</f>
        <v>-3.58333333333333</v>
      </c>
      <c r="J46" s="11" t="n">
        <f aca="false">-J38</f>
        <v>-3.58333333333333</v>
      </c>
      <c r="K46" s="11" t="n">
        <f aca="false">-K38</f>
        <v>-3.58333333333333</v>
      </c>
      <c r="L46" s="11" t="n">
        <f aca="false">-L38</f>
        <v>-3.58333333333333</v>
      </c>
      <c r="M46" s="11" t="n">
        <f aca="false">-M38</f>
        <v>-3.58333333333333</v>
      </c>
      <c r="N46" s="11" t="n">
        <f aca="false">-N38</f>
        <v>-3.58333333333333</v>
      </c>
      <c r="O46" s="11" t="n">
        <f aca="false">-O38</f>
        <v>-0.15</v>
      </c>
      <c r="P46" s="11" t="n">
        <f aca="false">-P38</f>
        <v>-0.15</v>
      </c>
      <c r="Q46" s="11" t="n">
        <f aca="false">-Q38</f>
        <v>-0.21</v>
      </c>
      <c r="R46" s="11" t="n">
        <f aca="false">-R38</f>
        <v>-0.21</v>
      </c>
      <c r="S46" s="11" t="n">
        <f aca="false">-S38</f>
        <v>-0.21</v>
      </c>
      <c r="T46" s="11" t="n">
        <f aca="false">-T38</f>
        <v>-0.21</v>
      </c>
      <c r="U46" s="11" t="n">
        <f aca="false">-U38</f>
        <v>-0.21</v>
      </c>
      <c r="V46" s="11" t="n">
        <f aca="false">-V38</f>
        <v>-0.21</v>
      </c>
      <c r="W46" s="11" t="n">
        <f aca="false">-W38</f>
        <v>-0.21</v>
      </c>
      <c r="X46" s="11" t="n">
        <f aca="false">-X38</f>
        <v>-0.21</v>
      </c>
      <c r="Y46" s="11" t="n">
        <f aca="false">-Y38</f>
        <v>-0.21</v>
      </c>
      <c r="Z46" s="11" t="n">
        <f aca="false">-Z38</f>
        <v>-0.21</v>
      </c>
      <c r="AA46" s="11" t="n">
        <f aca="false">-AA38</f>
        <v>-0.21</v>
      </c>
      <c r="AB46" s="11" t="n">
        <f aca="false">-AB38</f>
        <v>-0.21</v>
      </c>
      <c r="AC46" s="11" t="n">
        <f aca="false">-AC38</f>
        <v>-0.21</v>
      </c>
      <c r="AD46" s="11" t="n">
        <f aca="false">-AD38</f>
        <v>-0.21</v>
      </c>
      <c r="AE46" s="11" t="n">
        <f aca="false">-AE38</f>
        <v>-0.21</v>
      </c>
      <c r="AF46" s="11" t="n">
        <f aca="false">-AF38</f>
        <v>-0.21</v>
      </c>
      <c r="AG46" s="11" t="n">
        <f aca="false">-AG38</f>
        <v>-0.21</v>
      </c>
      <c r="AH46" s="11" t="n">
        <f aca="false">-AH38</f>
        <v>-0.21</v>
      </c>
      <c r="AI46" s="11" t="n">
        <f aca="false">-AI38</f>
        <v>-0.21</v>
      </c>
      <c r="AJ46" s="11" t="n">
        <f aca="false">-AJ38</f>
        <v>-0.21</v>
      </c>
      <c r="AK46" s="11" t="n">
        <f aca="false">-AK38</f>
        <v>-0.21</v>
      </c>
      <c r="AL46" s="11" t="n">
        <f aca="false">-AL38</f>
        <v>-0.21</v>
      </c>
      <c r="AM46" s="11" t="n">
        <f aca="false">-AM38</f>
        <v>-0.21</v>
      </c>
      <c r="AN46" s="11" t="n">
        <f aca="false">-AN38</f>
        <v>-0.21</v>
      </c>
      <c r="AO46" s="11" t="n">
        <f aca="false">-AO38</f>
        <v>-0.21</v>
      </c>
      <c r="AP46" s="11" t="n">
        <f aca="false">-AP38</f>
        <v>-0.21</v>
      </c>
      <c r="AQ46" s="11" t="n">
        <f aca="false">-AQ38</f>
        <v>-0.21</v>
      </c>
      <c r="AR46" s="11" t="n">
        <f aca="false">-AR38</f>
        <v>-0.21</v>
      </c>
      <c r="AS46" s="11" t="n">
        <f aca="false">-AS38</f>
        <v>-0.21</v>
      </c>
      <c r="AT46" s="11" t="n">
        <f aca="false">-AT38</f>
        <v>-0.21</v>
      </c>
      <c r="AU46" s="11" t="n">
        <f aca="false">-AU38</f>
        <v>-0.21</v>
      </c>
      <c r="AV46" s="11" t="n">
        <f aca="false">-AV38</f>
        <v>-0.21</v>
      </c>
      <c r="AW46" s="11" t="n">
        <f aca="false">-AW38</f>
        <v>-0.21</v>
      </c>
      <c r="AX46" s="11" t="n">
        <f aca="false">-AX38</f>
        <v>-0.21</v>
      </c>
      <c r="AY46" s="11" t="n">
        <f aca="false">-AY38</f>
        <v>-0.21</v>
      </c>
      <c r="AZ46" s="11" t="n">
        <f aca="false">-AZ38</f>
        <v>-0.21</v>
      </c>
      <c r="BA46" s="11" t="n">
        <f aca="false">-BA38</f>
        <v>-0.21</v>
      </c>
      <c r="BB46" s="11" t="n">
        <f aca="false">-BB38</f>
        <v>-0.21</v>
      </c>
      <c r="BC46" s="11" t="n">
        <f aca="false">-BC38</f>
        <v>-0.21</v>
      </c>
      <c r="BD46" s="11" t="n">
        <f aca="false">-BD38</f>
        <v>-0.21</v>
      </c>
      <c r="BE46" s="11" t="n">
        <f aca="false">-BE38</f>
        <v>-0.21</v>
      </c>
      <c r="BF46" s="11" t="n">
        <f aca="false">-BF38</f>
        <v>-0.21</v>
      </c>
      <c r="BG46" s="11" t="n">
        <f aca="false">-BG38</f>
        <v>-0.21</v>
      </c>
      <c r="BH46" s="11" t="n">
        <f aca="false">-BH38</f>
        <v>-0.21</v>
      </c>
      <c r="BI46" s="11" t="n">
        <f aca="false">-BI38</f>
        <v>-0.21</v>
      </c>
      <c r="BJ46" s="11" t="n">
        <f aca="false">-BJ38</f>
        <v>-0.21</v>
      </c>
      <c r="BK46" s="11" t="n">
        <f aca="false">-BK38</f>
        <v>-0.21</v>
      </c>
      <c r="BL46" s="11" t="n">
        <f aca="false">-BL38</f>
        <v>-0.21</v>
      </c>
      <c r="BM46" s="11" t="n">
        <f aca="false">-BM38</f>
        <v>-0.21</v>
      </c>
      <c r="BN46" s="11" t="n">
        <f aca="false">-BN38</f>
        <v>-0.21</v>
      </c>
      <c r="BO46" s="11" t="n">
        <f aca="false">-BO38</f>
        <v>-0.21</v>
      </c>
      <c r="BP46" s="11" t="n">
        <f aca="false">-BP38</f>
        <v>-0.21</v>
      </c>
      <c r="BQ46" s="11" t="n">
        <f aca="false">-BQ38</f>
        <v>-0.21</v>
      </c>
      <c r="BR46" s="11" t="n">
        <f aca="false">-BR38</f>
        <v>-0.21</v>
      </c>
      <c r="BS46" s="11" t="n">
        <f aca="false">-BS38</f>
        <v>-0.21</v>
      </c>
      <c r="BT46" s="11" t="n">
        <f aca="false">-BT38</f>
        <v>-0.21</v>
      </c>
      <c r="BU46" s="11" t="n">
        <f aca="false">-BU38</f>
        <v>-0.21</v>
      </c>
      <c r="BV46" s="11" t="n">
        <f aca="false">-BV38</f>
        <v>-0.21</v>
      </c>
      <c r="BW46" s="11" t="n">
        <f aca="false">-BW38</f>
        <v>-0.21</v>
      </c>
      <c r="BX46" s="11" t="n">
        <f aca="false">-BX38</f>
        <v>-0.21</v>
      </c>
      <c r="BY46" s="11" t="n">
        <f aca="false">-BY38</f>
        <v>-0.21</v>
      </c>
      <c r="BZ46" s="11" t="n">
        <f aca="false">-BZ38</f>
        <v>-0.21</v>
      </c>
      <c r="CA46" s="11" t="n">
        <f aca="false">-CA38</f>
        <v>-0.21</v>
      </c>
      <c r="CB46" s="11" t="n">
        <f aca="false">-CB38</f>
        <v>-0.21</v>
      </c>
      <c r="CC46" s="11" t="n">
        <f aca="false">-CC38</f>
        <v>-0.21</v>
      </c>
      <c r="CD46" s="11" t="n">
        <f aca="false">-CD38</f>
        <v>-0.21</v>
      </c>
      <c r="CE46" s="11" t="n">
        <f aca="false">-CE38</f>
        <v>-0.21</v>
      </c>
      <c r="CF46" s="11" t="n">
        <f aca="false">-CF38</f>
        <v>-0.21</v>
      </c>
      <c r="CG46" s="11" t="n">
        <f aca="false">-CG38</f>
        <v>-0.21</v>
      </c>
      <c r="CH46" s="11" t="n">
        <f aca="false">-CH38</f>
        <v>-0.21</v>
      </c>
      <c r="CI46" s="11" t="n">
        <f aca="false">-CI38</f>
        <v>-0.21</v>
      </c>
      <c r="CJ46" s="11" t="n">
        <f aca="false">-CJ38</f>
        <v>-0.21</v>
      </c>
      <c r="CK46" s="11" t="n">
        <f aca="false">-CK38</f>
        <v>-0.21</v>
      </c>
      <c r="CL46" s="11" t="n">
        <f aca="false">-CL38</f>
        <v>-0.21</v>
      </c>
      <c r="CM46" s="11" t="n">
        <f aca="false">-CM38</f>
        <v>-0.21</v>
      </c>
      <c r="CN46" s="11" t="n">
        <f aca="false">-CN38</f>
        <v>-0.21</v>
      </c>
      <c r="CO46" s="11" t="n">
        <f aca="false">-CO38</f>
        <v>-0.21</v>
      </c>
      <c r="CP46" s="11" t="n">
        <f aca="false">-CP38</f>
        <v>-0.21</v>
      </c>
      <c r="CQ46" s="11" t="n">
        <f aca="false">-CQ38</f>
        <v>-0.21</v>
      </c>
      <c r="CR46" s="11" t="n">
        <f aca="false">-CR38</f>
        <v>-0.21</v>
      </c>
      <c r="CS46" s="11" t="n">
        <f aca="false">-CS38</f>
        <v>-0.21</v>
      </c>
      <c r="CT46" s="11" t="n">
        <f aca="false">-CT38</f>
        <v>-0.21</v>
      </c>
      <c r="CU46" s="11" t="n">
        <f aca="false">-CU38</f>
        <v>-0.21</v>
      </c>
      <c r="CV46" s="11" t="n">
        <f aca="false">-CV38</f>
        <v>-0.21</v>
      </c>
      <c r="CW46" s="11" t="n">
        <f aca="false">-CW38</f>
        <v>-0.21</v>
      </c>
      <c r="CX46" s="11" t="n">
        <f aca="false">-CX38</f>
        <v>-0.21</v>
      </c>
      <c r="CY46" s="11" t="n">
        <f aca="false">-CY38</f>
        <v>-0.21</v>
      </c>
      <c r="CZ46" s="11" t="n">
        <f aca="false">-CZ38</f>
        <v>-0.21</v>
      </c>
      <c r="DA46" s="11" t="n">
        <f aca="false">-DA38</f>
        <v>-0.21</v>
      </c>
      <c r="DB46" s="11" t="n">
        <f aca="false">-DB38</f>
        <v>-0.21</v>
      </c>
      <c r="DC46" s="11" t="n">
        <f aca="false">-DC38</f>
        <v>-0.21</v>
      </c>
      <c r="DD46" s="11" t="n">
        <f aca="false">-DD38</f>
        <v>-0.21</v>
      </c>
      <c r="DE46" s="11" t="n">
        <f aca="false">-DE38</f>
        <v>-0.21</v>
      </c>
      <c r="DF46" s="11" t="n">
        <f aca="false">-DF38</f>
        <v>-0.21</v>
      </c>
      <c r="DG46" s="11" t="n">
        <f aca="false">-DG38</f>
        <v>-0.21</v>
      </c>
      <c r="DH46" s="11" t="n">
        <f aca="false">-DH38</f>
        <v>-0.21</v>
      </c>
      <c r="DI46" s="11" t="n">
        <f aca="false">-DI38</f>
        <v>-0.21</v>
      </c>
      <c r="DJ46" s="11" t="n">
        <f aca="false">-DJ38</f>
        <v>-0.21</v>
      </c>
      <c r="DK46" s="11" t="n">
        <f aca="false">-DK38</f>
        <v>-0.21</v>
      </c>
      <c r="DL46" s="11" t="n">
        <f aca="false">-DL38</f>
        <v>-0.21</v>
      </c>
      <c r="DM46" s="11" t="n">
        <f aca="false">-DM38</f>
        <v>-0.21</v>
      </c>
      <c r="DN46" s="11" t="n">
        <f aca="false">-DN38</f>
        <v>-0.21</v>
      </c>
      <c r="DO46" s="11" t="n">
        <f aca="false">-DO38</f>
        <v>-0.21</v>
      </c>
      <c r="DP46" s="11" t="n">
        <f aca="false">-DP38</f>
        <v>-0.21</v>
      </c>
      <c r="DQ46" s="11" t="n">
        <f aca="false">-DQ38</f>
        <v>-0.21</v>
      </c>
      <c r="DR46" s="11" t="n">
        <f aca="false">-DR38</f>
        <v>-0.21</v>
      </c>
    </row>
    <row r="47" customFormat="false" ht="15" hidden="false" customHeight="false" outlineLevel="0" collapsed="false">
      <c r="A47" s="9" t="s">
        <v>215</v>
      </c>
      <c r="B47" s="10" t="n">
        <f aca="false">IF(B$1=Inputs!$B$34,Inputs!$B$22,IF(B$1=Inputs!$B$24,Inputs!$B$23,Inputs!$B$34))</f>
        <v>25</v>
      </c>
      <c r="C47" s="10" t="n">
        <f aca="false">IF(C$1=Inputs!$B$34,Inputs!$B$22,IF(C$1=Inputs!$B$24,Inputs!$B$23,Inputs!$B$34))</f>
        <v>0</v>
      </c>
      <c r="D47" s="10" t="n">
        <f aca="false">IF(D$1=Inputs!$B$34,Inputs!$B$22,IF(D$1=Inputs!$B$24,Inputs!$B$23,Inputs!$B$34))</f>
        <v>0</v>
      </c>
      <c r="E47" s="10" t="n">
        <f aca="false">IF(E$1=Inputs!$B$34,Inputs!$B$22,IF(E$1=Inputs!$B$24,Inputs!$B$23,Inputs!$B$34))</f>
        <v>0</v>
      </c>
      <c r="F47" s="10" t="n">
        <f aca="false">IF(F$1=Inputs!$B$34,Inputs!$B$22,IF(F$1=Inputs!$B$24,Inputs!$B$23,Inputs!$B$34))</f>
        <v>0</v>
      </c>
      <c r="G47" s="10" t="n">
        <f aca="false">IF(G$1=Inputs!$B$34,Inputs!$B$22,IF(G$1=Inputs!$B$24,Inputs!$B$23,Inputs!$B$34))</f>
        <v>0</v>
      </c>
      <c r="H47" s="10" t="n">
        <f aca="false">IF(H$1=Inputs!$B$34,Inputs!$B$22,IF(H$1=Inputs!$B$24,Inputs!$B$23,Inputs!$B$34))</f>
        <v>0</v>
      </c>
      <c r="I47" s="10" t="n">
        <f aca="false">IF(I$1=Inputs!$B$34,Inputs!$B$22,IF(I$1=Inputs!$B$24,Inputs!$B$23,Inputs!$B$34))</f>
        <v>0</v>
      </c>
      <c r="J47" s="10" t="n">
        <f aca="false">IF(J$1=Inputs!$B$34,Inputs!$B$22,IF(J$1=Inputs!$B$24,Inputs!$B$23,Inputs!$B$34))</f>
        <v>0</v>
      </c>
      <c r="K47" s="10" t="n">
        <f aca="false">IF(K$1=Inputs!$B$34,Inputs!$B$22,IF(K$1=Inputs!$B$24,Inputs!$B$23,Inputs!$B$34))</f>
        <v>25</v>
      </c>
      <c r="L47" s="10" t="n">
        <f aca="false">IF(L$1=Inputs!$B$34,Inputs!$B$22,IF(L$1=Inputs!$B$24,Inputs!$B$23,Inputs!$B$34))</f>
        <v>0</v>
      </c>
      <c r="M47" s="10" t="n">
        <f aca="false">IF(M$1=Inputs!$B$34,Inputs!$B$22,IF(M$1=Inputs!$B$24,Inputs!$B$23,Inputs!$B$34))</f>
        <v>0</v>
      </c>
      <c r="N47" s="10" t="n">
        <f aca="false">IF(N$1=Inputs!$B$34,Inputs!$B$22,IF(N$1=Inputs!$B$24,Inputs!$B$23,Inputs!$B$34))</f>
        <v>0</v>
      </c>
      <c r="O47" s="10" t="n">
        <f aca="false">IF(O$1=Inputs!$B$34,Inputs!$B$22,IF(O$1=Inputs!$B$24,Inputs!$B$23,Inputs!$B$34))</f>
        <v>0</v>
      </c>
      <c r="P47" s="10" t="n">
        <f aca="false">IF(P$1=Inputs!$B$34,Inputs!$B$22,IF(P$1=Inputs!$B$24,Inputs!$B$23,Inputs!$B$34))</f>
        <v>0</v>
      </c>
      <c r="Q47" s="10" t="n">
        <f aca="false">IF(Q$1=Inputs!$B$34,Inputs!$B$22,IF(Q$1=Inputs!$B$24,Inputs!$B$23,Inputs!$B$34))</f>
        <v>0</v>
      </c>
      <c r="R47" s="10" t="n">
        <f aca="false">IF(R$1=Inputs!$B$34,Inputs!$B$22,IF(R$1=Inputs!$B$24,Inputs!$B$23,Inputs!$B$34))</f>
        <v>0</v>
      </c>
      <c r="S47" s="10" t="n">
        <f aca="false">IF(S$1=Inputs!$B$34,Inputs!$B$22,IF(S$1=Inputs!$B$24,Inputs!$B$23,Inputs!$B$34))</f>
        <v>0</v>
      </c>
      <c r="T47" s="10" t="n">
        <f aca="false">IF(T$1=Inputs!$B$34,Inputs!$B$22,IF(T$1=Inputs!$B$24,Inputs!$B$23,Inputs!$B$34))</f>
        <v>0</v>
      </c>
      <c r="U47" s="10" t="n">
        <f aca="false">IF(U$1=Inputs!$B$34,Inputs!$B$22,IF(U$1=Inputs!$B$24,Inputs!$B$23,Inputs!$B$34))</f>
        <v>0</v>
      </c>
      <c r="V47" s="10" t="n">
        <f aca="false">IF(V$1=Inputs!$B$34,Inputs!$B$22,IF(V$1=Inputs!$B$24,Inputs!$B$23,Inputs!$B$34))</f>
        <v>0</v>
      </c>
      <c r="W47" s="10" t="n">
        <f aca="false">IF(W$1=Inputs!$B$34,Inputs!$B$22,IF(W$1=Inputs!$B$24,Inputs!$B$23,Inputs!$B$34))</f>
        <v>0</v>
      </c>
      <c r="X47" s="10" t="n">
        <f aca="false">IF(X$1=Inputs!$B$34,Inputs!$B$22,IF(X$1=Inputs!$B$24,Inputs!$B$23,Inputs!$B$34))</f>
        <v>0</v>
      </c>
      <c r="Y47" s="10" t="n">
        <f aca="false">IF(Y$1=Inputs!$B$34,Inputs!$B$22,IF(Y$1=Inputs!$B$24,Inputs!$B$23,Inputs!$B$34))</f>
        <v>0</v>
      </c>
      <c r="Z47" s="10" t="n">
        <f aca="false">IF(Z$1=Inputs!$B$34,Inputs!$B$22,IF(Z$1=Inputs!$B$24,Inputs!$B$23,Inputs!$B$34))</f>
        <v>0</v>
      </c>
      <c r="AA47" s="10" t="n">
        <f aca="false">IF(AA$1=Inputs!$B$34,Inputs!$B$22,IF(AA$1=Inputs!$B$24,Inputs!$B$23,Inputs!$B$34))</f>
        <v>0</v>
      </c>
      <c r="AB47" s="10" t="n">
        <f aca="false">IF(AB$1=Inputs!$B$34,Inputs!$B$22,IF(AB$1=Inputs!$B$24,Inputs!$B$23,Inputs!$B$34))</f>
        <v>0</v>
      </c>
      <c r="AC47" s="10" t="n">
        <f aca="false">IF(AC$1=Inputs!$B$34,Inputs!$B$22,IF(AC$1=Inputs!$B$24,Inputs!$B$23,Inputs!$B$34))</f>
        <v>0</v>
      </c>
      <c r="AD47" s="10" t="n">
        <f aca="false">IF(AD$1=Inputs!$B$34,Inputs!$B$22,IF(AD$1=Inputs!$B$24,Inputs!$B$23,Inputs!$B$34))</f>
        <v>0</v>
      </c>
      <c r="AE47" s="10" t="n">
        <f aca="false">IF(AE$1=Inputs!$B$34,Inputs!$B$22,IF(AE$1=Inputs!$B$24,Inputs!$B$23,Inputs!$B$34))</f>
        <v>0</v>
      </c>
      <c r="AF47" s="10" t="n">
        <f aca="false">IF(AF$1=Inputs!$B$34,Inputs!$B$22,IF(AF$1=Inputs!$B$24,Inputs!$B$23,Inputs!$B$34))</f>
        <v>0</v>
      </c>
      <c r="AG47" s="10" t="n">
        <f aca="false">IF(AG$1=Inputs!$B$34,Inputs!$B$22,IF(AG$1=Inputs!$B$24,Inputs!$B$23,Inputs!$B$34))</f>
        <v>0</v>
      </c>
      <c r="AH47" s="10" t="n">
        <f aca="false">IF(AH$1=Inputs!$B$34,Inputs!$B$22,IF(AH$1=Inputs!$B$24,Inputs!$B$23,Inputs!$B$34))</f>
        <v>0</v>
      </c>
      <c r="AI47" s="10" t="n">
        <f aca="false">IF(AI$1=Inputs!$B$34,Inputs!$B$22,IF(AI$1=Inputs!$B$24,Inputs!$B$23,Inputs!$B$34))</f>
        <v>0</v>
      </c>
      <c r="AJ47" s="10" t="n">
        <f aca="false">IF(AJ$1=Inputs!$B$34,Inputs!$B$22,IF(AJ$1=Inputs!$B$24,Inputs!$B$23,Inputs!$B$34))</f>
        <v>0</v>
      </c>
      <c r="AK47" s="10" t="n">
        <f aca="false">IF(AK$1=Inputs!$B$34,Inputs!$B$22,IF(AK$1=Inputs!$B$24,Inputs!$B$23,Inputs!$B$34))</f>
        <v>0</v>
      </c>
      <c r="AL47" s="10" t="n">
        <f aca="false">IF(AL$1=Inputs!$B$34,Inputs!$B$22,IF(AL$1=Inputs!$B$24,Inputs!$B$23,Inputs!$B$34))</f>
        <v>0</v>
      </c>
      <c r="AM47" s="10" t="n">
        <f aca="false">IF(AM$1=Inputs!$B$34,Inputs!$B$22,IF(AM$1=Inputs!$B$24,Inputs!$B$23,Inputs!$B$34))</f>
        <v>0</v>
      </c>
      <c r="AN47" s="10" t="n">
        <f aca="false">IF(AN$1=Inputs!$B$34,Inputs!$B$22,IF(AN$1=Inputs!$B$24,Inputs!$B$23,Inputs!$B$34))</f>
        <v>0</v>
      </c>
      <c r="AO47" s="10" t="n">
        <f aca="false">IF(AO$1=Inputs!$B$34,Inputs!$B$22,IF(AO$1=Inputs!$B$24,Inputs!$B$23,Inputs!$B$34))</f>
        <v>0</v>
      </c>
      <c r="AP47" s="10" t="n">
        <f aca="false">IF(AP$1=Inputs!$B$34,Inputs!$B$22,IF(AP$1=Inputs!$B$24,Inputs!$B$23,Inputs!$B$34))</f>
        <v>0</v>
      </c>
      <c r="AQ47" s="10" t="n">
        <f aca="false">IF(AQ$1=Inputs!$B$34,Inputs!$B$22,IF(AQ$1=Inputs!$B$24,Inputs!$B$23,Inputs!$B$34))</f>
        <v>0</v>
      </c>
      <c r="AR47" s="10" t="n">
        <f aca="false">IF(AR$1=Inputs!$B$34,Inputs!$B$22,IF(AR$1=Inputs!$B$24,Inputs!$B$23,Inputs!$B$34))</f>
        <v>0</v>
      </c>
      <c r="AS47" s="10" t="n">
        <f aca="false">IF(AS$1=Inputs!$B$34,Inputs!$B$22,IF(AS$1=Inputs!$B$24,Inputs!$B$23,Inputs!$B$34))</f>
        <v>0</v>
      </c>
      <c r="AT47" s="10" t="n">
        <f aca="false">IF(AT$1=Inputs!$B$34,Inputs!$B$22,IF(AT$1=Inputs!$B$24,Inputs!$B$23,Inputs!$B$34))</f>
        <v>0</v>
      </c>
      <c r="AU47" s="10" t="n">
        <f aca="false">IF(AU$1=Inputs!$B$34,Inputs!$B$22,IF(AU$1=Inputs!$B$24,Inputs!$B$23,Inputs!$B$34))</f>
        <v>0</v>
      </c>
      <c r="AV47" s="10" t="n">
        <f aca="false">IF(AV$1=Inputs!$B$34,Inputs!$B$22,IF(AV$1=Inputs!$B$24,Inputs!$B$23,Inputs!$B$34))</f>
        <v>0</v>
      </c>
      <c r="AW47" s="10" t="n">
        <f aca="false">IF(AW$1=Inputs!$B$34,Inputs!$B$22,IF(AW$1=Inputs!$B$24,Inputs!$B$23,Inputs!$B$34))</f>
        <v>0</v>
      </c>
      <c r="AX47" s="10" t="n">
        <f aca="false">IF(AX$1=Inputs!$B$34,Inputs!$B$22,IF(AX$1=Inputs!$B$24,Inputs!$B$23,Inputs!$B$34))</f>
        <v>0</v>
      </c>
      <c r="AY47" s="10" t="n">
        <f aca="false">IF(AY$1=Inputs!$B$34,Inputs!$B$22,IF(AY$1=Inputs!$B$24,Inputs!$B$23,Inputs!$B$34))</f>
        <v>0</v>
      </c>
      <c r="AZ47" s="10" t="n">
        <f aca="false">IF(AZ$1=Inputs!$B$34,Inputs!$B$22,IF(AZ$1=Inputs!$B$24,Inputs!$B$23,Inputs!$B$34))</f>
        <v>0</v>
      </c>
      <c r="BA47" s="10" t="n">
        <f aca="false">IF(BA$1=Inputs!$B$34,Inputs!$B$22,IF(BA$1=Inputs!$B$24,Inputs!$B$23,Inputs!$B$34))</f>
        <v>0</v>
      </c>
      <c r="BB47" s="10" t="n">
        <f aca="false">IF(BB$1=Inputs!$B$34,Inputs!$B$22,IF(BB$1=Inputs!$B$24,Inputs!$B$23,Inputs!$B$34))</f>
        <v>0</v>
      </c>
      <c r="BC47" s="10" t="n">
        <f aca="false">IF(BC$1=Inputs!$B$34,Inputs!$B$22,IF(BC$1=Inputs!$B$24,Inputs!$B$23,Inputs!$B$34))</f>
        <v>0</v>
      </c>
      <c r="BD47" s="10" t="n">
        <f aca="false">IF(BD$1=Inputs!$B$34,Inputs!$B$22,IF(BD$1=Inputs!$B$24,Inputs!$B$23,Inputs!$B$34))</f>
        <v>0</v>
      </c>
      <c r="BE47" s="10" t="n">
        <f aca="false">IF(BE$1=Inputs!$B$34,Inputs!$B$22,IF(BE$1=Inputs!$B$24,Inputs!$B$23,Inputs!$B$34))</f>
        <v>0</v>
      </c>
      <c r="BF47" s="10" t="n">
        <f aca="false">IF(BF$1=Inputs!$B$34,Inputs!$B$22,IF(BF$1=Inputs!$B$24,Inputs!$B$23,Inputs!$B$34))</f>
        <v>0</v>
      </c>
      <c r="BG47" s="10" t="n">
        <f aca="false">IF(BG$1=Inputs!$B$34,Inputs!$B$22,IF(BG$1=Inputs!$B$24,Inputs!$B$23,Inputs!$B$34))</f>
        <v>0</v>
      </c>
      <c r="BH47" s="10" t="n">
        <f aca="false">IF(BH$1=Inputs!$B$34,Inputs!$B$22,IF(BH$1=Inputs!$B$24,Inputs!$B$23,Inputs!$B$34))</f>
        <v>0</v>
      </c>
      <c r="BI47" s="10" t="n">
        <f aca="false">IF(BI$1=Inputs!$B$34,Inputs!$B$22,IF(BI$1=Inputs!$B$24,Inputs!$B$23,Inputs!$B$34))</f>
        <v>0</v>
      </c>
      <c r="BJ47" s="10" t="n">
        <f aca="false">IF(BJ$1=Inputs!$B$34,Inputs!$B$22,IF(BJ$1=Inputs!$B$24,Inputs!$B$23,Inputs!$B$34))</f>
        <v>0</v>
      </c>
      <c r="BK47" s="10" t="n">
        <f aca="false">IF(BK$1=Inputs!$B$34,Inputs!$B$22,IF(BK$1=Inputs!$B$24,Inputs!$B$23,Inputs!$B$34))</f>
        <v>0</v>
      </c>
      <c r="BL47" s="10" t="n">
        <f aca="false">IF(BL$1=Inputs!$B$34,Inputs!$B$22,IF(BL$1=Inputs!$B$24,Inputs!$B$23,Inputs!$B$34))</f>
        <v>0</v>
      </c>
      <c r="BM47" s="10" t="n">
        <f aca="false">IF(BM$1=Inputs!$B$34,Inputs!$B$22,IF(BM$1=Inputs!$B$24,Inputs!$B$23,Inputs!$B$34))</f>
        <v>0</v>
      </c>
      <c r="BN47" s="10" t="n">
        <f aca="false">IF(BN$1=Inputs!$B$34,Inputs!$B$22,IF(BN$1=Inputs!$B$24,Inputs!$B$23,Inputs!$B$34))</f>
        <v>0</v>
      </c>
      <c r="BO47" s="10" t="n">
        <f aca="false">IF(BO$1=Inputs!$B$34,Inputs!$B$22,IF(BO$1=Inputs!$B$24,Inputs!$B$23,Inputs!$B$34))</f>
        <v>0</v>
      </c>
      <c r="BP47" s="10" t="n">
        <f aca="false">IF(BP$1=Inputs!$B$34,Inputs!$B$22,IF(BP$1=Inputs!$B$24,Inputs!$B$23,Inputs!$B$34))</f>
        <v>0</v>
      </c>
      <c r="BQ47" s="10" t="n">
        <f aca="false">IF(BQ$1=Inputs!$B$34,Inputs!$B$22,IF(BQ$1=Inputs!$B$24,Inputs!$B$23,Inputs!$B$34))</f>
        <v>0</v>
      </c>
      <c r="BR47" s="10" t="n">
        <f aca="false">IF(BR$1=Inputs!$B$34,Inputs!$B$22,IF(BR$1=Inputs!$B$24,Inputs!$B$23,Inputs!$B$34))</f>
        <v>0</v>
      </c>
      <c r="BS47" s="10" t="n">
        <f aca="false">IF(BS$1=Inputs!$B$34,Inputs!$B$22,IF(BS$1=Inputs!$B$24,Inputs!$B$23,Inputs!$B$34))</f>
        <v>0</v>
      </c>
      <c r="BT47" s="10" t="n">
        <f aca="false">IF(BT$1=Inputs!$B$34,Inputs!$B$22,IF(BT$1=Inputs!$B$24,Inputs!$B$23,Inputs!$B$34))</f>
        <v>0</v>
      </c>
      <c r="BU47" s="10" t="n">
        <f aca="false">IF(BU$1=Inputs!$B$34,Inputs!$B$22,IF(BU$1=Inputs!$B$24,Inputs!$B$23,Inputs!$B$34))</f>
        <v>0</v>
      </c>
      <c r="BV47" s="10" t="n">
        <f aca="false">IF(BV$1=Inputs!$B$34,Inputs!$B$22,IF(BV$1=Inputs!$B$24,Inputs!$B$23,Inputs!$B$34))</f>
        <v>0</v>
      </c>
      <c r="BW47" s="10" t="n">
        <f aca="false">IF(BW$1=Inputs!$B$34,Inputs!$B$22,IF(BW$1=Inputs!$B$24,Inputs!$B$23,Inputs!$B$34))</f>
        <v>0</v>
      </c>
      <c r="BX47" s="10" t="n">
        <f aca="false">IF(BX$1=Inputs!$B$34,Inputs!$B$22,IF(BX$1=Inputs!$B$24,Inputs!$B$23,Inputs!$B$34))</f>
        <v>0</v>
      </c>
      <c r="BY47" s="10" t="n">
        <f aca="false">IF(BY$1=Inputs!$B$34,Inputs!$B$22,IF(BY$1=Inputs!$B$24,Inputs!$B$23,Inputs!$B$34))</f>
        <v>0</v>
      </c>
      <c r="BZ47" s="10" t="n">
        <f aca="false">IF(BZ$1=Inputs!$B$34,Inputs!$B$22,IF(BZ$1=Inputs!$B$24,Inputs!$B$23,Inputs!$B$34))</f>
        <v>0</v>
      </c>
      <c r="CA47" s="10" t="n">
        <f aca="false">IF(CA$1=Inputs!$B$34,Inputs!$B$22,IF(CA$1=Inputs!$B$24,Inputs!$B$23,Inputs!$B$34))</f>
        <v>0</v>
      </c>
      <c r="CB47" s="10" t="n">
        <f aca="false">IF(CB$1=Inputs!$B$34,Inputs!$B$22,IF(CB$1=Inputs!$B$24,Inputs!$B$23,Inputs!$B$34))</f>
        <v>0</v>
      </c>
      <c r="CC47" s="10" t="n">
        <f aca="false">IF(CC$1=Inputs!$B$34,Inputs!$B$22,IF(CC$1=Inputs!$B$24,Inputs!$B$23,Inputs!$B$34))</f>
        <v>0</v>
      </c>
      <c r="CD47" s="10" t="n">
        <f aca="false">IF(CD$1=Inputs!$B$34,Inputs!$B$22,IF(CD$1=Inputs!$B$24,Inputs!$B$23,Inputs!$B$34))</f>
        <v>0</v>
      </c>
      <c r="CE47" s="10" t="n">
        <f aca="false">IF(CE$1=Inputs!$B$34,Inputs!$B$22,IF(CE$1=Inputs!$B$24,Inputs!$B$23,Inputs!$B$34))</f>
        <v>0</v>
      </c>
      <c r="CF47" s="10" t="n">
        <f aca="false">IF(CF$1=Inputs!$B$34,Inputs!$B$22,IF(CF$1=Inputs!$B$24,Inputs!$B$23,Inputs!$B$34))</f>
        <v>0</v>
      </c>
      <c r="CG47" s="10" t="n">
        <f aca="false">IF(CG$1=Inputs!$B$34,Inputs!$B$22,IF(CG$1=Inputs!$B$24,Inputs!$B$23,Inputs!$B$34))</f>
        <v>0</v>
      </c>
      <c r="CH47" s="10" t="n">
        <f aca="false">IF(CH$1=Inputs!$B$34,Inputs!$B$22,IF(CH$1=Inputs!$B$24,Inputs!$B$23,Inputs!$B$34))</f>
        <v>0</v>
      </c>
      <c r="CI47" s="10" t="n">
        <f aca="false">IF(CI$1=Inputs!$B$34,Inputs!$B$22,IF(CI$1=Inputs!$B$24,Inputs!$B$23,Inputs!$B$34))</f>
        <v>0</v>
      </c>
      <c r="CJ47" s="10" t="n">
        <f aca="false">IF(CJ$1=Inputs!$B$34,Inputs!$B$22,IF(CJ$1=Inputs!$B$24,Inputs!$B$23,Inputs!$B$34))</f>
        <v>0</v>
      </c>
      <c r="CK47" s="10" t="n">
        <f aca="false">IF(CK$1=Inputs!$B$34,Inputs!$B$22,IF(CK$1=Inputs!$B$24,Inputs!$B$23,Inputs!$B$34))</f>
        <v>0</v>
      </c>
      <c r="CL47" s="10" t="n">
        <f aca="false">IF(CL$1=Inputs!$B$34,Inputs!$B$22,IF(CL$1=Inputs!$B$24,Inputs!$B$23,Inputs!$B$34))</f>
        <v>0</v>
      </c>
      <c r="CM47" s="10" t="n">
        <f aca="false">IF(CM$1=Inputs!$B$34,Inputs!$B$22,IF(CM$1=Inputs!$B$24,Inputs!$B$23,Inputs!$B$34))</f>
        <v>0</v>
      </c>
      <c r="CN47" s="10" t="n">
        <f aca="false">IF(CN$1=Inputs!$B$34,Inputs!$B$22,IF(CN$1=Inputs!$B$24,Inputs!$B$23,Inputs!$B$34))</f>
        <v>0</v>
      </c>
      <c r="CO47" s="10" t="n">
        <f aca="false">IF(CO$1=Inputs!$B$34,Inputs!$B$22,IF(CO$1=Inputs!$B$24,Inputs!$B$23,Inputs!$B$34))</f>
        <v>0</v>
      </c>
      <c r="CP47" s="10" t="n">
        <f aca="false">IF(CP$1=Inputs!$B$34,Inputs!$B$22,IF(CP$1=Inputs!$B$24,Inputs!$B$23,Inputs!$B$34))</f>
        <v>0</v>
      </c>
      <c r="CQ47" s="10" t="n">
        <f aca="false">IF(CQ$1=Inputs!$B$34,Inputs!$B$22,IF(CQ$1=Inputs!$B$24,Inputs!$B$23,Inputs!$B$34))</f>
        <v>0</v>
      </c>
      <c r="CR47" s="10" t="n">
        <f aca="false">IF(CR$1=Inputs!$B$34,Inputs!$B$22,IF(CR$1=Inputs!$B$24,Inputs!$B$23,Inputs!$B$34))</f>
        <v>0</v>
      </c>
      <c r="CS47" s="10" t="n">
        <f aca="false">IF(CS$1=Inputs!$B$34,Inputs!$B$22,IF(CS$1=Inputs!$B$24,Inputs!$B$23,Inputs!$B$34))</f>
        <v>0</v>
      </c>
      <c r="CT47" s="10" t="n">
        <f aca="false">IF(CT$1=Inputs!$B$34,Inputs!$B$22,IF(CT$1=Inputs!$B$24,Inputs!$B$23,Inputs!$B$34))</f>
        <v>0</v>
      </c>
      <c r="CU47" s="10" t="n">
        <f aca="false">IF(CU$1=Inputs!$B$34,Inputs!$B$22,IF(CU$1=Inputs!$B$24,Inputs!$B$23,Inputs!$B$34))</f>
        <v>0</v>
      </c>
      <c r="CV47" s="10" t="n">
        <f aca="false">IF(CV$1=Inputs!$B$34,Inputs!$B$22,IF(CV$1=Inputs!$B$24,Inputs!$B$23,Inputs!$B$34))</f>
        <v>0</v>
      </c>
      <c r="CW47" s="10" t="n">
        <f aca="false">IF(CW$1=Inputs!$B$34,Inputs!$B$22,IF(CW$1=Inputs!$B$24,Inputs!$B$23,Inputs!$B$34))</f>
        <v>0</v>
      </c>
      <c r="CX47" s="10" t="n">
        <f aca="false">IF(CX$1=Inputs!$B$34,Inputs!$B$22,IF(CX$1=Inputs!$B$24,Inputs!$B$23,Inputs!$B$34))</f>
        <v>0</v>
      </c>
      <c r="CY47" s="10" t="n">
        <f aca="false">IF(CY$1=Inputs!$B$34,Inputs!$B$22,IF(CY$1=Inputs!$B$24,Inputs!$B$23,Inputs!$B$34))</f>
        <v>0</v>
      </c>
      <c r="CZ47" s="10" t="n">
        <f aca="false">IF(CZ$1=Inputs!$B$34,Inputs!$B$22,IF(CZ$1=Inputs!$B$24,Inputs!$B$23,Inputs!$B$34))</f>
        <v>0</v>
      </c>
      <c r="DA47" s="10" t="n">
        <f aca="false">IF(DA$1=Inputs!$B$34,Inputs!$B$22,IF(DA$1=Inputs!$B$24,Inputs!$B$23,Inputs!$B$34))</f>
        <v>0</v>
      </c>
      <c r="DB47" s="10" t="n">
        <f aca="false">IF(DB$1=Inputs!$B$34,Inputs!$B$22,IF(DB$1=Inputs!$B$24,Inputs!$B$23,Inputs!$B$34))</f>
        <v>0</v>
      </c>
      <c r="DC47" s="10" t="n">
        <f aca="false">IF(DC$1=Inputs!$B$34,Inputs!$B$22,IF(DC$1=Inputs!$B$24,Inputs!$B$23,Inputs!$B$34))</f>
        <v>0</v>
      </c>
      <c r="DD47" s="10" t="n">
        <f aca="false">IF(DD$1=Inputs!$B$34,Inputs!$B$22,IF(DD$1=Inputs!$B$24,Inputs!$B$23,Inputs!$B$34))</f>
        <v>0</v>
      </c>
      <c r="DE47" s="10" t="n">
        <f aca="false">IF(DE$1=Inputs!$B$34,Inputs!$B$22,IF(DE$1=Inputs!$B$24,Inputs!$B$23,Inputs!$B$34))</f>
        <v>0</v>
      </c>
      <c r="DF47" s="10" t="n">
        <f aca="false">IF(DF$1=Inputs!$B$34,Inputs!$B$22,IF(DF$1=Inputs!$B$24,Inputs!$B$23,Inputs!$B$34))</f>
        <v>0</v>
      </c>
      <c r="DG47" s="10" t="n">
        <f aca="false">IF(DG$1=Inputs!$B$34,Inputs!$B$22,IF(DG$1=Inputs!$B$24,Inputs!$B$23,Inputs!$B$34))</f>
        <v>0</v>
      </c>
      <c r="DH47" s="10" t="n">
        <f aca="false">IF(DH$1=Inputs!$B$34,Inputs!$B$22,IF(DH$1=Inputs!$B$24,Inputs!$B$23,Inputs!$B$34))</f>
        <v>0</v>
      </c>
      <c r="DI47" s="10" t="n">
        <f aca="false">IF(DI$1=Inputs!$B$34,Inputs!$B$22,IF(DI$1=Inputs!$B$24,Inputs!$B$23,Inputs!$B$34))</f>
        <v>0</v>
      </c>
      <c r="DJ47" s="10" t="n">
        <f aca="false">IF(DJ$1=Inputs!$B$34,Inputs!$B$22,IF(DJ$1=Inputs!$B$24,Inputs!$B$23,Inputs!$B$34))</f>
        <v>0</v>
      </c>
      <c r="DK47" s="10" t="n">
        <f aca="false">IF(DK$1=Inputs!$B$34,Inputs!$B$22,IF(DK$1=Inputs!$B$24,Inputs!$B$23,Inputs!$B$34))</f>
        <v>0</v>
      </c>
      <c r="DL47" s="10" t="n">
        <f aca="false">IF(DL$1=Inputs!$B$34,Inputs!$B$22,IF(DL$1=Inputs!$B$24,Inputs!$B$23,Inputs!$B$34))</f>
        <v>0</v>
      </c>
      <c r="DM47" s="10" t="n">
        <f aca="false">IF(DM$1=Inputs!$B$34,Inputs!$B$22,IF(DM$1=Inputs!$B$24,Inputs!$B$23,Inputs!$B$34))</f>
        <v>0</v>
      </c>
      <c r="DN47" s="10" t="n">
        <f aca="false">IF(DN$1=Inputs!$B$34,Inputs!$B$22,IF(DN$1=Inputs!$B$24,Inputs!$B$23,Inputs!$B$34))</f>
        <v>0</v>
      </c>
      <c r="DO47" s="10" t="n">
        <f aca="false">IF(DO$1=Inputs!$B$34,Inputs!$B$22,IF(DO$1=Inputs!$B$24,Inputs!$B$23,Inputs!$B$34))</f>
        <v>0</v>
      </c>
      <c r="DP47" s="10" t="n">
        <f aca="false">IF(DP$1=Inputs!$B$34,Inputs!$B$22,IF(DP$1=Inputs!$B$24,Inputs!$B$23,Inputs!$B$34))</f>
        <v>0</v>
      </c>
      <c r="DQ47" s="10" t="n">
        <f aca="false">IF(DQ$1=Inputs!$B$34,Inputs!$B$22,IF(DQ$1=Inputs!$B$24,Inputs!$B$23,Inputs!$B$34))</f>
        <v>0</v>
      </c>
      <c r="DR47" s="10" t="n">
        <f aca="false">IF(DR$1=Inputs!$B$34,Inputs!$B$22,IF(DR$1=Inputs!$B$24,Inputs!$B$23,Inputs!$B$34))</f>
        <v>0</v>
      </c>
    </row>
    <row r="48" customFormat="false" ht="15" hidden="false" customHeight="false" outlineLevel="0" collapsed="false">
      <c r="A48" s="9" t="s">
        <v>216</v>
      </c>
      <c r="B48" s="11" t="n">
        <f aca="false">B24+B27</f>
        <v>0</v>
      </c>
      <c r="C48" s="11" t="n">
        <f aca="false">C24+C27</f>
        <v>0</v>
      </c>
      <c r="D48" s="11" t="n">
        <f aca="false">D24+D27</f>
        <v>0</v>
      </c>
      <c r="E48" s="11" t="n">
        <f aca="false">E24+E27</f>
        <v>0</v>
      </c>
      <c r="F48" s="11" t="n">
        <f aca="false">F24+F27</f>
        <v>0</v>
      </c>
      <c r="G48" s="11" t="n">
        <f aca="false">G24+G27</f>
        <v>0</v>
      </c>
      <c r="H48" s="11" t="n">
        <f aca="false">H24+H27</f>
        <v>0</v>
      </c>
      <c r="I48" s="11" t="n">
        <f aca="false">I24+I27</f>
        <v>0</v>
      </c>
      <c r="J48" s="11" t="n">
        <f aca="false">J24+J27</f>
        <v>0</v>
      </c>
      <c r="K48" s="11" t="n">
        <f aca="false">K24+K27</f>
        <v>3.6</v>
      </c>
      <c r="L48" s="11" t="n">
        <f aca="false">L24+L27</f>
        <v>3.6</v>
      </c>
      <c r="M48" s="11" t="n">
        <f aca="false">M24+M27</f>
        <v>3.6</v>
      </c>
      <c r="N48" s="11" t="n">
        <f aca="false">N24+N27</f>
        <v>6</v>
      </c>
      <c r="O48" s="11" t="n">
        <f aca="false">O24+O27</f>
        <v>6</v>
      </c>
      <c r="P48" s="11" t="n">
        <f aca="false">P24+P27</f>
        <v>6</v>
      </c>
      <c r="Q48" s="11" t="n">
        <f aca="false">Q24+Q27</f>
        <v>8.4</v>
      </c>
      <c r="R48" s="11" t="n">
        <f aca="false">R24+R27</f>
        <v>8.4</v>
      </c>
      <c r="S48" s="11" t="n">
        <f aca="false">S24+S27</f>
        <v>8.4</v>
      </c>
      <c r="T48" s="11" t="n">
        <f aca="false">T24+T27</f>
        <v>8.4</v>
      </c>
      <c r="U48" s="11" t="n">
        <f aca="false">U24+U27</f>
        <v>8.4</v>
      </c>
      <c r="V48" s="11" t="n">
        <f aca="false">V24+V27</f>
        <v>8.4</v>
      </c>
      <c r="W48" s="11" t="n">
        <f aca="false">W24+W27</f>
        <v>8.4</v>
      </c>
      <c r="X48" s="11" t="n">
        <f aca="false">X24+X27</f>
        <v>8.4</v>
      </c>
      <c r="Y48" s="11" t="n">
        <f aca="false">Y24+Y27</f>
        <v>8.4</v>
      </c>
      <c r="Z48" s="11" t="n">
        <f aca="false">Z24+Z27</f>
        <v>8.4</v>
      </c>
      <c r="AA48" s="11" t="n">
        <f aca="false">AA24+AA27</f>
        <v>8.4</v>
      </c>
      <c r="AB48" s="11" t="n">
        <f aca="false">AB24+AB27</f>
        <v>8.4</v>
      </c>
      <c r="AC48" s="11" t="n">
        <f aca="false">AC24+AC27</f>
        <v>8.4</v>
      </c>
      <c r="AD48" s="11" t="n">
        <f aca="false">AD24+AD27</f>
        <v>8.4</v>
      </c>
      <c r="AE48" s="11" t="n">
        <f aca="false">AE24+AE27</f>
        <v>8.4</v>
      </c>
      <c r="AF48" s="11" t="n">
        <f aca="false">AF24+AF27</f>
        <v>8.4</v>
      </c>
      <c r="AG48" s="11" t="n">
        <f aca="false">AG24+AG27</f>
        <v>8.4</v>
      </c>
      <c r="AH48" s="11" t="n">
        <f aca="false">AH24+AH27</f>
        <v>8.4</v>
      </c>
      <c r="AI48" s="11" t="n">
        <f aca="false">AI24+AI27</f>
        <v>8.4</v>
      </c>
      <c r="AJ48" s="11" t="n">
        <f aca="false">AJ24+AJ27</f>
        <v>8.4</v>
      </c>
      <c r="AK48" s="11" t="n">
        <f aca="false">AK24+AK27</f>
        <v>8.4</v>
      </c>
      <c r="AL48" s="11" t="n">
        <f aca="false">AL24+AL27</f>
        <v>8.4</v>
      </c>
      <c r="AM48" s="11" t="n">
        <f aca="false">AM24+AM27</f>
        <v>8.4</v>
      </c>
      <c r="AN48" s="11" t="n">
        <f aca="false">AN24+AN27</f>
        <v>8.4</v>
      </c>
      <c r="AO48" s="11" t="n">
        <f aca="false">AO24+AO27</f>
        <v>8.4</v>
      </c>
      <c r="AP48" s="11" t="n">
        <f aca="false">AP24+AP27</f>
        <v>8.4</v>
      </c>
      <c r="AQ48" s="11" t="n">
        <f aca="false">AQ24+AQ27</f>
        <v>8.4</v>
      </c>
      <c r="AR48" s="11" t="n">
        <f aca="false">AR24+AR27</f>
        <v>8.4</v>
      </c>
      <c r="AS48" s="11" t="n">
        <f aca="false">AS24+AS27</f>
        <v>8.4</v>
      </c>
      <c r="AT48" s="11" t="n">
        <f aca="false">AT24+AT27</f>
        <v>8.4</v>
      </c>
      <c r="AU48" s="11" t="n">
        <f aca="false">AU24+AU27</f>
        <v>8.4</v>
      </c>
      <c r="AV48" s="11" t="n">
        <f aca="false">AV24+AV27</f>
        <v>8.4</v>
      </c>
      <c r="AW48" s="11" t="n">
        <f aca="false">AW24+AW27</f>
        <v>8.4</v>
      </c>
      <c r="AX48" s="11" t="n">
        <f aca="false">AX24+AX27</f>
        <v>8.4</v>
      </c>
      <c r="AY48" s="11" t="n">
        <f aca="false">AY24+AY27</f>
        <v>8.4</v>
      </c>
      <c r="AZ48" s="11" t="n">
        <f aca="false">AZ24+AZ27</f>
        <v>8.4</v>
      </c>
      <c r="BA48" s="11" t="n">
        <f aca="false">BA24+BA27</f>
        <v>8.4</v>
      </c>
      <c r="BB48" s="11" t="n">
        <f aca="false">BB24+BB27</f>
        <v>8.4</v>
      </c>
      <c r="BC48" s="11" t="n">
        <f aca="false">BC24+BC27</f>
        <v>8.4</v>
      </c>
      <c r="BD48" s="11" t="n">
        <f aca="false">BD24+BD27</f>
        <v>8.4</v>
      </c>
      <c r="BE48" s="11" t="n">
        <f aca="false">BE24+BE27</f>
        <v>8.4</v>
      </c>
      <c r="BF48" s="11" t="n">
        <f aca="false">BF24+BF27</f>
        <v>8.4</v>
      </c>
      <c r="BG48" s="11" t="n">
        <f aca="false">BG24+BG27</f>
        <v>8.4</v>
      </c>
      <c r="BH48" s="11" t="n">
        <f aca="false">BH24+BH27</f>
        <v>8.4</v>
      </c>
      <c r="BI48" s="11" t="n">
        <f aca="false">BI24+BI27</f>
        <v>8.4</v>
      </c>
      <c r="BJ48" s="11" t="n">
        <f aca="false">BJ24+BJ27</f>
        <v>8.4</v>
      </c>
      <c r="BK48" s="11" t="n">
        <f aca="false">BK24+BK27</f>
        <v>8.4</v>
      </c>
      <c r="BL48" s="11" t="n">
        <f aca="false">BL24+BL27</f>
        <v>8.4</v>
      </c>
      <c r="BM48" s="11" t="n">
        <f aca="false">BM24+BM27</f>
        <v>8.4</v>
      </c>
      <c r="BN48" s="11" t="n">
        <f aca="false">BN24+BN27</f>
        <v>8.4</v>
      </c>
      <c r="BO48" s="11" t="n">
        <f aca="false">BO24+BO27</f>
        <v>8.4</v>
      </c>
      <c r="BP48" s="11" t="n">
        <f aca="false">BP24+BP27</f>
        <v>8.4</v>
      </c>
      <c r="BQ48" s="11" t="n">
        <f aca="false">BQ24+BQ27</f>
        <v>8.4</v>
      </c>
      <c r="BR48" s="11" t="n">
        <f aca="false">BR24+BR27</f>
        <v>8.4</v>
      </c>
      <c r="BS48" s="11" t="n">
        <f aca="false">BS24+BS27</f>
        <v>8.4</v>
      </c>
      <c r="BT48" s="11" t="n">
        <f aca="false">BT24+BT27</f>
        <v>8.4</v>
      </c>
      <c r="BU48" s="11" t="n">
        <f aca="false">BU24+BU27</f>
        <v>8.4</v>
      </c>
      <c r="BV48" s="11" t="n">
        <f aca="false">BV24+BV27</f>
        <v>8.4</v>
      </c>
      <c r="BW48" s="11" t="n">
        <f aca="false">BW24+BW27</f>
        <v>8.4</v>
      </c>
      <c r="BX48" s="11" t="n">
        <f aca="false">BX24+BX27</f>
        <v>8.4</v>
      </c>
      <c r="BY48" s="11" t="n">
        <f aca="false">BY24+BY27</f>
        <v>8.4</v>
      </c>
      <c r="BZ48" s="11" t="n">
        <f aca="false">BZ24+BZ27</f>
        <v>8.4</v>
      </c>
      <c r="CA48" s="11" t="n">
        <f aca="false">CA24+CA27</f>
        <v>8.4</v>
      </c>
      <c r="CB48" s="11" t="n">
        <f aca="false">CB24+CB27</f>
        <v>8.4</v>
      </c>
      <c r="CC48" s="11" t="n">
        <f aca="false">CC24+CC27</f>
        <v>8.4</v>
      </c>
      <c r="CD48" s="11" t="n">
        <f aca="false">CD24+CD27</f>
        <v>8.4</v>
      </c>
      <c r="CE48" s="11" t="n">
        <f aca="false">CE24+CE27</f>
        <v>8.4</v>
      </c>
      <c r="CF48" s="11" t="n">
        <f aca="false">CF24+CF27</f>
        <v>8.4</v>
      </c>
      <c r="CG48" s="11" t="n">
        <f aca="false">CG24+CG27</f>
        <v>8.4</v>
      </c>
      <c r="CH48" s="11" t="n">
        <f aca="false">CH24+CH27</f>
        <v>8.4</v>
      </c>
      <c r="CI48" s="11" t="n">
        <f aca="false">CI24+CI27</f>
        <v>8.4</v>
      </c>
      <c r="CJ48" s="11" t="n">
        <f aca="false">CJ24+CJ27</f>
        <v>8.4</v>
      </c>
      <c r="CK48" s="11" t="n">
        <f aca="false">CK24+CK27</f>
        <v>8.4</v>
      </c>
      <c r="CL48" s="11" t="n">
        <f aca="false">CL24+CL27</f>
        <v>8.4</v>
      </c>
      <c r="CM48" s="11" t="n">
        <f aca="false">CM24+CM27</f>
        <v>8.4</v>
      </c>
      <c r="CN48" s="11" t="n">
        <f aca="false">CN24+CN27</f>
        <v>8.4</v>
      </c>
      <c r="CO48" s="11" t="n">
        <f aca="false">CO24+CO27</f>
        <v>8.4</v>
      </c>
      <c r="CP48" s="11" t="n">
        <f aca="false">CP24+CP27</f>
        <v>8.4</v>
      </c>
      <c r="CQ48" s="11" t="n">
        <f aca="false">CQ24+CQ27</f>
        <v>8.4</v>
      </c>
      <c r="CR48" s="11" t="n">
        <f aca="false">CR24+CR27</f>
        <v>8.4</v>
      </c>
      <c r="CS48" s="11" t="n">
        <f aca="false">CS24+CS27</f>
        <v>8.4</v>
      </c>
      <c r="CT48" s="11" t="n">
        <f aca="false">CT24+CT27</f>
        <v>8.4</v>
      </c>
      <c r="CU48" s="11" t="n">
        <f aca="false">CU24+CU27</f>
        <v>8.4</v>
      </c>
      <c r="CV48" s="11" t="n">
        <f aca="false">CV24+CV27</f>
        <v>8.4</v>
      </c>
      <c r="CW48" s="11" t="n">
        <f aca="false">CW24+CW27</f>
        <v>8.4</v>
      </c>
      <c r="CX48" s="11" t="n">
        <f aca="false">CX24+CX27</f>
        <v>8.4</v>
      </c>
      <c r="CY48" s="11" t="n">
        <f aca="false">CY24+CY27</f>
        <v>8.4</v>
      </c>
      <c r="CZ48" s="11" t="n">
        <f aca="false">CZ24+CZ27</f>
        <v>8.4</v>
      </c>
      <c r="DA48" s="11" t="n">
        <f aca="false">DA24+DA27</f>
        <v>8.4</v>
      </c>
      <c r="DB48" s="11" t="n">
        <f aca="false">DB24+DB27</f>
        <v>8.4</v>
      </c>
      <c r="DC48" s="11" t="n">
        <f aca="false">DC24+DC27</f>
        <v>8.4</v>
      </c>
      <c r="DD48" s="11" t="n">
        <f aca="false">DD24+DD27</f>
        <v>8.4</v>
      </c>
      <c r="DE48" s="11" t="n">
        <f aca="false">DE24+DE27</f>
        <v>8.4</v>
      </c>
      <c r="DF48" s="11" t="n">
        <f aca="false">DF24+DF27</f>
        <v>8.4</v>
      </c>
      <c r="DG48" s="11" t="n">
        <f aca="false">DG24+DG27</f>
        <v>8.4</v>
      </c>
      <c r="DH48" s="11" t="n">
        <f aca="false">DH24+DH27</f>
        <v>8.4</v>
      </c>
      <c r="DI48" s="11" t="n">
        <f aca="false">DI24+DI27</f>
        <v>8.4</v>
      </c>
      <c r="DJ48" s="11" t="n">
        <f aca="false">DJ24+DJ27</f>
        <v>8.4</v>
      </c>
      <c r="DK48" s="11" t="n">
        <f aca="false">DK24+DK27</f>
        <v>8.4</v>
      </c>
      <c r="DL48" s="11" t="n">
        <f aca="false">DL24+DL27</f>
        <v>8.4</v>
      </c>
      <c r="DM48" s="11" t="n">
        <f aca="false">DM24+DM27</f>
        <v>8.4</v>
      </c>
      <c r="DN48" s="11" t="n">
        <f aca="false">DN24+DN27</f>
        <v>8.4</v>
      </c>
      <c r="DO48" s="11" t="n">
        <f aca="false">DO24+DO27</f>
        <v>8.4</v>
      </c>
      <c r="DP48" s="11" t="n">
        <f aca="false">DP24+DP27</f>
        <v>8.4</v>
      </c>
      <c r="DQ48" s="11" t="n">
        <f aca="false">DQ24+DQ27</f>
        <v>8.4</v>
      </c>
      <c r="DR48" s="11" t="n">
        <f aca="false">DR24+DR27</f>
        <v>8.4</v>
      </c>
    </row>
    <row r="49" customFormat="false" ht="15" hidden="false" customHeight="false" outlineLevel="0" collapsed="false">
      <c r="A49" s="9" t="s">
        <v>217</v>
      </c>
      <c r="B49" s="11" t="n">
        <f aca="false">B47-B48</f>
        <v>25</v>
      </c>
      <c r="C49" s="11" t="n">
        <f aca="false">C47-C48</f>
        <v>0</v>
      </c>
      <c r="D49" s="11" t="n">
        <f aca="false">D47-D48</f>
        <v>0</v>
      </c>
      <c r="E49" s="11" t="n">
        <f aca="false">E47-E48</f>
        <v>0</v>
      </c>
      <c r="F49" s="11" t="n">
        <f aca="false">F47-F48</f>
        <v>0</v>
      </c>
      <c r="G49" s="11" t="n">
        <f aca="false">G47-G48</f>
        <v>0</v>
      </c>
      <c r="H49" s="11" t="n">
        <f aca="false">H47-H48</f>
        <v>0</v>
      </c>
      <c r="I49" s="11" t="n">
        <f aca="false">I47-I48</f>
        <v>0</v>
      </c>
      <c r="J49" s="11" t="n">
        <f aca="false">J47-J48</f>
        <v>0</v>
      </c>
      <c r="K49" s="11" t="n">
        <f aca="false">K47-K48</f>
        <v>21.4</v>
      </c>
      <c r="L49" s="11" t="n">
        <f aca="false">L47-L48</f>
        <v>-3.6</v>
      </c>
      <c r="M49" s="11" t="n">
        <f aca="false">M47-M48</f>
        <v>-3.6</v>
      </c>
      <c r="N49" s="11" t="n">
        <f aca="false">N47-N48</f>
        <v>-6</v>
      </c>
      <c r="O49" s="11" t="n">
        <f aca="false">O47-O48</f>
        <v>-6</v>
      </c>
      <c r="P49" s="11" t="n">
        <f aca="false">P47-P48</f>
        <v>-6</v>
      </c>
      <c r="Q49" s="11" t="n">
        <f aca="false">Q47-Q48</f>
        <v>-8.4</v>
      </c>
      <c r="R49" s="11" t="n">
        <f aca="false">R47-R48</f>
        <v>-8.4</v>
      </c>
      <c r="S49" s="11" t="n">
        <f aca="false">S47-S48</f>
        <v>-8.4</v>
      </c>
      <c r="T49" s="11" t="n">
        <f aca="false">T47-T48</f>
        <v>-8.4</v>
      </c>
      <c r="U49" s="11" t="n">
        <f aca="false">U47-U48</f>
        <v>-8.4</v>
      </c>
      <c r="V49" s="11" t="n">
        <f aca="false">V47-V48</f>
        <v>-8.4</v>
      </c>
      <c r="W49" s="11" t="n">
        <f aca="false">W47-W48</f>
        <v>-8.4</v>
      </c>
      <c r="X49" s="11" t="n">
        <f aca="false">X47-X48</f>
        <v>-8.4</v>
      </c>
      <c r="Y49" s="11" t="n">
        <f aca="false">Y47-Y48</f>
        <v>-8.4</v>
      </c>
      <c r="Z49" s="11" t="n">
        <f aca="false">Z47-Z48</f>
        <v>-8.4</v>
      </c>
      <c r="AA49" s="11" t="n">
        <f aca="false">AA47-AA48</f>
        <v>-8.4</v>
      </c>
      <c r="AB49" s="11" t="n">
        <f aca="false">AB47-AB48</f>
        <v>-8.4</v>
      </c>
      <c r="AC49" s="11" t="n">
        <f aca="false">AC47-AC48</f>
        <v>-8.4</v>
      </c>
      <c r="AD49" s="11" t="n">
        <f aca="false">AD47-AD48</f>
        <v>-8.4</v>
      </c>
      <c r="AE49" s="11" t="n">
        <f aca="false">AE47-AE48</f>
        <v>-8.4</v>
      </c>
      <c r="AF49" s="11" t="n">
        <f aca="false">AF47-AF48</f>
        <v>-8.4</v>
      </c>
      <c r="AG49" s="11" t="n">
        <f aca="false">AG47-AG48</f>
        <v>-8.4</v>
      </c>
      <c r="AH49" s="11" t="n">
        <f aca="false">AH47-AH48</f>
        <v>-8.4</v>
      </c>
      <c r="AI49" s="11" t="n">
        <f aca="false">AI47-AI48</f>
        <v>-8.4</v>
      </c>
      <c r="AJ49" s="11" t="n">
        <f aca="false">AJ47-AJ48</f>
        <v>-8.4</v>
      </c>
      <c r="AK49" s="11" t="n">
        <f aca="false">AK47-AK48</f>
        <v>-8.4</v>
      </c>
      <c r="AL49" s="11" t="n">
        <f aca="false">AL47-AL48</f>
        <v>-8.4</v>
      </c>
      <c r="AM49" s="11" t="n">
        <f aca="false">AM47-AM48</f>
        <v>-8.4</v>
      </c>
      <c r="AN49" s="11" t="n">
        <f aca="false">AN47-AN48</f>
        <v>-8.4</v>
      </c>
      <c r="AO49" s="11" t="n">
        <f aca="false">AO47-AO48</f>
        <v>-8.4</v>
      </c>
      <c r="AP49" s="11" t="n">
        <f aca="false">AP47-AP48</f>
        <v>-8.4</v>
      </c>
      <c r="AQ49" s="11" t="n">
        <f aca="false">AQ47-AQ48</f>
        <v>-8.4</v>
      </c>
      <c r="AR49" s="11" t="n">
        <f aca="false">AR47-AR48</f>
        <v>-8.4</v>
      </c>
      <c r="AS49" s="11" t="n">
        <f aca="false">AS47-AS48</f>
        <v>-8.4</v>
      </c>
      <c r="AT49" s="11" t="n">
        <f aca="false">AT47-AT48</f>
        <v>-8.4</v>
      </c>
      <c r="AU49" s="11" t="n">
        <f aca="false">AU47-AU48</f>
        <v>-8.4</v>
      </c>
      <c r="AV49" s="11" t="n">
        <f aca="false">AV47-AV48</f>
        <v>-8.4</v>
      </c>
      <c r="AW49" s="11" t="n">
        <f aca="false">AW47-AW48</f>
        <v>-8.4</v>
      </c>
      <c r="AX49" s="11" t="n">
        <f aca="false">AX47-AX48</f>
        <v>-8.4</v>
      </c>
      <c r="AY49" s="11" t="n">
        <f aca="false">AY47-AY48</f>
        <v>-8.4</v>
      </c>
      <c r="AZ49" s="11" t="n">
        <f aca="false">AZ47-AZ48</f>
        <v>-8.4</v>
      </c>
      <c r="BA49" s="11" t="n">
        <f aca="false">BA47-BA48</f>
        <v>-8.4</v>
      </c>
      <c r="BB49" s="11" t="n">
        <f aca="false">BB47-BB48</f>
        <v>-8.4</v>
      </c>
      <c r="BC49" s="11" t="n">
        <f aca="false">BC47-BC48</f>
        <v>-8.4</v>
      </c>
      <c r="BD49" s="11" t="n">
        <f aca="false">BD47-BD48</f>
        <v>-8.4</v>
      </c>
      <c r="BE49" s="11" t="n">
        <f aca="false">BE47-BE48</f>
        <v>-8.4</v>
      </c>
      <c r="BF49" s="11" t="n">
        <f aca="false">BF47-BF48</f>
        <v>-8.4</v>
      </c>
      <c r="BG49" s="11" t="n">
        <f aca="false">BG47-BG48</f>
        <v>-8.4</v>
      </c>
      <c r="BH49" s="11" t="n">
        <f aca="false">BH47-BH48</f>
        <v>-8.4</v>
      </c>
      <c r="BI49" s="11" t="n">
        <f aca="false">BI47-BI48</f>
        <v>-8.4</v>
      </c>
      <c r="BJ49" s="11" t="n">
        <f aca="false">BJ47-BJ48</f>
        <v>-8.4</v>
      </c>
      <c r="BK49" s="11" t="n">
        <f aca="false">BK47-BK48</f>
        <v>-8.4</v>
      </c>
      <c r="BL49" s="11" t="n">
        <f aca="false">BL47-BL48</f>
        <v>-8.4</v>
      </c>
      <c r="BM49" s="11" t="n">
        <f aca="false">BM47-BM48</f>
        <v>-8.4</v>
      </c>
      <c r="BN49" s="11" t="n">
        <f aca="false">BN47-BN48</f>
        <v>-8.4</v>
      </c>
      <c r="BO49" s="11" t="n">
        <f aca="false">BO47-BO48</f>
        <v>-8.4</v>
      </c>
      <c r="BP49" s="11" t="n">
        <f aca="false">BP47-BP48</f>
        <v>-8.4</v>
      </c>
      <c r="BQ49" s="11" t="n">
        <f aca="false">BQ47-BQ48</f>
        <v>-8.4</v>
      </c>
      <c r="BR49" s="11" t="n">
        <f aca="false">BR47-BR48</f>
        <v>-8.4</v>
      </c>
      <c r="BS49" s="11" t="n">
        <f aca="false">BS47-BS48</f>
        <v>-8.4</v>
      </c>
      <c r="BT49" s="11" t="n">
        <f aca="false">BT47-BT48</f>
        <v>-8.4</v>
      </c>
      <c r="BU49" s="11" t="n">
        <f aca="false">BU47-BU48</f>
        <v>-8.4</v>
      </c>
      <c r="BV49" s="11" t="n">
        <f aca="false">BV47-BV48</f>
        <v>-8.4</v>
      </c>
      <c r="BW49" s="11" t="n">
        <f aca="false">BW47-BW48</f>
        <v>-8.4</v>
      </c>
      <c r="BX49" s="11" t="n">
        <f aca="false">BX47-BX48</f>
        <v>-8.4</v>
      </c>
      <c r="BY49" s="11" t="n">
        <f aca="false">BY47-BY48</f>
        <v>-8.4</v>
      </c>
      <c r="BZ49" s="11" t="n">
        <f aca="false">BZ47-BZ48</f>
        <v>-8.4</v>
      </c>
      <c r="CA49" s="11" t="n">
        <f aca="false">CA47-CA48</f>
        <v>-8.4</v>
      </c>
      <c r="CB49" s="11" t="n">
        <f aca="false">CB47-CB48</f>
        <v>-8.4</v>
      </c>
      <c r="CC49" s="11" t="n">
        <f aca="false">CC47-CC48</f>
        <v>-8.4</v>
      </c>
      <c r="CD49" s="11" t="n">
        <f aca="false">CD47-CD48</f>
        <v>-8.4</v>
      </c>
      <c r="CE49" s="11" t="n">
        <f aca="false">CE47-CE48</f>
        <v>-8.4</v>
      </c>
      <c r="CF49" s="11" t="n">
        <f aca="false">CF47-CF48</f>
        <v>-8.4</v>
      </c>
      <c r="CG49" s="11" t="n">
        <f aca="false">CG47-CG48</f>
        <v>-8.4</v>
      </c>
      <c r="CH49" s="11" t="n">
        <f aca="false">CH47-CH48</f>
        <v>-8.4</v>
      </c>
      <c r="CI49" s="11" t="n">
        <f aca="false">CI47-CI48</f>
        <v>-8.4</v>
      </c>
      <c r="CJ49" s="11" t="n">
        <f aca="false">CJ47-CJ48</f>
        <v>-8.4</v>
      </c>
      <c r="CK49" s="11" t="n">
        <f aca="false">CK47-CK48</f>
        <v>-8.4</v>
      </c>
      <c r="CL49" s="11" t="n">
        <f aca="false">CL47-CL48</f>
        <v>-8.4</v>
      </c>
      <c r="CM49" s="11" t="n">
        <f aca="false">CM47-CM48</f>
        <v>-8.4</v>
      </c>
      <c r="CN49" s="11" t="n">
        <f aca="false">CN47-CN48</f>
        <v>-8.4</v>
      </c>
      <c r="CO49" s="11" t="n">
        <f aca="false">CO47-CO48</f>
        <v>-8.4</v>
      </c>
      <c r="CP49" s="11" t="n">
        <f aca="false">CP47-CP48</f>
        <v>-8.4</v>
      </c>
      <c r="CQ49" s="11" t="n">
        <f aca="false">CQ47-CQ48</f>
        <v>-8.4</v>
      </c>
      <c r="CR49" s="11" t="n">
        <f aca="false">CR47-CR48</f>
        <v>-8.4</v>
      </c>
      <c r="CS49" s="11" t="n">
        <f aca="false">CS47-CS48</f>
        <v>-8.4</v>
      </c>
      <c r="CT49" s="11" t="n">
        <f aca="false">CT47-CT48</f>
        <v>-8.4</v>
      </c>
      <c r="CU49" s="11" t="n">
        <f aca="false">CU47-CU48</f>
        <v>-8.4</v>
      </c>
      <c r="CV49" s="11" t="n">
        <f aca="false">CV47-CV48</f>
        <v>-8.4</v>
      </c>
      <c r="CW49" s="11" t="n">
        <f aca="false">CW47-CW48</f>
        <v>-8.4</v>
      </c>
      <c r="CX49" s="11" t="n">
        <f aca="false">CX47-CX48</f>
        <v>-8.4</v>
      </c>
      <c r="CY49" s="11" t="n">
        <f aca="false">CY47-CY48</f>
        <v>-8.4</v>
      </c>
      <c r="CZ49" s="11" t="n">
        <f aca="false">CZ47-CZ48</f>
        <v>-8.4</v>
      </c>
      <c r="DA49" s="11" t="n">
        <f aca="false">DA47-DA48</f>
        <v>-8.4</v>
      </c>
      <c r="DB49" s="11" t="n">
        <f aca="false">DB47-DB48</f>
        <v>-8.4</v>
      </c>
      <c r="DC49" s="11" t="n">
        <f aca="false">DC47-DC48</f>
        <v>-8.4</v>
      </c>
      <c r="DD49" s="11" t="n">
        <f aca="false">DD47-DD48</f>
        <v>-8.4</v>
      </c>
      <c r="DE49" s="11" t="n">
        <f aca="false">DE47-DE48</f>
        <v>-8.4</v>
      </c>
      <c r="DF49" s="11" t="n">
        <f aca="false">DF47-DF48</f>
        <v>-8.4</v>
      </c>
      <c r="DG49" s="11" t="n">
        <f aca="false">DG47-DG48</f>
        <v>-8.4</v>
      </c>
      <c r="DH49" s="11" t="n">
        <f aca="false">DH47-DH48</f>
        <v>-8.4</v>
      </c>
      <c r="DI49" s="11" t="n">
        <f aca="false">DI47-DI48</f>
        <v>-8.4</v>
      </c>
      <c r="DJ49" s="11" t="n">
        <f aca="false">DJ47-DJ48</f>
        <v>-8.4</v>
      </c>
      <c r="DK49" s="11" t="n">
        <f aca="false">DK47-DK48</f>
        <v>-8.4</v>
      </c>
      <c r="DL49" s="11" t="n">
        <f aca="false">DL47-DL48</f>
        <v>-8.4</v>
      </c>
      <c r="DM49" s="11" t="n">
        <f aca="false">DM47-DM48</f>
        <v>-8.4</v>
      </c>
      <c r="DN49" s="11" t="n">
        <f aca="false">DN47-DN48</f>
        <v>-8.4</v>
      </c>
      <c r="DO49" s="11" t="n">
        <f aca="false">DO47-DO48</f>
        <v>-8.4</v>
      </c>
      <c r="DP49" s="11" t="n">
        <f aca="false">DP47-DP48</f>
        <v>-8.4</v>
      </c>
      <c r="DQ49" s="11" t="n">
        <f aca="false">DQ47-DQ48</f>
        <v>-8.4</v>
      </c>
      <c r="DR49" s="11" t="n">
        <f aca="false">DR47-DR48</f>
        <v>-8.4</v>
      </c>
    </row>
    <row r="50" customFormat="false" ht="15" hidden="false" customHeight="false" outlineLevel="0" collapsed="false">
      <c r="A50" s="9" t="s">
        <v>218</v>
      </c>
      <c r="B50" s="11" t="n">
        <f aca="false">SUM(B45:B46)+B49</f>
        <v>25</v>
      </c>
      <c r="C50" s="11" t="n">
        <f aca="false">SUM(C45:C46)+C49</f>
        <v>-4.71666666666667</v>
      </c>
      <c r="D50" s="11" t="n">
        <f aca="false">SUM(D45:D46)+D49</f>
        <v>-4.71666666666667</v>
      </c>
      <c r="E50" s="11" t="n">
        <f aca="false">SUM(E45:E46)+E49</f>
        <v>-4.71666666666667</v>
      </c>
      <c r="F50" s="11" t="n">
        <f aca="false">SUM(F45:F46)+F49</f>
        <v>-4.71666666666667</v>
      </c>
      <c r="G50" s="11" t="n">
        <f aca="false">SUM(G45:G46)+G49</f>
        <v>-4.71666666666667</v>
      </c>
      <c r="H50" s="11" t="n">
        <f aca="false">SUM(H45:H46)+H49</f>
        <v>-4.71666666666667</v>
      </c>
      <c r="I50" s="11" t="n">
        <f aca="false">SUM(I45:I46)+I49</f>
        <v>-4.71666666666667</v>
      </c>
      <c r="J50" s="11" t="n">
        <f aca="false">SUM(J45:J46)+J49</f>
        <v>-4.71666666666667</v>
      </c>
      <c r="K50" s="11" t="n">
        <f aca="false">SUM(K45:K46)+K49</f>
        <v>20.4605833333333</v>
      </c>
      <c r="L50" s="11" t="n">
        <f aca="false">SUM(L45:L46)+L49</f>
        <v>-4.5215</v>
      </c>
      <c r="M50" s="11" t="n">
        <f aca="false">SUM(M45:M46)+M49</f>
        <v>-4.50358333333333</v>
      </c>
      <c r="N50" s="11" t="n">
        <f aca="false">SUM(N45:N46)+N49</f>
        <v>-4.70166666666667</v>
      </c>
      <c r="O50" s="11" t="n">
        <f aca="false">SUM(O45:O46)+O49</f>
        <v>-0.85925</v>
      </c>
      <c r="P50" s="11" t="n">
        <f aca="false">SUM(P45:P46)+P49</f>
        <v>-0.8585</v>
      </c>
      <c r="Q50" s="11" t="n">
        <f aca="false">SUM(Q45:Q46)+Q49</f>
        <v>-1.13345</v>
      </c>
      <c r="R50" s="11" t="n">
        <f aca="false">SUM(R45:R46)+R49</f>
        <v>-1.1324</v>
      </c>
      <c r="S50" s="11" t="n">
        <f aca="false">SUM(S45:S46)+S49</f>
        <v>-1.13135</v>
      </c>
      <c r="T50" s="11" t="n">
        <f aca="false">SUM(T45:T46)+T49</f>
        <v>-1.1303</v>
      </c>
      <c r="U50" s="11" t="n">
        <f aca="false">SUM(U45:U46)+U49</f>
        <v>-1.12925</v>
      </c>
      <c r="V50" s="11" t="n">
        <f aca="false">SUM(V45:V46)+V49</f>
        <v>-1.1282</v>
      </c>
      <c r="W50" s="11" t="n">
        <f aca="false">SUM(W45:W46)+W49</f>
        <v>-1.12715</v>
      </c>
      <c r="X50" s="11" t="n">
        <f aca="false">SUM(X45:X46)+X49</f>
        <v>-1.1261</v>
      </c>
      <c r="Y50" s="11" t="n">
        <f aca="false">SUM(Y45:Y46)+Y49</f>
        <v>-1.12505</v>
      </c>
      <c r="Z50" s="11" t="n">
        <f aca="false">SUM(Z45:Z46)+Z49</f>
        <v>-1.124</v>
      </c>
      <c r="AA50" s="11" t="n">
        <f aca="false">SUM(AA45:AA46)+AA49</f>
        <v>-1.12295</v>
      </c>
      <c r="AB50" s="11" t="n">
        <f aca="false">SUM(AB45:AB46)+AB49</f>
        <v>-1.1219</v>
      </c>
      <c r="AC50" s="11" t="n">
        <f aca="false">SUM(AC45:AC46)+AC49</f>
        <v>-1.12085</v>
      </c>
      <c r="AD50" s="11" t="n">
        <f aca="false">SUM(AD45:AD46)+AD49</f>
        <v>-1.1198</v>
      </c>
      <c r="AE50" s="11" t="n">
        <f aca="false">SUM(AE45:AE46)+AE49</f>
        <v>-1.11875</v>
      </c>
      <c r="AF50" s="11" t="n">
        <f aca="false">SUM(AF45:AF46)+AF49</f>
        <v>-1.1177</v>
      </c>
      <c r="AG50" s="11" t="n">
        <f aca="false">SUM(AG45:AG46)+AG49</f>
        <v>-1.11665</v>
      </c>
      <c r="AH50" s="11" t="n">
        <f aca="false">SUM(AH45:AH46)+AH49</f>
        <v>-1.1156</v>
      </c>
      <c r="AI50" s="11" t="n">
        <f aca="false">SUM(AI45:AI46)+AI49</f>
        <v>-1.11455</v>
      </c>
      <c r="AJ50" s="11" t="n">
        <f aca="false">SUM(AJ45:AJ46)+AJ49</f>
        <v>-1.1135</v>
      </c>
      <c r="AK50" s="11" t="n">
        <f aca="false">SUM(AK45:AK46)+AK49</f>
        <v>-1.11245</v>
      </c>
      <c r="AL50" s="11" t="n">
        <f aca="false">SUM(AL45:AL46)+AL49</f>
        <v>-1.1114</v>
      </c>
      <c r="AM50" s="11" t="n">
        <f aca="false">SUM(AM45:AM46)+AM49</f>
        <v>-1.11035</v>
      </c>
      <c r="AN50" s="11" t="n">
        <f aca="false">SUM(AN45:AN46)+AN49</f>
        <v>-1.1093</v>
      </c>
      <c r="AO50" s="11" t="n">
        <f aca="false">SUM(AO45:AO46)+AO49</f>
        <v>-1.10825</v>
      </c>
      <c r="AP50" s="11" t="n">
        <f aca="false">SUM(AP45:AP46)+AP49</f>
        <v>-1.1072</v>
      </c>
      <c r="AQ50" s="11" t="n">
        <f aca="false">SUM(AQ45:AQ46)+AQ49</f>
        <v>-1.10615</v>
      </c>
      <c r="AR50" s="11" t="n">
        <f aca="false">SUM(AR45:AR46)+AR49</f>
        <v>-1.1051</v>
      </c>
      <c r="AS50" s="11" t="n">
        <f aca="false">SUM(AS45:AS46)+AS49</f>
        <v>-1.10405</v>
      </c>
      <c r="AT50" s="11" t="n">
        <f aca="false">SUM(AT45:AT46)+AT49</f>
        <v>-1.103</v>
      </c>
      <c r="AU50" s="11" t="n">
        <f aca="false">SUM(AU45:AU46)+AU49</f>
        <v>-1.10195</v>
      </c>
      <c r="AV50" s="11" t="n">
        <f aca="false">SUM(AV45:AV46)+AV49</f>
        <v>-1.1009</v>
      </c>
      <c r="AW50" s="11" t="n">
        <f aca="false">SUM(AW45:AW46)+AW49</f>
        <v>-1.09985</v>
      </c>
      <c r="AX50" s="11" t="n">
        <f aca="false">SUM(AX45:AX46)+AX49</f>
        <v>-1.0988</v>
      </c>
      <c r="AY50" s="11" t="n">
        <f aca="false">SUM(AY45:AY46)+AY49</f>
        <v>-1.09775</v>
      </c>
      <c r="AZ50" s="11" t="n">
        <f aca="false">SUM(AZ45:AZ46)+AZ49</f>
        <v>-1.0967</v>
      </c>
      <c r="BA50" s="11" t="n">
        <f aca="false">SUM(BA45:BA46)+BA49</f>
        <v>-1.09565</v>
      </c>
      <c r="BB50" s="11" t="n">
        <f aca="false">SUM(BB45:BB46)+BB49</f>
        <v>-1.0946</v>
      </c>
      <c r="BC50" s="11" t="n">
        <f aca="false">SUM(BC45:BC46)+BC49</f>
        <v>-1.09355</v>
      </c>
      <c r="BD50" s="11" t="n">
        <f aca="false">SUM(BD45:BD46)+BD49</f>
        <v>-1.0925</v>
      </c>
      <c r="BE50" s="11" t="n">
        <f aca="false">SUM(BE45:BE46)+BE49</f>
        <v>-1.09145</v>
      </c>
      <c r="BF50" s="11" t="n">
        <f aca="false">SUM(BF45:BF46)+BF49</f>
        <v>-1.0904</v>
      </c>
      <c r="BG50" s="11" t="n">
        <f aca="false">SUM(BG45:BG46)+BG49</f>
        <v>-1.08935</v>
      </c>
      <c r="BH50" s="11" t="n">
        <f aca="false">SUM(BH45:BH46)+BH49</f>
        <v>-1.0883</v>
      </c>
      <c r="BI50" s="11" t="n">
        <f aca="false">SUM(BI45:BI46)+BI49</f>
        <v>-1.08725</v>
      </c>
      <c r="BJ50" s="11" t="n">
        <f aca="false">SUM(BJ45:BJ46)+BJ49</f>
        <v>-1.0862</v>
      </c>
      <c r="BK50" s="11" t="n">
        <f aca="false">SUM(BK45:BK46)+BK49</f>
        <v>-1.10306666666667</v>
      </c>
      <c r="BL50" s="11" t="n">
        <f aca="false">SUM(BL45:BL46)+BL49</f>
        <v>-1.11993333333333</v>
      </c>
      <c r="BM50" s="11" t="n">
        <f aca="false">SUM(BM45:BM46)+BM49</f>
        <v>-1.1368</v>
      </c>
      <c r="BN50" s="11" t="n">
        <f aca="false">SUM(BN45:BN46)+BN49</f>
        <v>-1.15366666666667</v>
      </c>
      <c r="BO50" s="11" t="n">
        <f aca="false">SUM(BO45:BO46)+BO49</f>
        <v>-1.17053333333333</v>
      </c>
      <c r="BP50" s="11" t="n">
        <f aca="false">SUM(BP45:BP46)+BP49</f>
        <v>-1.1874</v>
      </c>
      <c r="BQ50" s="11" t="n">
        <f aca="false">SUM(BQ45:BQ46)+BQ49</f>
        <v>-1.20426666666667</v>
      </c>
      <c r="BR50" s="11" t="n">
        <f aca="false">SUM(BR45:BR46)+BR49</f>
        <v>-1.22113333333333</v>
      </c>
      <c r="BS50" s="11" t="n">
        <f aca="false">SUM(BS45:BS46)+BS49</f>
        <v>-1.238</v>
      </c>
      <c r="BT50" s="11" t="n">
        <f aca="false">SUM(BT45:BT46)+BT49</f>
        <v>-1.25486666666667</v>
      </c>
      <c r="BU50" s="11" t="n">
        <f aca="false">SUM(BU45:BU46)+BU49</f>
        <v>-1.27173333333334</v>
      </c>
      <c r="BV50" s="11" t="n">
        <f aca="false">SUM(BV45:BV46)+BV49</f>
        <v>-1.2886</v>
      </c>
      <c r="BW50" s="11" t="n">
        <f aca="false">SUM(BW45:BW46)+BW49</f>
        <v>-1.2883</v>
      </c>
      <c r="BX50" s="11" t="n">
        <f aca="false">SUM(BX45:BX46)+BX49</f>
        <v>-1.288</v>
      </c>
      <c r="BY50" s="11" t="n">
        <f aca="false">SUM(BY45:BY46)+BY49</f>
        <v>-1.288</v>
      </c>
      <c r="BZ50" s="11" t="n">
        <f aca="false">SUM(BZ45:BZ46)+BZ49</f>
        <v>-1.288</v>
      </c>
      <c r="CA50" s="11" t="n">
        <f aca="false">SUM(CA45:CA46)+CA49</f>
        <v>-1.288</v>
      </c>
      <c r="CB50" s="11" t="n">
        <f aca="false">SUM(CB45:CB46)+CB49</f>
        <v>-1.288</v>
      </c>
      <c r="CC50" s="11" t="n">
        <f aca="false">SUM(CC45:CC46)+CC49</f>
        <v>-1.288</v>
      </c>
      <c r="CD50" s="11" t="n">
        <f aca="false">SUM(CD45:CD46)+CD49</f>
        <v>-1.288</v>
      </c>
      <c r="CE50" s="11" t="n">
        <f aca="false">SUM(CE45:CE46)+CE49</f>
        <v>-1.288</v>
      </c>
      <c r="CF50" s="11" t="n">
        <f aca="false">SUM(CF45:CF46)+CF49</f>
        <v>-1.288</v>
      </c>
      <c r="CG50" s="11" t="n">
        <f aca="false">SUM(CG45:CG46)+CG49</f>
        <v>-1.288</v>
      </c>
      <c r="CH50" s="11" t="n">
        <f aca="false">SUM(CH45:CH46)+CH49</f>
        <v>-1.288</v>
      </c>
      <c r="CI50" s="11" t="n">
        <f aca="false">SUM(CI45:CI46)+CI49</f>
        <v>-1.288</v>
      </c>
      <c r="CJ50" s="11" t="n">
        <f aca="false">SUM(CJ45:CJ46)+CJ49</f>
        <v>-1.288</v>
      </c>
      <c r="CK50" s="11" t="n">
        <f aca="false">SUM(CK45:CK46)+CK49</f>
        <v>-1.288</v>
      </c>
      <c r="CL50" s="11" t="n">
        <f aca="false">SUM(CL45:CL46)+CL49</f>
        <v>-1.288</v>
      </c>
      <c r="CM50" s="11" t="n">
        <f aca="false">SUM(CM45:CM46)+CM49</f>
        <v>-1.288</v>
      </c>
      <c r="CN50" s="11" t="n">
        <f aca="false">SUM(CN45:CN46)+CN49</f>
        <v>-1.288</v>
      </c>
      <c r="CO50" s="11" t="n">
        <f aca="false">SUM(CO45:CO46)+CO49</f>
        <v>-1.288</v>
      </c>
      <c r="CP50" s="11" t="n">
        <f aca="false">SUM(CP45:CP46)+CP49</f>
        <v>-1.288</v>
      </c>
      <c r="CQ50" s="11" t="n">
        <f aca="false">SUM(CQ45:CQ46)+CQ49</f>
        <v>-1.288</v>
      </c>
      <c r="CR50" s="11" t="n">
        <f aca="false">SUM(CR45:CR46)+CR49</f>
        <v>-1.288</v>
      </c>
      <c r="CS50" s="11" t="n">
        <f aca="false">SUM(CS45:CS46)+CS49</f>
        <v>-1.288</v>
      </c>
      <c r="CT50" s="11" t="n">
        <f aca="false">SUM(CT45:CT46)+CT49</f>
        <v>-1.288</v>
      </c>
      <c r="CU50" s="11" t="n">
        <f aca="false">SUM(CU45:CU46)+CU49</f>
        <v>-1.288</v>
      </c>
      <c r="CV50" s="11" t="n">
        <f aca="false">SUM(CV45:CV46)+CV49</f>
        <v>-1.288</v>
      </c>
      <c r="CW50" s="11" t="n">
        <f aca="false">SUM(CW45:CW46)+CW49</f>
        <v>-1.288</v>
      </c>
      <c r="CX50" s="11" t="n">
        <f aca="false">SUM(CX45:CX46)+CX49</f>
        <v>-1.288</v>
      </c>
      <c r="CY50" s="11" t="n">
        <f aca="false">SUM(CY45:CY46)+CY49</f>
        <v>-1.288</v>
      </c>
      <c r="CZ50" s="11" t="n">
        <f aca="false">SUM(CZ45:CZ46)+CZ49</f>
        <v>-1.288</v>
      </c>
      <c r="DA50" s="11" t="n">
        <f aca="false">SUM(DA45:DA46)+DA49</f>
        <v>-1.288</v>
      </c>
      <c r="DB50" s="11" t="n">
        <f aca="false">SUM(DB45:DB46)+DB49</f>
        <v>-1.288</v>
      </c>
      <c r="DC50" s="11" t="n">
        <f aca="false">SUM(DC45:DC46)+DC49</f>
        <v>-1.288</v>
      </c>
      <c r="DD50" s="11" t="n">
        <f aca="false">SUM(DD45:DD46)+DD49</f>
        <v>-1.288</v>
      </c>
      <c r="DE50" s="11" t="n">
        <f aca="false">SUM(DE45:DE46)+DE49</f>
        <v>-1.288</v>
      </c>
      <c r="DF50" s="11" t="n">
        <f aca="false">SUM(DF45:DF46)+DF49</f>
        <v>-1.288</v>
      </c>
      <c r="DG50" s="11" t="n">
        <f aca="false">SUM(DG45:DG46)+DG49</f>
        <v>-1.288</v>
      </c>
      <c r="DH50" s="11" t="n">
        <f aca="false">SUM(DH45:DH46)+DH49</f>
        <v>-1.288</v>
      </c>
      <c r="DI50" s="11" t="n">
        <f aca="false">SUM(DI45:DI46)+DI49</f>
        <v>-1.288</v>
      </c>
      <c r="DJ50" s="11" t="n">
        <f aca="false">SUM(DJ45:DJ46)+DJ49</f>
        <v>-1.288</v>
      </c>
      <c r="DK50" s="11" t="n">
        <f aca="false">SUM(DK45:DK46)+DK49</f>
        <v>-1.288</v>
      </c>
      <c r="DL50" s="11" t="n">
        <f aca="false">SUM(DL45:DL46)+DL49</f>
        <v>-1.288</v>
      </c>
      <c r="DM50" s="11" t="n">
        <f aca="false">SUM(DM45:DM46)+DM49</f>
        <v>-1.288</v>
      </c>
      <c r="DN50" s="11" t="n">
        <f aca="false">SUM(DN45:DN46)+DN49</f>
        <v>-1.288</v>
      </c>
      <c r="DO50" s="11" t="n">
        <f aca="false">SUM(DO45:DO46)+DO49</f>
        <v>-1.288</v>
      </c>
      <c r="DP50" s="11" t="n">
        <f aca="false">SUM(DP45:DP46)+DP49</f>
        <v>-1.288</v>
      </c>
      <c r="DQ50" s="11" t="n">
        <f aca="false">SUM(DQ45:DQ46)+DQ49</f>
        <v>-1.288</v>
      </c>
      <c r="DR50" s="11" t="n">
        <f aca="false">SUM(DR45:DR46)+DR49</f>
        <v>-1.288</v>
      </c>
    </row>
    <row r="51" customFormat="false" ht="15" hidden="false" customHeight="false" outlineLevel="0" collapsed="false">
      <c r="A51" s="9" t="s">
        <v>219</v>
      </c>
      <c r="B51" s="10" t="n">
        <f aca="false">Inputs!$B$34</f>
        <v>0</v>
      </c>
      <c r="C51" s="11" t="n">
        <f aca="false">B52</f>
        <v>25</v>
      </c>
      <c r="D51" s="11" t="n">
        <f aca="false">C52</f>
        <v>20.2833333333333</v>
      </c>
      <c r="E51" s="11" t="n">
        <f aca="false">D52</f>
        <v>15.5666666666667</v>
      </c>
      <c r="F51" s="11" t="n">
        <f aca="false">E52</f>
        <v>10.85</v>
      </c>
      <c r="G51" s="11" t="n">
        <f aca="false">F52</f>
        <v>6.13333333333333</v>
      </c>
      <c r="H51" s="11" t="n">
        <f aca="false">G52</f>
        <v>1.41666666666666</v>
      </c>
      <c r="I51" s="11" t="n">
        <f aca="false">H52</f>
        <v>-3.3</v>
      </c>
      <c r="J51" s="11" t="n">
        <f aca="false">I52</f>
        <v>-8.01666666666667</v>
      </c>
      <c r="K51" s="11" t="n">
        <f aca="false">J52</f>
        <v>-12.7333333333333</v>
      </c>
      <c r="L51" s="11" t="n">
        <f aca="false">K52</f>
        <v>7.72725</v>
      </c>
      <c r="M51" s="11" t="n">
        <f aca="false">L52</f>
        <v>3.20575</v>
      </c>
      <c r="N51" s="11" t="n">
        <f aca="false">M52</f>
        <v>-1.29783333333334</v>
      </c>
      <c r="O51" s="11" t="n">
        <f aca="false">N52</f>
        <v>-5.99950000000001</v>
      </c>
      <c r="P51" s="11" t="n">
        <f aca="false">O52</f>
        <v>-6.85875000000001</v>
      </c>
      <c r="Q51" s="11" t="n">
        <f aca="false">P52</f>
        <v>-7.71725000000001</v>
      </c>
      <c r="R51" s="11" t="n">
        <f aca="false">Q52</f>
        <v>-8.85070000000001</v>
      </c>
      <c r="S51" s="11" t="n">
        <f aca="false">R52</f>
        <v>-9.98310000000001</v>
      </c>
      <c r="T51" s="11" t="n">
        <f aca="false">S52</f>
        <v>-11.11445</v>
      </c>
      <c r="U51" s="11" t="n">
        <f aca="false">T52</f>
        <v>-12.24475</v>
      </c>
      <c r="V51" s="11" t="n">
        <f aca="false">U52</f>
        <v>-13.374</v>
      </c>
      <c r="W51" s="11" t="n">
        <f aca="false">V52</f>
        <v>-14.5022</v>
      </c>
      <c r="X51" s="11" t="n">
        <f aca="false">W52</f>
        <v>-15.62935</v>
      </c>
      <c r="Y51" s="11" t="n">
        <f aca="false">X52</f>
        <v>-16.75545</v>
      </c>
      <c r="Z51" s="11" t="n">
        <f aca="false">Y52</f>
        <v>-17.8805</v>
      </c>
      <c r="AA51" s="11" t="n">
        <f aca="false">Z52</f>
        <v>-19.0045</v>
      </c>
      <c r="AB51" s="11" t="n">
        <f aca="false">AA52</f>
        <v>-20.12745</v>
      </c>
      <c r="AC51" s="11" t="n">
        <f aca="false">AB52</f>
        <v>-21.24935</v>
      </c>
      <c r="AD51" s="11" t="n">
        <f aca="false">AC52</f>
        <v>-22.3702</v>
      </c>
      <c r="AE51" s="11" t="n">
        <f aca="false">AD52</f>
        <v>-23.49</v>
      </c>
      <c r="AF51" s="11" t="n">
        <f aca="false">AE52</f>
        <v>-24.60875</v>
      </c>
      <c r="AG51" s="11" t="n">
        <f aca="false">AF52</f>
        <v>-25.72645</v>
      </c>
      <c r="AH51" s="11" t="n">
        <f aca="false">AG52</f>
        <v>-26.8431</v>
      </c>
      <c r="AI51" s="11" t="n">
        <f aca="false">AH52</f>
        <v>-27.9587</v>
      </c>
      <c r="AJ51" s="11" t="n">
        <f aca="false">AI52</f>
        <v>-29.07325</v>
      </c>
      <c r="AK51" s="11" t="n">
        <f aca="false">AJ52</f>
        <v>-30.18675</v>
      </c>
      <c r="AL51" s="11" t="n">
        <f aca="false">AK52</f>
        <v>-31.2992</v>
      </c>
      <c r="AM51" s="11" t="n">
        <f aca="false">AL52</f>
        <v>-32.4106</v>
      </c>
      <c r="AN51" s="11" t="n">
        <f aca="false">AM52</f>
        <v>-33.52095</v>
      </c>
      <c r="AO51" s="11" t="n">
        <f aca="false">AN52</f>
        <v>-34.63025</v>
      </c>
      <c r="AP51" s="11" t="n">
        <f aca="false">AO52</f>
        <v>-35.7385</v>
      </c>
      <c r="AQ51" s="11" t="n">
        <f aca="false">AP52</f>
        <v>-36.8457</v>
      </c>
      <c r="AR51" s="11" t="n">
        <f aca="false">AQ52</f>
        <v>-37.95185</v>
      </c>
      <c r="AS51" s="11" t="n">
        <f aca="false">AR52</f>
        <v>-39.05695</v>
      </c>
      <c r="AT51" s="11" t="n">
        <f aca="false">AS52</f>
        <v>-40.161</v>
      </c>
      <c r="AU51" s="11" t="n">
        <f aca="false">AT52</f>
        <v>-41.264</v>
      </c>
      <c r="AV51" s="11" t="n">
        <f aca="false">AU52</f>
        <v>-42.36595</v>
      </c>
      <c r="AW51" s="11" t="n">
        <f aca="false">AV52</f>
        <v>-43.46685</v>
      </c>
      <c r="AX51" s="11" t="n">
        <f aca="false">AW52</f>
        <v>-44.5667</v>
      </c>
      <c r="AY51" s="11" t="n">
        <f aca="false">AX52</f>
        <v>-45.6655</v>
      </c>
      <c r="AZ51" s="11" t="n">
        <f aca="false">AY52</f>
        <v>-46.76325</v>
      </c>
      <c r="BA51" s="11" t="n">
        <f aca="false">AZ52</f>
        <v>-47.85995</v>
      </c>
      <c r="BB51" s="11" t="n">
        <f aca="false">BA52</f>
        <v>-48.9556</v>
      </c>
      <c r="BC51" s="11" t="n">
        <f aca="false">BB52</f>
        <v>-50.0502</v>
      </c>
      <c r="BD51" s="11" t="n">
        <f aca="false">BC52</f>
        <v>-51.14375</v>
      </c>
      <c r="BE51" s="11" t="n">
        <f aca="false">BD52</f>
        <v>-52.23625</v>
      </c>
      <c r="BF51" s="11" t="n">
        <f aca="false">BE52</f>
        <v>-53.3277</v>
      </c>
      <c r="BG51" s="11" t="n">
        <f aca="false">BF52</f>
        <v>-54.4181</v>
      </c>
      <c r="BH51" s="11" t="n">
        <f aca="false">BG52</f>
        <v>-55.50745</v>
      </c>
      <c r="BI51" s="11" t="n">
        <f aca="false">BH52</f>
        <v>-56.59575</v>
      </c>
      <c r="BJ51" s="11" t="n">
        <f aca="false">BI52</f>
        <v>-57.6830000000001</v>
      </c>
      <c r="BK51" s="11" t="n">
        <f aca="false">BJ52</f>
        <v>-58.7692000000001</v>
      </c>
      <c r="BL51" s="11" t="n">
        <f aca="false">BK52</f>
        <v>-59.8722666666667</v>
      </c>
      <c r="BM51" s="11" t="n">
        <f aca="false">BL52</f>
        <v>-60.9922000000001</v>
      </c>
      <c r="BN51" s="11" t="n">
        <f aca="false">BM52</f>
        <v>-62.1290000000001</v>
      </c>
      <c r="BO51" s="11" t="n">
        <f aca="false">BN52</f>
        <v>-63.2826666666667</v>
      </c>
      <c r="BP51" s="11" t="n">
        <f aca="false">BO52</f>
        <v>-64.4532000000001</v>
      </c>
      <c r="BQ51" s="11" t="n">
        <f aca="false">BP52</f>
        <v>-65.6406000000001</v>
      </c>
      <c r="BR51" s="11" t="n">
        <f aca="false">BQ52</f>
        <v>-66.8448666666667</v>
      </c>
      <c r="BS51" s="11" t="n">
        <f aca="false">BR52</f>
        <v>-68.0660000000001</v>
      </c>
      <c r="BT51" s="11" t="n">
        <f aca="false">BS52</f>
        <v>-69.304</v>
      </c>
      <c r="BU51" s="11" t="n">
        <f aca="false">BT52</f>
        <v>-70.5588666666667</v>
      </c>
      <c r="BV51" s="11" t="n">
        <f aca="false">BU52</f>
        <v>-71.8306000000001</v>
      </c>
      <c r="BW51" s="11" t="n">
        <f aca="false">BV52</f>
        <v>-73.1192000000001</v>
      </c>
      <c r="BX51" s="11" t="n">
        <f aca="false">BW52</f>
        <v>-74.4075000000001</v>
      </c>
      <c r="BY51" s="11" t="n">
        <f aca="false">BX52</f>
        <v>-75.6955000000001</v>
      </c>
      <c r="BZ51" s="11" t="n">
        <f aca="false">BY52</f>
        <v>-76.9835000000001</v>
      </c>
      <c r="CA51" s="11" t="n">
        <f aca="false">BZ52</f>
        <v>-78.2715000000001</v>
      </c>
      <c r="CB51" s="11" t="n">
        <f aca="false">CA52</f>
        <v>-79.5595</v>
      </c>
      <c r="CC51" s="11" t="n">
        <f aca="false">CB52</f>
        <v>-80.8475</v>
      </c>
      <c r="CD51" s="11" t="n">
        <f aca="false">CC52</f>
        <v>-82.1355</v>
      </c>
      <c r="CE51" s="11" t="n">
        <f aca="false">CD52</f>
        <v>-83.4235</v>
      </c>
      <c r="CF51" s="11" t="n">
        <f aca="false">CE52</f>
        <v>-84.7115</v>
      </c>
      <c r="CG51" s="11" t="n">
        <f aca="false">CF52</f>
        <v>-85.9995</v>
      </c>
      <c r="CH51" s="11" t="n">
        <f aca="false">CG52</f>
        <v>-87.2875</v>
      </c>
      <c r="CI51" s="11" t="n">
        <f aca="false">CH52</f>
        <v>-88.5755</v>
      </c>
      <c r="CJ51" s="11" t="n">
        <f aca="false">CI52</f>
        <v>-89.8635</v>
      </c>
      <c r="CK51" s="11" t="n">
        <f aca="false">CJ52</f>
        <v>-91.1515</v>
      </c>
      <c r="CL51" s="11" t="n">
        <f aca="false">CK52</f>
        <v>-92.4395</v>
      </c>
      <c r="CM51" s="11" t="n">
        <f aca="false">CL52</f>
        <v>-93.7275</v>
      </c>
      <c r="CN51" s="11" t="n">
        <f aca="false">CM52</f>
        <v>-95.0155</v>
      </c>
      <c r="CO51" s="11" t="n">
        <f aca="false">CN52</f>
        <v>-96.3035</v>
      </c>
      <c r="CP51" s="11" t="n">
        <f aca="false">CO52</f>
        <v>-97.5915</v>
      </c>
      <c r="CQ51" s="11" t="n">
        <f aca="false">CP52</f>
        <v>-98.8795</v>
      </c>
      <c r="CR51" s="11" t="n">
        <f aca="false">CQ52</f>
        <v>-100.1675</v>
      </c>
      <c r="CS51" s="11" t="n">
        <f aca="false">CR52</f>
        <v>-101.4555</v>
      </c>
      <c r="CT51" s="11" t="n">
        <f aca="false">CS52</f>
        <v>-102.7435</v>
      </c>
      <c r="CU51" s="11" t="n">
        <f aca="false">CT52</f>
        <v>-104.0315</v>
      </c>
      <c r="CV51" s="11" t="n">
        <f aca="false">CU52</f>
        <v>-105.3195</v>
      </c>
      <c r="CW51" s="11" t="n">
        <f aca="false">CV52</f>
        <v>-106.6075</v>
      </c>
      <c r="CX51" s="11" t="n">
        <f aca="false">CW52</f>
        <v>-107.8955</v>
      </c>
      <c r="CY51" s="11" t="n">
        <f aca="false">CX52</f>
        <v>-109.1835</v>
      </c>
      <c r="CZ51" s="11" t="n">
        <f aca="false">CY52</f>
        <v>-110.4715</v>
      </c>
      <c r="DA51" s="11" t="n">
        <f aca="false">CZ52</f>
        <v>-111.7595</v>
      </c>
      <c r="DB51" s="11" t="n">
        <f aca="false">DA52</f>
        <v>-113.0475</v>
      </c>
      <c r="DC51" s="11" t="n">
        <f aca="false">DB52</f>
        <v>-114.3355</v>
      </c>
      <c r="DD51" s="11" t="n">
        <f aca="false">DC52</f>
        <v>-115.6235</v>
      </c>
      <c r="DE51" s="11" t="n">
        <f aca="false">DD52</f>
        <v>-116.9115</v>
      </c>
      <c r="DF51" s="11" t="n">
        <f aca="false">DE52</f>
        <v>-118.1995</v>
      </c>
      <c r="DG51" s="11" t="n">
        <f aca="false">DF52</f>
        <v>-119.4875</v>
      </c>
      <c r="DH51" s="11" t="n">
        <f aca="false">DG52</f>
        <v>-120.7755</v>
      </c>
      <c r="DI51" s="11" t="n">
        <f aca="false">DH52</f>
        <v>-122.0635</v>
      </c>
      <c r="DJ51" s="11" t="n">
        <f aca="false">DI52</f>
        <v>-123.3515</v>
      </c>
      <c r="DK51" s="11" t="n">
        <f aca="false">DJ52</f>
        <v>-124.6395</v>
      </c>
      <c r="DL51" s="11" t="n">
        <f aca="false">DK52</f>
        <v>-125.9275</v>
      </c>
      <c r="DM51" s="11" t="n">
        <f aca="false">DL52</f>
        <v>-127.2155</v>
      </c>
      <c r="DN51" s="11" t="n">
        <f aca="false">DM52</f>
        <v>-128.5035</v>
      </c>
      <c r="DO51" s="11" t="n">
        <f aca="false">DN52</f>
        <v>-129.7915</v>
      </c>
      <c r="DP51" s="11" t="n">
        <f aca="false">DO52</f>
        <v>-131.0795</v>
      </c>
      <c r="DQ51" s="11" t="n">
        <f aca="false">DP52</f>
        <v>-132.3675</v>
      </c>
      <c r="DR51" s="11" t="n">
        <f aca="false">DQ52</f>
        <v>-133.6555</v>
      </c>
    </row>
    <row r="52" customFormat="false" ht="15" hidden="false" customHeight="false" outlineLevel="0" collapsed="false">
      <c r="A52" s="12" t="s">
        <v>220</v>
      </c>
      <c r="B52" s="13" t="n">
        <f aca="false">B51+B50</f>
        <v>25</v>
      </c>
      <c r="C52" s="13" t="n">
        <f aca="false">C51+C50</f>
        <v>20.2833333333333</v>
      </c>
      <c r="D52" s="13" t="n">
        <f aca="false">D51+D50</f>
        <v>15.5666666666667</v>
      </c>
      <c r="E52" s="13" t="n">
        <f aca="false">E51+E50</f>
        <v>10.85</v>
      </c>
      <c r="F52" s="13" t="n">
        <f aca="false">F51+F50</f>
        <v>6.13333333333333</v>
      </c>
      <c r="G52" s="13" t="n">
        <f aca="false">G51+G50</f>
        <v>1.41666666666666</v>
      </c>
      <c r="H52" s="13" t="n">
        <f aca="false">H51+H50</f>
        <v>-3.3</v>
      </c>
      <c r="I52" s="13" t="n">
        <f aca="false">I51+I50</f>
        <v>-8.01666666666667</v>
      </c>
      <c r="J52" s="13" t="n">
        <f aca="false">J51+J50</f>
        <v>-12.7333333333333</v>
      </c>
      <c r="K52" s="13" t="n">
        <f aca="false">K51+K50</f>
        <v>7.72725</v>
      </c>
      <c r="L52" s="13" t="n">
        <f aca="false">L51+L50</f>
        <v>3.20575</v>
      </c>
      <c r="M52" s="13" t="n">
        <f aca="false">M51+M50</f>
        <v>-1.29783333333334</v>
      </c>
      <c r="N52" s="13" t="n">
        <f aca="false">N51+N50</f>
        <v>-5.99950000000001</v>
      </c>
      <c r="O52" s="13" t="n">
        <f aca="false">O51+O50</f>
        <v>-6.85875000000001</v>
      </c>
      <c r="P52" s="13" t="n">
        <f aca="false">P51+P50</f>
        <v>-7.71725000000001</v>
      </c>
      <c r="Q52" s="13" t="n">
        <f aca="false">Q51+Q50</f>
        <v>-8.85070000000001</v>
      </c>
      <c r="R52" s="13" t="n">
        <f aca="false">R51+R50</f>
        <v>-9.98310000000001</v>
      </c>
      <c r="S52" s="13" t="n">
        <f aca="false">S51+S50</f>
        <v>-11.11445</v>
      </c>
      <c r="T52" s="13" t="n">
        <f aca="false">T51+T50</f>
        <v>-12.24475</v>
      </c>
      <c r="U52" s="13" t="n">
        <f aca="false">U51+U50</f>
        <v>-13.374</v>
      </c>
      <c r="V52" s="13" t="n">
        <f aca="false">V51+V50</f>
        <v>-14.5022</v>
      </c>
      <c r="W52" s="13" t="n">
        <f aca="false">W51+W50</f>
        <v>-15.62935</v>
      </c>
      <c r="X52" s="13" t="n">
        <f aca="false">X51+X50</f>
        <v>-16.75545</v>
      </c>
      <c r="Y52" s="13" t="n">
        <f aca="false">Y51+Y50</f>
        <v>-17.8805</v>
      </c>
      <c r="Z52" s="13" t="n">
        <f aca="false">Z51+Z50</f>
        <v>-19.0045</v>
      </c>
      <c r="AA52" s="13" t="n">
        <f aca="false">AA51+AA50</f>
        <v>-20.12745</v>
      </c>
      <c r="AB52" s="13" t="n">
        <f aca="false">AB51+AB50</f>
        <v>-21.24935</v>
      </c>
      <c r="AC52" s="13" t="n">
        <f aca="false">AC51+AC50</f>
        <v>-22.3702</v>
      </c>
      <c r="AD52" s="13" t="n">
        <f aca="false">AD51+AD50</f>
        <v>-23.49</v>
      </c>
      <c r="AE52" s="13" t="n">
        <f aca="false">AE51+AE50</f>
        <v>-24.60875</v>
      </c>
      <c r="AF52" s="13" t="n">
        <f aca="false">AF51+AF50</f>
        <v>-25.72645</v>
      </c>
      <c r="AG52" s="13" t="n">
        <f aca="false">AG51+AG50</f>
        <v>-26.8431</v>
      </c>
      <c r="AH52" s="13" t="n">
        <f aca="false">AH51+AH50</f>
        <v>-27.9587</v>
      </c>
      <c r="AI52" s="13" t="n">
        <f aca="false">AI51+AI50</f>
        <v>-29.07325</v>
      </c>
      <c r="AJ52" s="13" t="n">
        <f aca="false">AJ51+AJ50</f>
        <v>-30.18675</v>
      </c>
      <c r="AK52" s="13" t="n">
        <f aca="false">AK51+AK50</f>
        <v>-31.2992</v>
      </c>
      <c r="AL52" s="13" t="n">
        <f aca="false">AL51+AL50</f>
        <v>-32.4106</v>
      </c>
      <c r="AM52" s="13" t="n">
        <f aca="false">AM51+AM50</f>
        <v>-33.52095</v>
      </c>
      <c r="AN52" s="13" t="n">
        <f aca="false">AN51+AN50</f>
        <v>-34.63025</v>
      </c>
      <c r="AO52" s="13" t="n">
        <f aca="false">AO51+AO50</f>
        <v>-35.7385</v>
      </c>
      <c r="AP52" s="13" t="n">
        <f aca="false">AP51+AP50</f>
        <v>-36.8457</v>
      </c>
      <c r="AQ52" s="13" t="n">
        <f aca="false">AQ51+AQ50</f>
        <v>-37.95185</v>
      </c>
      <c r="AR52" s="13" t="n">
        <f aca="false">AR51+AR50</f>
        <v>-39.05695</v>
      </c>
      <c r="AS52" s="13" t="n">
        <f aca="false">AS51+AS50</f>
        <v>-40.161</v>
      </c>
      <c r="AT52" s="13" t="n">
        <f aca="false">AT51+AT50</f>
        <v>-41.264</v>
      </c>
      <c r="AU52" s="13" t="n">
        <f aca="false">AU51+AU50</f>
        <v>-42.36595</v>
      </c>
      <c r="AV52" s="13" t="n">
        <f aca="false">AV51+AV50</f>
        <v>-43.46685</v>
      </c>
      <c r="AW52" s="13" t="n">
        <f aca="false">AW51+AW50</f>
        <v>-44.5667</v>
      </c>
      <c r="AX52" s="13" t="n">
        <f aca="false">AX51+AX50</f>
        <v>-45.6655</v>
      </c>
      <c r="AY52" s="13" t="n">
        <f aca="false">AY51+AY50</f>
        <v>-46.76325</v>
      </c>
      <c r="AZ52" s="13" t="n">
        <f aca="false">AZ51+AZ50</f>
        <v>-47.85995</v>
      </c>
      <c r="BA52" s="13" t="n">
        <f aca="false">BA51+BA50</f>
        <v>-48.9556</v>
      </c>
      <c r="BB52" s="13" t="n">
        <f aca="false">BB51+BB50</f>
        <v>-50.0502</v>
      </c>
      <c r="BC52" s="13" t="n">
        <f aca="false">BC51+BC50</f>
        <v>-51.14375</v>
      </c>
      <c r="BD52" s="13" t="n">
        <f aca="false">BD51+BD50</f>
        <v>-52.23625</v>
      </c>
      <c r="BE52" s="13" t="n">
        <f aca="false">BE51+BE50</f>
        <v>-53.3277</v>
      </c>
      <c r="BF52" s="13" t="n">
        <f aca="false">BF51+BF50</f>
        <v>-54.4181</v>
      </c>
      <c r="BG52" s="13" t="n">
        <f aca="false">BG51+BG50</f>
        <v>-55.50745</v>
      </c>
      <c r="BH52" s="13" t="n">
        <f aca="false">BH51+BH50</f>
        <v>-56.59575</v>
      </c>
      <c r="BI52" s="13" t="n">
        <f aca="false">BI51+BI50</f>
        <v>-57.6830000000001</v>
      </c>
      <c r="BJ52" s="13" t="n">
        <f aca="false">BJ51+BJ50</f>
        <v>-58.7692000000001</v>
      </c>
      <c r="BK52" s="13" t="n">
        <f aca="false">BK51+BK50</f>
        <v>-59.8722666666667</v>
      </c>
      <c r="BL52" s="13" t="n">
        <f aca="false">BL51+BL50</f>
        <v>-60.9922000000001</v>
      </c>
      <c r="BM52" s="13" t="n">
        <f aca="false">BM51+BM50</f>
        <v>-62.1290000000001</v>
      </c>
      <c r="BN52" s="13" t="n">
        <f aca="false">BN51+BN50</f>
        <v>-63.2826666666667</v>
      </c>
      <c r="BO52" s="13" t="n">
        <f aca="false">BO51+BO50</f>
        <v>-64.4532000000001</v>
      </c>
      <c r="BP52" s="13" t="n">
        <f aca="false">BP51+BP50</f>
        <v>-65.6406000000001</v>
      </c>
      <c r="BQ52" s="13" t="n">
        <f aca="false">BQ51+BQ50</f>
        <v>-66.8448666666667</v>
      </c>
      <c r="BR52" s="13" t="n">
        <f aca="false">BR51+BR50</f>
        <v>-68.0660000000001</v>
      </c>
      <c r="BS52" s="13" t="n">
        <f aca="false">BS51+BS50</f>
        <v>-69.304</v>
      </c>
      <c r="BT52" s="13" t="n">
        <f aca="false">BT51+BT50</f>
        <v>-70.5588666666667</v>
      </c>
      <c r="BU52" s="13" t="n">
        <f aca="false">BU51+BU50</f>
        <v>-71.8306000000001</v>
      </c>
      <c r="BV52" s="13" t="n">
        <f aca="false">BV51+BV50</f>
        <v>-73.1192000000001</v>
      </c>
      <c r="BW52" s="13" t="n">
        <f aca="false">BW51+BW50</f>
        <v>-74.4075000000001</v>
      </c>
      <c r="BX52" s="13" t="n">
        <f aca="false">BX51+BX50</f>
        <v>-75.6955000000001</v>
      </c>
      <c r="BY52" s="13" t="n">
        <f aca="false">BY51+BY50</f>
        <v>-76.9835000000001</v>
      </c>
      <c r="BZ52" s="13" t="n">
        <f aca="false">BZ51+BZ50</f>
        <v>-78.2715000000001</v>
      </c>
      <c r="CA52" s="13" t="n">
        <f aca="false">CA51+CA50</f>
        <v>-79.5595</v>
      </c>
      <c r="CB52" s="13" t="n">
        <f aca="false">CB51+CB50</f>
        <v>-80.8475</v>
      </c>
      <c r="CC52" s="13" t="n">
        <f aca="false">CC51+CC50</f>
        <v>-82.1355</v>
      </c>
      <c r="CD52" s="13" t="n">
        <f aca="false">CD51+CD50</f>
        <v>-83.4235</v>
      </c>
      <c r="CE52" s="13" t="n">
        <f aca="false">CE51+CE50</f>
        <v>-84.7115</v>
      </c>
      <c r="CF52" s="13" t="n">
        <f aca="false">CF51+CF50</f>
        <v>-85.9995</v>
      </c>
      <c r="CG52" s="13" t="n">
        <f aca="false">CG51+CG50</f>
        <v>-87.2875</v>
      </c>
      <c r="CH52" s="13" t="n">
        <f aca="false">CH51+CH50</f>
        <v>-88.5755</v>
      </c>
      <c r="CI52" s="13" t="n">
        <f aca="false">CI51+CI50</f>
        <v>-89.8635</v>
      </c>
      <c r="CJ52" s="13" t="n">
        <f aca="false">CJ51+CJ50</f>
        <v>-91.1515</v>
      </c>
      <c r="CK52" s="13" t="n">
        <f aca="false">CK51+CK50</f>
        <v>-92.4395</v>
      </c>
      <c r="CL52" s="13" t="n">
        <f aca="false">CL51+CL50</f>
        <v>-93.7275</v>
      </c>
      <c r="CM52" s="13" t="n">
        <f aca="false">CM51+CM50</f>
        <v>-95.0155</v>
      </c>
      <c r="CN52" s="13" t="n">
        <f aca="false">CN51+CN50</f>
        <v>-96.3035</v>
      </c>
      <c r="CO52" s="13" t="n">
        <f aca="false">CO51+CO50</f>
        <v>-97.5915</v>
      </c>
      <c r="CP52" s="13" t="n">
        <f aca="false">CP51+CP50</f>
        <v>-98.8795</v>
      </c>
      <c r="CQ52" s="13" t="n">
        <f aca="false">CQ51+CQ50</f>
        <v>-100.1675</v>
      </c>
      <c r="CR52" s="13" t="n">
        <f aca="false">CR51+CR50</f>
        <v>-101.4555</v>
      </c>
      <c r="CS52" s="13" t="n">
        <f aca="false">CS51+CS50</f>
        <v>-102.7435</v>
      </c>
      <c r="CT52" s="13" t="n">
        <f aca="false">CT51+CT50</f>
        <v>-104.0315</v>
      </c>
      <c r="CU52" s="13" t="n">
        <f aca="false">CU51+CU50</f>
        <v>-105.3195</v>
      </c>
      <c r="CV52" s="13" t="n">
        <f aca="false">CV51+CV50</f>
        <v>-106.6075</v>
      </c>
      <c r="CW52" s="13" t="n">
        <f aca="false">CW51+CW50</f>
        <v>-107.8955</v>
      </c>
      <c r="CX52" s="13" t="n">
        <f aca="false">CX51+CX50</f>
        <v>-109.1835</v>
      </c>
      <c r="CY52" s="13" t="n">
        <f aca="false">CY51+CY50</f>
        <v>-110.4715</v>
      </c>
      <c r="CZ52" s="13" t="n">
        <f aca="false">CZ51+CZ50</f>
        <v>-111.7595</v>
      </c>
      <c r="DA52" s="13" t="n">
        <f aca="false">DA51+DA50</f>
        <v>-113.0475</v>
      </c>
      <c r="DB52" s="13" t="n">
        <f aca="false">DB51+DB50</f>
        <v>-114.3355</v>
      </c>
      <c r="DC52" s="13" t="n">
        <f aca="false">DC51+DC50</f>
        <v>-115.6235</v>
      </c>
      <c r="DD52" s="13" t="n">
        <f aca="false">DD51+DD50</f>
        <v>-116.9115</v>
      </c>
      <c r="DE52" s="13" t="n">
        <f aca="false">DE51+DE50</f>
        <v>-118.1995</v>
      </c>
      <c r="DF52" s="13" t="n">
        <f aca="false">DF51+DF50</f>
        <v>-119.4875</v>
      </c>
      <c r="DG52" s="13" t="n">
        <f aca="false">DG51+DG50</f>
        <v>-120.7755</v>
      </c>
      <c r="DH52" s="13" t="n">
        <f aca="false">DH51+DH50</f>
        <v>-122.0635</v>
      </c>
      <c r="DI52" s="13" t="n">
        <f aca="false">DI51+DI50</f>
        <v>-123.3515</v>
      </c>
      <c r="DJ52" s="13" t="n">
        <f aca="false">DJ51+DJ50</f>
        <v>-124.6395</v>
      </c>
      <c r="DK52" s="13" t="n">
        <f aca="false">DK51+DK50</f>
        <v>-125.9275</v>
      </c>
      <c r="DL52" s="13" t="n">
        <f aca="false">DL51+DL50</f>
        <v>-127.2155</v>
      </c>
      <c r="DM52" s="13" t="n">
        <f aca="false">DM51+DM50</f>
        <v>-128.5035</v>
      </c>
      <c r="DN52" s="13" t="n">
        <f aca="false">DN51+DN50</f>
        <v>-129.7915</v>
      </c>
      <c r="DO52" s="13" t="n">
        <f aca="false">DO51+DO50</f>
        <v>-131.0795</v>
      </c>
      <c r="DP52" s="13" t="n">
        <f aca="false">DP51+DP50</f>
        <v>-132.3675</v>
      </c>
      <c r="DQ52" s="13" t="n">
        <f aca="false">DQ51+DQ50</f>
        <v>-133.6555</v>
      </c>
      <c r="DR52" s="13" t="n">
        <f aca="false">DR51+DR50</f>
        <v>-134.9435</v>
      </c>
    </row>
    <row r="53" customFormat="false" ht="15" hidden="false" customHeight="false" outlineLevel="0" collapsed="false">
      <c r="A53" s="12" t="s">
        <v>221</v>
      </c>
      <c r="B53" s="14" t="n">
        <f aca="false">MAX(Inputs!$B$34,-B52)</f>
        <v>0</v>
      </c>
      <c r="C53" s="14" t="n">
        <f aca="false">MAX(Inputs!$B$34,-C52)</f>
        <v>0</v>
      </c>
      <c r="D53" s="14" t="n">
        <f aca="false">MAX(Inputs!$B$34,-D52)</f>
        <v>0</v>
      </c>
      <c r="E53" s="14" t="n">
        <f aca="false">MAX(Inputs!$B$34,-E52)</f>
        <v>0</v>
      </c>
      <c r="F53" s="14" t="n">
        <f aca="false">MAX(Inputs!$B$34,-F52)</f>
        <v>0</v>
      </c>
      <c r="G53" s="14" t="n">
        <f aca="false">MAX(Inputs!$B$34,-G52)</f>
        <v>0</v>
      </c>
      <c r="H53" s="14" t="n">
        <f aca="false">MAX(Inputs!$B$34,-H52)</f>
        <v>3.3</v>
      </c>
      <c r="I53" s="14" t="n">
        <f aca="false">MAX(Inputs!$B$34,-I52)</f>
        <v>8.01666666666667</v>
      </c>
      <c r="J53" s="14" t="n">
        <f aca="false">MAX(Inputs!$B$34,-J52)</f>
        <v>12.7333333333333</v>
      </c>
      <c r="K53" s="14" t="n">
        <f aca="false">MAX(Inputs!$B$34,-K52)</f>
        <v>0</v>
      </c>
      <c r="L53" s="14" t="n">
        <f aca="false">MAX(Inputs!$B$34,-L52)</f>
        <v>0</v>
      </c>
      <c r="M53" s="14" t="n">
        <f aca="false">MAX(Inputs!$B$34,-M52)</f>
        <v>1.29783333333334</v>
      </c>
      <c r="N53" s="14" t="n">
        <f aca="false">MAX(Inputs!$B$34,-N52)</f>
        <v>5.99950000000001</v>
      </c>
      <c r="O53" s="14" t="n">
        <f aca="false">MAX(Inputs!$B$34,-O52)</f>
        <v>6.85875000000001</v>
      </c>
      <c r="P53" s="14" t="n">
        <f aca="false">MAX(Inputs!$B$34,-P52)</f>
        <v>7.71725000000001</v>
      </c>
      <c r="Q53" s="14" t="n">
        <f aca="false">MAX(Inputs!$B$34,-Q52)</f>
        <v>8.85070000000001</v>
      </c>
      <c r="R53" s="14" t="n">
        <f aca="false">MAX(Inputs!$B$34,-R52)</f>
        <v>9.98310000000001</v>
      </c>
      <c r="S53" s="14" t="n">
        <f aca="false">MAX(Inputs!$B$34,-S52)</f>
        <v>11.11445</v>
      </c>
      <c r="T53" s="14" t="n">
        <f aca="false">MAX(Inputs!$B$34,-T52)</f>
        <v>12.24475</v>
      </c>
      <c r="U53" s="14" t="n">
        <f aca="false">MAX(Inputs!$B$34,-U52)</f>
        <v>13.374</v>
      </c>
      <c r="V53" s="14" t="n">
        <f aca="false">MAX(Inputs!$B$34,-V52)</f>
        <v>14.5022</v>
      </c>
      <c r="W53" s="14" t="n">
        <f aca="false">MAX(Inputs!$B$34,-W52)</f>
        <v>15.62935</v>
      </c>
      <c r="X53" s="14" t="n">
        <f aca="false">MAX(Inputs!$B$34,-X52)</f>
        <v>16.75545</v>
      </c>
      <c r="Y53" s="14" t="n">
        <f aca="false">MAX(Inputs!$B$34,-Y52)</f>
        <v>17.8805</v>
      </c>
      <c r="Z53" s="14" t="n">
        <f aca="false">MAX(Inputs!$B$34,-Z52)</f>
        <v>19.0045</v>
      </c>
      <c r="AA53" s="14" t="n">
        <f aca="false">MAX(Inputs!$B$34,-AA52)</f>
        <v>20.12745</v>
      </c>
      <c r="AB53" s="14" t="n">
        <f aca="false">MAX(Inputs!$B$34,-AB52)</f>
        <v>21.24935</v>
      </c>
      <c r="AC53" s="14" t="n">
        <f aca="false">MAX(Inputs!$B$34,-AC52)</f>
        <v>22.3702</v>
      </c>
      <c r="AD53" s="14" t="n">
        <f aca="false">MAX(Inputs!$B$34,-AD52)</f>
        <v>23.49</v>
      </c>
      <c r="AE53" s="14" t="n">
        <f aca="false">MAX(Inputs!$B$34,-AE52)</f>
        <v>24.60875</v>
      </c>
      <c r="AF53" s="14" t="n">
        <f aca="false">MAX(Inputs!$B$34,-AF52)</f>
        <v>25.72645</v>
      </c>
      <c r="AG53" s="14" t="n">
        <f aca="false">MAX(Inputs!$B$34,-AG52)</f>
        <v>26.8431</v>
      </c>
      <c r="AH53" s="14" t="n">
        <f aca="false">MAX(Inputs!$B$34,-AH52)</f>
        <v>27.9587</v>
      </c>
      <c r="AI53" s="14" t="n">
        <f aca="false">MAX(Inputs!$B$34,-AI52)</f>
        <v>29.07325</v>
      </c>
      <c r="AJ53" s="14" t="n">
        <f aca="false">MAX(Inputs!$B$34,-AJ52)</f>
        <v>30.18675</v>
      </c>
      <c r="AK53" s="14" t="n">
        <f aca="false">MAX(Inputs!$B$34,-AK52)</f>
        <v>31.2992</v>
      </c>
      <c r="AL53" s="14" t="n">
        <f aca="false">MAX(Inputs!$B$34,-AL52)</f>
        <v>32.4106</v>
      </c>
      <c r="AM53" s="14" t="n">
        <f aca="false">MAX(Inputs!$B$34,-AM52)</f>
        <v>33.52095</v>
      </c>
      <c r="AN53" s="14" t="n">
        <f aca="false">MAX(Inputs!$B$34,-AN52)</f>
        <v>34.63025</v>
      </c>
      <c r="AO53" s="14" t="n">
        <f aca="false">MAX(Inputs!$B$34,-AO52)</f>
        <v>35.7385</v>
      </c>
      <c r="AP53" s="14" t="n">
        <f aca="false">MAX(Inputs!$B$34,-AP52)</f>
        <v>36.8457</v>
      </c>
      <c r="AQ53" s="14" t="n">
        <f aca="false">MAX(Inputs!$B$34,-AQ52)</f>
        <v>37.95185</v>
      </c>
      <c r="AR53" s="14" t="n">
        <f aca="false">MAX(Inputs!$B$34,-AR52)</f>
        <v>39.05695</v>
      </c>
      <c r="AS53" s="14" t="n">
        <f aca="false">MAX(Inputs!$B$34,-AS52)</f>
        <v>40.161</v>
      </c>
      <c r="AT53" s="14" t="n">
        <f aca="false">MAX(Inputs!$B$34,-AT52)</f>
        <v>41.264</v>
      </c>
      <c r="AU53" s="14" t="n">
        <f aca="false">MAX(Inputs!$B$34,-AU52)</f>
        <v>42.36595</v>
      </c>
      <c r="AV53" s="14" t="n">
        <f aca="false">MAX(Inputs!$B$34,-AV52)</f>
        <v>43.46685</v>
      </c>
      <c r="AW53" s="14" t="n">
        <f aca="false">MAX(Inputs!$B$34,-AW52)</f>
        <v>44.5667</v>
      </c>
      <c r="AX53" s="14" t="n">
        <f aca="false">MAX(Inputs!$B$34,-AX52)</f>
        <v>45.6655</v>
      </c>
      <c r="AY53" s="14" t="n">
        <f aca="false">MAX(Inputs!$B$34,-AY52)</f>
        <v>46.76325</v>
      </c>
      <c r="AZ53" s="14" t="n">
        <f aca="false">MAX(Inputs!$B$34,-AZ52)</f>
        <v>47.85995</v>
      </c>
      <c r="BA53" s="14" t="n">
        <f aca="false">MAX(Inputs!$B$34,-BA52)</f>
        <v>48.9556</v>
      </c>
      <c r="BB53" s="14" t="n">
        <f aca="false">MAX(Inputs!$B$34,-BB52)</f>
        <v>50.0502</v>
      </c>
      <c r="BC53" s="14" t="n">
        <f aca="false">MAX(Inputs!$B$34,-BC52)</f>
        <v>51.14375</v>
      </c>
      <c r="BD53" s="14" t="n">
        <f aca="false">MAX(Inputs!$B$34,-BD52)</f>
        <v>52.23625</v>
      </c>
      <c r="BE53" s="14" t="n">
        <f aca="false">MAX(Inputs!$B$34,-BE52)</f>
        <v>53.3277</v>
      </c>
      <c r="BF53" s="14" t="n">
        <f aca="false">MAX(Inputs!$B$34,-BF52)</f>
        <v>54.4181</v>
      </c>
      <c r="BG53" s="14" t="n">
        <f aca="false">MAX(Inputs!$B$34,-BG52)</f>
        <v>55.50745</v>
      </c>
      <c r="BH53" s="14" t="n">
        <f aca="false">MAX(Inputs!$B$34,-BH52)</f>
        <v>56.59575</v>
      </c>
      <c r="BI53" s="14" t="n">
        <f aca="false">MAX(Inputs!$B$34,-BI52)</f>
        <v>57.6830000000001</v>
      </c>
      <c r="BJ53" s="14" t="n">
        <f aca="false">MAX(Inputs!$B$34,-BJ52)</f>
        <v>58.7692000000001</v>
      </c>
      <c r="BK53" s="14" t="n">
        <f aca="false">MAX(Inputs!$B$34,-BK52)</f>
        <v>59.8722666666667</v>
      </c>
      <c r="BL53" s="14" t="n">
        <f aca="false">MAX(Inputs!$B$34,-BL52)</f>
        <v>60.9922000000001</v>
      </c>
      <c r="BM53" s="14" t="n">
        <f aca="false">MAX(Inputs!$B$34,-BM52)</f>
        <v>62.1290000000001</v>
      </c>
      <c r="BN53" s="14" t="n">
        <f aca="false">MAX(Inputs!$B$34,-BN52)</f>
        <v>63.2826666666667</v>
      </c>
      <c r="BO53" s="14" t="n">
        <f aca="false">MAX(Inputs!$B$34,-BO52)</f>
        <v>64.4532000000001</v>
      </c>
      <c r="BP53" s="14" t="n">
        <f aca="false">MAX(Inputs!$B$34,-BP52)</f>
        <v>65.6406000000001</v>
      </c>
      <c r="BQ53" s="14" t="n">
        <f aca="false">MAX(Inputs!$B$34,-BQ52)</f>
        <v>66.8448666666667</v>
      </c>
      <c r="BR53" s="14" t="n">
        <f aca="false">MAX(Inputs!$B$34,-BR52)</f>
        <v>68.0660000000001</v>
      </c>
      <c r="BS53" s="14" t="n">
        <f aca="false">MAX(Inputs!$B$34,-BS52)</f>
        <v>69.304</v>
      </c>
      <c r="BT53" s="14" t="n">
        <f aca="false">MAX(Inputs!$B$34,-BT52)</f>
        <v>70.5588666666667</v>
      </c>
      <c r="BU53" s="14" t="n">
        <f aca="false">MAX(Inputs!$B$34,-BU52)</f>
        <v>71.8306000000001</v>
      </c>
      <c r="BV53" s="14" t="n">
        <f aca="false">MAX(Inputs!$B$34,-BV52)</f>
        <v>73.1192000000001</v>
      </c>
      <c r="BW53" s="14" t="n">
        <f aca="false">MAX(Inputs!$B$34,-BW52)</f>
        <v>74.4075000000001</v>
      </c>
      <c r="BX53" s="14" t="n">
        <f aca="false">MAX(Inputs!$B$34,-BX52)</f>
        <v>75.6955000000001</v>
      </c>
      <c r="BY53" s="14" t="n">
        <f aca="false">MAX(Inputs!$B$34,-BY52)</f>
        <v>76.9835000000001</v>
      </c>
      <c r="BZ53" s="14" t="n">
        <f aca="false">MAX(Inputs!$B$34,-BZ52)</f>
        <v>78.2715000000001</v>
      </c>
      <c r="CA53" s="14" t="n">
        <f aca="false">MAX(Inputs!$B$34,-CA52)</f>
        <v>79.5595</v>
      </c>
      <c r="CB53" s="14" t="n">
        <f aca="false">MAX(Inputs!$B$34,-CB52)</f>
        <v>80.8475</v>
      </c>
      <c r="CC53" s="14" t="n">
        <f aca="false">MAX(Inputs!$B$34,-CC52)</f>
        <v>82.1355</v>
      </c>
      <c r="CD53" s="14" t="n">
        <f aca="false">MAX(Inputs!$B$34,-CD52)</f>
        <v>83.4235</v>
      </c>
      <c r="CE53" s="14" t="n">
        <f aca="false">MAX(Inputs!$B$34,-CE52)</f>
        <v>84.7115</v>
      </c>
      <c r="CF53" s="14" t="n">
        <f aca="false">MAX(Inputs!$B$34,-CF52)</f>
        <v>85.9995</v>
      </c>
      <c r="CG53" s="14" t="n">
        <f aca="false">MAX(Inputs!$B$34,-CG52)</f>
        <v>87.2875</v>
      </c>
      <c r="CH53" s="14" t="n">
        <f aca="false">MAX(Inputs!$B$34,-CH52)</f>
        <v>88.5755</v>
      </c>
      <c r="CI53" s="14" t="n">
        <f aca="false">MAX(Inputs!$B$34,-CI52)</f>
        <v>89.8635</v>
      </c>
      <c r="CJ53" s="14" t="n">
        <f aca="false">MAX(Inputs!$B$34,-CJ52)</f>
        <v>91.1515</v>
      </c>
      <c r="CK53" s="14" t="n">
        <f aca="false">MAX(Inputs!$B$34,-CK52)</f>
        <v>92.4395</v>
      </c>
      <c r="CL53" s="14" t="n">
        <f aca="false">MAX(Inputs!$B$34,-CL52)</f>
        <v>93.7275</v>
      </c>
      <c r="CM53" s="14" t="n">
        <f aca="false">MAX(Inputs!$B$34,-CM52)</f>
        <v>95.0155</v>
      </c>
      <c r="CN53" s="14" t="n">
        <f aca="false">MAX(Inputs!$B$34,-CN52)</f>
        <v>96.3035</v>
      </c>
      <c r="CO53" s="14" t="n">
        <f aca="false">MAX(Inputs!$B$34,-CO52)</f>
        <v>97.5915</v>
      </c>
      <c r="CP53" s="14" t="n">
        <f aca="false">MAX(Inputs!$B$34,-CP52)</f>
        <v>98.8795</v>
      </c>
      <c r="CQ53" s="14" t="n">
        <f aca="false">MAX(Inputs!$B$34,-CQ52)</f>
        <v>100.1675</v>
      </c>
      <c r="CR53" s="14" t="n">
        <f aca="false">MAX(Inputs!$B$34,-CR52)</f>
        <v>101.4555</v>
      </c>
      <c r="CS53" s="14" t="n">
        <f aca="false">MAX(Inputs!$B$34,-CS52)</f>
        <v>102.7435</v>
      </c>
      <c r="CT53" s="14" t="n">
        <f aca="false">MAX(Inputs!$B$34,-CT52)</f>
        <v>104.0315</v>
      </c>
      <c r="CU53" s="14" t="n">
        <f aca="false">MAX(Inputs!$B$34,-CU52)</f>
        <v>105.3195</v>
      </c>
      <c r="CV53" s="14" t="n">
        <f aca="false">MAX(Inputs!$B$34,-CV52)</f>
        <v>106.6075</v>
      </c>
      <c r="CW53" s="14" t="n">
        <f aca="false">MAX(Inputs!$B$34,-CW52)</f>
        <v>107.8955</v>
      </c>
      <c r="CX53" s="14" t="n">
        <f aca="false">MAX(Inputs!$B$34,-CX52)</f>
        <v>109.1835</v>
      </c>
      <c r="CY53" s="14" t="n">
        <f aca="false">MAX(Inputs!$B$34,-CY52)</f>
        <v>110.4715</v>
      </c>
      <c r="CZ53" s="14" t="n">
        <f aca="false">MAX(Inputs!$B$34,-CZ52)</f>
        <v>111.7595</v>
      </c>
      <c r="DA53" s="14" t="n">
        <f aca="false">MAX(Inputs!$B$34,-DA52)</f>
        <v>113.0475</v>
      </c>
      <c r="DB53" s="14" t="n">
        <f aca="false">MAX(Inputs!$B$34,-DB52)</f>
        <v>114.3355</v>
      </c>
      <c r="DC53" s="14" t="n">
        <f aca="false">MAX(Inputs!$B$34,-DC52)</f>
        <v>115.6235</v>
      </c>
      <c r="DD53" s="14" t="n">
        <f aca="false">MAX(Inputs!$B$34,-DD52)</f>
        <v>116.9115</v>
      </c>
      <c r="DE53" s="14" t="n">
        <f aca="false">MAX(Inputs!$B$34,-DE52)</f>
        <v>118.1995</v>
      </c>
      <c r="DF53" s="14" t="n">
        <f aca="false">MAX(Inputs!$B$34,-DF52)</f>
        <v>119.4875</v>
      </c>
      <c r="DG53" s="14" t="n">
        <f aca="false">MAX(Inputs!$B$34,-DG52)</f>
        <v>120.7755</v>
      </c>
      <c r="DH53" s="14" t="n">
        <f aca="false">MAX(Inputs!$B$34,-DH52)</f>
        <v>122.0635</v>
      </c>
      <c r="DI53" s="14" t="n">
        <f aca="false">MAX(Inputs!$B$34,-DI52)</f>
        <v>123.3515</v>
      </c>
      <c r="DJ53" s="14" t="n">
        <f aca="false">MAX(Inputs!$B$34,-DJ52)</f>
        <v>124.6395</v>
      </c>
      <c r="DK53" s="14" t="n">
        <f aca="false">MAX(Inputs!$B$34,-DK52)</f>
        <v>125.9275</v>
      </c>
      <c r="DL53" s="14" t="n">
        <f aca="false">MAX(Inputs!$B$34,-DL52)</f>
        <v>127.2155</v>
      </c>
      <c r="DM53" s="14" t="n">
        <f aca="false">MAX(Inputs!$B$34,-DM52)</f>
        <v>128.5035</v>
      </c>
      <c r="DN53" s="14" t="n">
        <f aca="false">MAX(Inputs!$B$34,-DN52)</f>
        <v>129.7915</v>
      </c>
      <c r="DO53" s="14" t="n">
        <f aca="false">MAX(Inputs!$B$34,-DO52)</f>
        <v>131.0795</v>
      </c>
      <c r="DP53" s="14" t="n">
        <f aca="false">MAX(Inputs!$B$34,-DP52)</f>
        <v>132.3675</v>
      </c>
      <c r="DQ53" s="14" t="n">
        <f aca="false">MAX(Inputs!$B$34,-DQ52)</f>
        <v>133.6555</v>
      </c>
      <c r="DR53" s="14" t="n">
        <f aca="false">MAX(Inputs!$B$34,-DR52)</f>
        <v>134.9435</v>
      </c>
    </row>
    <row r="54" customFormat="false" ht="15" hidden="false" customHeight="false" outlineLevel="0" collapsed="false">
      <c r="A54" s="9" t="s">
        <v>222</v>
      </c>
      <c r="B54" s="11" t="n">
        <f aca="false">B38-B39</f>
        <v>0</v>
      </c>
      <c r="C54" s="11" t="n">
        <f aca="false">B54+C38-C39</f>
        <v>3.52361111111111</v>
      </c>
      <c r="D54" s="11" t="n">
        <f aca="false">C54+D38-D39</f>
        <v>6.9875</v>
      </c>
      <c r="E54" s="11" t="n">
        <f aca="false">D54+E38-E39</f>
        <v>10.3916666666667</v>
      </c>
      <c r="F54" s="11" t="n">
        <f aca="false">E54+F38-F39</f>
        <v>13.7361111111111</v>
      </c>
      <c r="G54" s="11" t="n">
        <f aca="false">F54+G38-G39</f>
        <v>17.0208333333333</v>
      </c>
      <c r="H54" s="11" t="n">
        <f aca="false">G54+H38-H39</f>
        <v>20.2458333333333</v>
      </c>
      <c r="I54" s="11" t="n">
        <f aca="false">H54+I38-I39</f>
        <v>23.4111111111111</v>
      </c>
      <c r="J54" s="11" t="n">
        <f aca="false">I54+J38-J39</f>
        <v>26.5166666666667</v>
      </c>
      <c r="K54" s="11" t="n">
        <f aca="false">J54+K38-K39</f>
        <v>29.5625</v>
      </c>
      <c r="L54" s="11" t="n">
        <f aca="false">K54+L38-L39</f>
        <v>32.5486111111111</v>
      </c>
      <c r="M54" s="11" t="n">
        <f aca="false">L54+M38-M39</f>
        <v>35.475</v>
      </c>
      <c r="N54" s="11" t="n">
        <f aca="false">M54+N38-N39</f>
        <v>38.3416666666667</v>
      </c>
      <c r="O54" s="11" t="n">
        <f aca="false">N54+O38-O39</f>
        <v>37.7725</v>
      </c>
      <c r="P54" s="11" t="n">
        <f aca="false">O54+P38-P39</f>
        <v>37.2008333333333</v>
      </c>
      <c r="Q54" s="11" t="n">
        <f aca="false">P54+Q38-Q39</f>
        <v>36.6856666666667</v>
      </c>
      <c r="R54" s="11" t="n">
        <f aca="false">Q54+R38-R39</f>
        <v>36.167</v>
      </c>
      <c r="S54" s="11" t="n">
        <f aca="false">R54+S38-S39</f>
        <v>35.6448333333333</v>
      </c>
      <c r="T54" s="11" t="n">
        <f aca="false">S54+T38-T39</f>
        <v>35.1191666666667</v>
      </c>
      <c r="U54" s="11" t="n">
        <f aca="false">T54+U38-U39</f>
        <v>34.59</v>
      </c>
      <c r="V54" s="11" t="n">
        <f aca="false">U54+V38-V39</f>
        <v>34.0573333333333</v>
      </c>
      <c r="W54" s="11" t="n">
        <f aca="false">V54+W38-W39</f>
        <v>33.5211666666667</v>
      </c>
      <c r="X54" s="11" t="n">
        <f aca="false">W54+X38-X39</f>
        <v>32.9815</v>
      </c>
      <c r="Y54" s="11" t="n">
        <f aca="false">X54+Y38-Y39</f>
        <v>32.4383333333333</v>
      </c>
      <c r="Z54" s="11" t="n">
        <f aca="false">Y54+Z38-Z39</f>
        <v>31.8916666666667</v>
      </c>
      <c r="AA54" s="11" t="n">
        <f aca="false">Z54+AA38-AA39</f>
        <v>31.3415</v>
      </c>
      <c r="AB54" s="11" t="n">
        <f aca="false">AA54+AB38-AB39</f>
        <v>30.7878333333333</v>
      </c>
      <c r="AC54" s="11" t="n">
        <f aca="false">AB54+AC38-AC39</f>
        <v>30.2306666666667</v>
      </c>
      <c r="AD54" s="11" t="n">
        <f aca="false">AC54+AD38-AD39</f>
        <v>29.67</v>
      </c>
      <c r="AE54" s="11" t="n">
        <f aca="false">AD54+AE38-AE39</f>
        <v>29.1058333333333</v>
      </c>
      <c r="AF54" s="11" t="n">
        <f aca="false">AE54+AF38-AF39</f>
        <v>28.5381666666667</v>
      </c>
      <c r="AG54" s="11" t="n">
        <f aca="false">AF54+AG38-AG39</f>
        <v>27.967</v>
      </c>
      <c r="AH54" s="11" t="n">
        <f aca="false">AG54+AH38-AH39</f>
        <v>27.3923333333333</v>
      </c>
      <c r="AI54" s="11" t="n">
        <f aca="false">AH54+AI38-AI39</f>
        <v>26.8141666666667</v>
      </c>
      <c r="AJ54" s="11" t="n">
        <f aca="false">AI54+AJ38-AJ39</f>
        <v>26.2325</v>
      </c>
      <c r="AK54" s="11" t="n">
        <f aca="false">AJ54+AK38-AK39</f>
        <v>25.6473333333333</v>
      </c>
      <c r="AL54" s="11" t="n">
        <f aca="false">AK54+AL38-AL39</f>
        <v>25.0586666666667</v>
      </c>
      <c r="AM54" s="11" t="n">
        <f aca="false">AL54+AM38-AM39</f>
        <v>24.4665</v>
      </c>
      <c r="AN54" s="11" t="n">
        <f aca="false">AM54+AN38-AN39</f>
        <v>23.8708333333333</v>
      </c>
      <c r="AO54" s="11" t="n">
        <f aca="false">AN54+AO38-AO39</f>
        <v>23.2716666666667</v>
      </c>
      <c r="AP54" s="11" t="n">
        <f aca="false">AO54+AP38-AP39</f>
        <v>22.669</v>
      </c>
      <c r="AQ54" s="11" t="n">
        <f aca="false">AP54+AQ38-AQ39</f>
        <v>22.0628333333334</v>
      </c>
      <c r="AR54" s="11" t="n">
        <f aca="false">AQ54+AR38-AR39</f>
        <v>21.4531666666667</v>
      </c>
      <c r="AS54" s="11" t="n">
        <f aca="false">AR54+AS38-AS39</f>
        <v>20.84</v>
      </c>
      <c r="AT54" s="11" t="n">
        <f aca="false">AS54+AT38-AT39</f>
        <v>20.2233333333334</v>
      </c>
      <c r="AU54" s="11" t="n">
        <f aca="false">AT54+AU38-AU39</f>
        <v>19.6031666666667</v>
      </c>
      <c r="AV54" s="11" t="n">
        <f aca="false">AU54+AV38-AV39</f>
        <v>18.9795</v>
      </c>
      <c r="AW54" s="11" t="n">
        <f aca="false">AV54+AW38-AW39</f>
        <v>18.3523333333334</v>
      </c>
      <c r="AX54" s="11" t="n">
        <f aca="false">AW54+AX38-AX39</f>
        <v>17.7216666666667</v>
      </c>
      <c r="AY54" s="11" t="n">
        <f aca="false">AX54+AY38-AY39</f>
        <v>17.0875</v>
      </c>
      <c r="AZ54" s="11" t="n">
        <f aca="false">AY54+AZ38-AZ39</f>
        <v>16.4498333333334</v>
      </c>
      <c r="BA54" s="11" t="n">
        <f aca="false">AZ54+BA38-BA39</f>
        <v>15.8086666666667</v>
      </c>
      <c r="BB54" s="11" t="n">
        <f aca="false">BA54+BB38-BB39</f>
        <v>15.164</v>
      </c>
      <c r="BC54" s="11" t="n">
        <f aca="false">BB54+BC38-BC39</f>
        <v>14.5158333333334</v>
      </c>
      <c r="BD54" s="11" t="n">
        <f aca="false">BC54+BD38-BD39</f>
        <v>13.8641666666667</v>
      </c>
      <c r="BE54" s="11" t="n">
        <f aca="false">BD54+BE38-BE39</f>
        <v>13.209</v>
      </c>
      <c r="BF54" s="11" t="n">
        <f aca="false">BE54+BF38-BF39</f>
        <v>12.5503333333334</v>
      </c>
      <c r="BG54" s="11" t="n">
        <f aca="false">BF54+BG38-BG39</f>
        <v>11.8881666666667</v>
      </c>
      <c r="BH54" s="11" t="n">
        <f aca="false">BG54+BH38-BH39</f>
        <v>11.2225</v>
      </c>
      <c r="BI54" s="11" t="n">
        <f aca="false">BH54+BI38-BI39</f>
        <v>10.5533333333334</v>
      </c>
      <c r="BJ54" s="11" t="n">
        <f aca="false">BI54+BJ38-BJ39</f>
        <v>9.8806666666667</v>
      </c>
      <c r="BK54" s="11" t="n">
        <f aca="false">BJ54+BK38-BK39</f>
        <v>9.26422222222226</v>
      </c>
      <c r="BL54" s="11" t="n">
        <f aca="false">BK54+BL38-BL39</f>
        <v>8.70400000000003</v>
      </c>
      <c r="BM54" s="11" t="n">
        <f aca="false">BL54+BM38-BM39</f>
        <v>8.20000000000004</v>
      </c>
      <c r="BN54" s="11" t="n">
        <f aca="false">BM54+BN38-BN39</f>
        <v>7.75222222222226</v>
      </c>
      <c r="BO54" s="11" t="n">
        <f aca="false">BN54+BO38-BO39</f>
        <v>7.3606666666667</v>
      </c>
      <c r="BP54" s="11" t="n">
        <f aca="false">BO54+BP38-BP39</f>
        <v>7.02533333333337</v>
      </c>
      <c r="BQ54" s="11" t="n">
        <f aca="false">BP54+BQ38-BQ39</f>
        <v>6.74622222222226</v>
      </c>
      <c r="BR54" s="11" t="n">
        <f aca="false">BQ54+BR38-BR39</f>
        <v>6.52333333333337</v>
      </c>
      <c r="BS54" s="11" t="n">
        <f aca="false">BR54+BS38-BS39</f>
        <v>6.3566666666667</v>
      </c>
      <c r="BT54" s="11" t="n">
        <f aca="false">BS54+BT38-BT39</f>
        <v>6.24622222222226</v>
      </c>
      <c r="BU54" s="11" t="n">
        <f aca="false">BT54+BU38-BU39</f>
        <v>6.19200000000004</v>
      </c>
      <c r="BV54" s="11" t="n">
        <f aca="false">BU54+BV38-BV39</f>
        <v>6.19400000000004</v>
      </c>
      <c r="BW54" s="11" t="n">
        <f aca="false">BV54+BW38-BW39</f>
        <v>6.19500000000004</v>
      </c>
      <c r="BX54" s="11" t="n">
        <f aca="false">BW54+BX38-BX39</f>
        <v>6.19500000000004</v>
      </c>
      <c r="BY54" s="11" t="n">
        <f aca="false">BX54+BY38-BY39</f>
        <v>6.19500000000004</v>
      </c>
      <c r="BZ54" s="11" t="n">
        <f aca="false">BY54+BZ38-BZ39</f>
        <v>6.19500000000004</v>
      </c>
      <c r="CA54" s="11" t="n">
        <f aca="false">BZ54+CA38-CA39</f>
        <v>6.19500000000004</v>
      </c>
      <c r="CB54" s="11" t="n">
        <f aca="false">CA54+CB38-CB39</f>
        <v>6.19500000000004</v>
      </c>
      <c r="CC54" s="11" t="n">
        <f aca="false">CB54+CC38-CC39</f>
        <v>6.19500000000004</v>
      </c>
      <c r="CD54" s="11" t="n">
        <f aca="false">CC54+CD38-CD39</f>
        <v>6.19500000000004</v>
      </c>
      <c r="CE54" s="11" t="n">
        <f aca="false">CD54+CE38-CE39</f>
        <v>6.19500000000004</v>
      </c>
      <c r="CF54" s="11" t="n">
        <f aca="false">CE54+CF38-CF39</f>
        <v>6.19500000000004</v>
      </c>
      <c r="CG54" s="11" t="n">
        <f aca="false">CF54+CG38-CG39</f>
        <v>6.19500000000004</v>
      </c>
      <c r="CH54" s="11" t="n">
        <f aca="false">CG54+CH38-CH39</f>
        <v>6.19500000000004</v>
      </c>
      <c r="CI54" s="11" t="n">
        <f aca="false">CH54+CI38-CI39</f>
        <v>6.19500000000004</v>
      </c>
      <c r="CJ54" s="11" t="n">
        <f aca="false">CI54+CJ38-CJ39</f>
        <v>6.19500000000004</v>
      </c>
      <c r="CK54" s="11" t="n">
        <f aca="false">CJ54+CK38-CK39</f>
        <v>6.19500000000004</v>
      </c>
      <c r="CL54" s="11" t="n">
        <f aca="false">CK54+CL38-CL39</f>
        <v>6.19500000000004</v>
      </c>
      <c r="CM54" s="11" t="n">
        <f aca="false">CL54+CM38-CM39</f>
        <v>6.19500000000004</v>
      </c>
      <c r="CN54" s="11" t="n">
        <f aca="false">CM54+CN38-CN39</f>
        <v>6.19500000000004</v>
      </c>
      <c r="CO54" s="11" t="n">
        <f aca="false">CN54+CO38-CO39</f>
        <v>6.19500000000004</v>
      </c>
      <c r="CP54" s="11" t="n">
        <f aca="false">CO54+CP38-CP39</f>
        <v>6.19500000000004</v>
      </c>
      <c r="CQ54" s="11" t="n">
        <f aca="false">CP54+CQ38-CQ39</f>
        <v>6.19500000000004</v>
      </c>
      <c r="CR54" s="11" t="n">
        <f aca="false">CQ54+CR38-CR39</f>
        <v>6.19500000000004</v>
      </c>
      <c r="CS54" s="11" t="n">
        <f aca="false">CR54+CS38-CS39</f>
        <v>6.19500000000004</v>
      </c>
      <c r="CT54" s="11" t="n">
        <f aca="false">CS54+CT38-CT39</f>
        <v>6.19500000000004</v>
      </c>
      <c r="CU54" s="11" t="n">
        <f aca="false">CT54+CU38-CU39</f>
        <v>6.19500000000004</v>
      </c>
      <c r="CV54" s="11" t="n">
        <f aca="false">CU54+CV38-CV39</f>
        <v>6.19500000000004</v>
      </c>
      <c r="CW54" s="11" t="n">
        <f aca="false">CV54+CW38-CW39</f>
        <v>6.19500000000004</v>
      </c>
      <c r="CX54" s="11" t="n">
        <f aca="false">CW54+CX38-CX39</f>
        <v>6.19500000000004</v>
      </c>
      <c r="CY54" s="11" t="n">
        <f aca="false">CX54+CY38-CY39</f>
        <v>6.19500000000004</v>
      </c>
      <c r="CZ54" s="11" t="n">
        <f aca="false">CY54+CZ38-CZ39</f>
        <v>6.19500000000004</v>
      </c>
      <c r="DA54" s="11" t="n">
        <f aca="false">CZ54+DA38-DA39</f>
        <v>6.19500000000004</v>
      </c>
      <c r="DB54" s="11" t="n">
        <f aca="false">DA54+DB38-DB39</f>
        <v>6.19500000000004</v>
      </c>
      <c r="DC54" s="11" t="n">
        <f aca="false">DB54+DC38-DC39</f>
        <v>6.19500000000004</v>
      </c>
      <c r="DD54" s="11" t="n">
        <f aca="false">DC54+DD38-DD39</f>
        <v>6.19500000000004</v>
      </c>
      <c r="DE54" s="11" t="n">
        <f aca="false">DD54+DE38-DE39</f>
        <v>6.19500000000004</v>
      </c>
      <c r="DF54" s="11" t="n">
        <f aca="false">DE54+DF38-DF39</f>
        <v>6.19500000000004</v>
      </c>
      <c r="DG54" s="11" t="n">
        <f aca="false">DF54+DG38-DG39</f>
        <v>6.19500000000004</v>
      </c>
      <c r="DH54" s="11" t="n">
        <f aca="false">DG54+DH38-DH39</f>
        <v>6.19500000000004</v>
      </c>
      <c r="DI54" s="11" t="n">
        <f aca="false">DH54+DI38-DI39</f>
        <v>6.19500000000004</v>
      </c>
      <c r="DJ54" s="11" t="n">
        <f aca="false">DI54+DJ38-DJ39</f>
        <v>6.19500000000004</v>
      </c>
      <c r="DK54" s="11" t="n">
        <f aca="false">DJ54+DK38-DK39</f>
        <v>6.19500000000004</v>
      </c>
      <c r="DL54" s="11" t="n">
        <f aca="false">DK54+DL38-DL39</f>
        <v>6.19500000000004</v>
      </c>
      <c r="DM54" s="11" t="n">
        <f aca="false">DL54+DM38-DM39</f>
        <v>6.19500000000004</v>
      </c>
      <c r="DN54" s="11" t="n">
        <f aca="false">DM54+DN38-DN39</f>
        <v>6.19500000000004</v>
      </c>
      <c r="DO54" s="11" t="n">
        <f aca="false">DN54+DO38-DO39</f>
        <v>6.19500000000004</v>
      </c>
      <c r="DP54" s="11" t="n">
        <f aca="false">DO54+DP38-DP39</f>
        <v>6.19500000000004</v>
      </c>
      <c r="DQ54" s="11" t="n">
        <f aca="false">DP54+DQ38-DQ39</f>
        <v>6.19500000000004</v>
      </c>
      <c r="DR54" s="11" t="n">
        <f aca="false">DQ54+DR38-DR39</f>
        <v>6.19500000000004</v>
      </c>
    </row>
    <row r="55" customFormat="false" ht="15" hidden="false" customHeight="false" outlineLevel="0" collapsed="false">
      <c r="A55" s="9" t="s">
        <v>223</v>
      </c>
      <c r="B55" s="11" t="n">
        <f aca="false">SUM($B47:B47)</f>
        <v>25</v>
      </c>
      <c r="C55" s="11" t="n">
        <f aca="false">SUM($B47:C47)</f>
        <v>25</v>
      </c>
      <c r="D55" s="11" t="n">
        <f aca="false">SUM($B47:D47)</f>
        <v>25</v>
      </c>
      <c r="E55" s="11" t="n">
        <f aca="false">SUM($B47:E47)</f>
        <v>25</v>
      </c>
      <c r="F55" s="11" t="n">
        <f aca="false">SUM($B47:F47)</f>
        <v>25</v>
      </c>
      <c r="G55" s="11" t="n">
        <f aca="false">SUM($B47:G47)</f>
        <v>25</v>
      </c>
      <c r="H55" s="11" t="n">
        <f aca="false">SUM($B47:H47)</f>
        <v>25</v>
      </c>
      <c r="I55" s="11" t="n">
        <f aca="false">SUM($B47:I47)</f>
        <v>25</v>
      </c>
      <c r="J55" s="11" t="n">
        <f aca="false">SUM($B47:J47)</f>
        <v>25</v>
      </c>
      <c r="K55" s="11" t="n">
        <f aca="false">SUM($B47:K47)</f>
        <v>50</v>
      </c>
      <c r="L55" s="11" t="n">
        <f aca="false">SUM($B47:L47)</f>
        <v>50</v>
      </c>
      <c r="M55" s="11" t="n">
        <f aca="false">SUM($B47:M47)</f>
        <v>50</v>
      </c>
      <c r="N55" s="11" t="n">
        <f aca="false">SUM($B47:N47)</f>
        <v>50</v>
      </c>
      <c r="O55" s="11" t="n">
        <f aca="false">SUM($B47:O47)</f>
        <v>50</v>
      </c>
      <c r="P55" s="11" t="n">
        <f aca="false">SUM($B47:P47)</f>
        <v>50</v>
      </c>
      <c r="Q55" s="11" t="n">
        <f aca="false">SUM($B47:Q47)</f>
        <v>50</v>
      </c>
      <c r="R55" s="11" t="n">
        <f aca="false">SUM($B47:R47)</f>
        <v>50</v>
      </c>
      <c r="S55" s="11" t="n">
        <f aca="false">SUM($B47:S47)</f>
        <v>50</v>
      </c>
      <c r="T55" s="11" t="n">
        <f aca="false">SUM($B47:T47)</f>
        <v>50</v>
      </c>
      <c r="U55" s="11" t="n">
        <f aca="false">SUM($B47:U47)</f>
        <v>50</v>
      </c>
      <c r="V55" s="11" t="n">
        <f aca="false">SUM($B47:V47)</f>
        <v>50</v>
      </c>
      <c r="W55" s="11" t="n">
        <f aca="false">SUM($B47:W47)</f>
        <v>50</v>
      </c>
      <c r="X55" s="11" t="n">
        <f aca="false">SUM($B47:X47)</f>
        <v>50</v>
      </c>
      <c r="Y55" s="11" t="n">
        <f aca="false">SUM($B47:Y47)</f>
        <v>50</v>
      </c>
      <c r="Z55" s="11" t="n">
        <f aca="false">SUM($B47:Z47)</f>
        <v>50</v>
      </c>
      <c r="AA55" s="11" t="n">
        <f aca="false">SUM($B47:AA47)</f>
        <v>50</v>
      </c>
      <c r="AB55" s="11" t="n">
        <f aca="false">SUM($B47:AB47)</f>
        <v>50</v>
      </c>
      <c r="AC55" s="11" t="n">
        <f aca="false">SUM($B47:AC47)</f>
        <v>50</v>
      </c>
      <c r="AD55" s="11" t="n">
        <f aca="false">SUM($B47:AD47)</f>
        <v>50</v>
      </c>
      <c r="AE55" s="11" t="n">
        <f aca="false">SUM($B47:AE47)</f>
        <v>50</v>
      </c>
      <c r="AF55" s="11" t="n">
        <f aca="false">SUM($B47:AF47)</f>
        <v>50</v>
      </c>
      <c r="AG55" s="11" t="n">
        <f aca="false">SUM($B47:AG47)</f>
        <v>50</v>
      </c>
      <c r="AH55" s="11" t="n">
        <f aca="false">SUM($B47:AH47)</f>
        <v>50</v>
      </c>
      <c r="AI55" s="11" t="n">
        <f aca="false">SUM($B47:AI47)</f>
        <v>50</v>
      </c>
      <c r="AJ55" s="11" t="n">
        <f aca="false">SUM($B47:AJ47)</f>
        <v>50</v>
      </c>
      <c r="AK55" s="11" t="n">
        <f aca="false">SUM($B47:AK47)</f>
        <v>50</v>
      </c>
      <c r="AL55" s="11" t="n">
        <f aca="false">SUM($B47:AL47)</f>
        <v>50</v>
      </c>
      <c r="AM55" s="11" t="n">
        <f aca="false">SUM($B47:AM47)</f>
        <v>50</v>
      </c>
      <c r="AN55" s="11" t="n">
        <f aca="false">SUM($B47:AN47)</f>
        <v>50</v>
      </c>
      <c r="AO55" s="11" t="n">
        <f aca="false">SUM($B47:AO47)</f>
        <v>50</v>
      </c>
      <c r="AP55" s="11" t="n">
        <f aca="false">SUM($B47:AP47)</f>
        <v>50</v>
      </c>
      <c r="AQ55" s="11" t="n">
        <f aca="false">SUM($B47:AQ47)</f>
        <v>50</v>
      </c>
      <c r="AR55" s="11" t="n">
        <f aca="false">SUM($B47:AR47)</f>
        <v>50</v>
      </c>
      <c r="AS55" s="11" t="n">
        <f aca="false">SUM($B47:AS47)</f>
        <v>50</v>
      </c>
      <c r="AT55" s="11" t="n">
        <f aca="false">SUM($B47:AT47)</f>
        <v>50</v>
      </c>
      <c r="AU55" s="11" t="n">
        <f aca="false">SUM($B47:AU47)</f>
        <v>50</v>
      </c>
      <c r="AV55" s="11" t="n">
        <f aca="false">SUM($B47:AV47)</f>
        <v>50</v>
      </c>
      <c r="AW55" s="11" t="n">
        <f aca="false">SUM($B47:AW47)</f>
        <v>50</v>
      </c>
      <c r="AX55" s="11" t="n">
        <f aca="false">SUM($B47:AX47)</f>
        <v>50</v>
      </c>
      <c r="AY55" s="11" t="n">
        <f aca="false">SUM($B47:AY47)</f>
        <v>50</v>
      </c>
      <c r="AZ55" s="11" t="n">
        <f aca="false">SUM($B47:AZ47)</f>
        <v>50</v>
      </c>
      <c r="BA55" s="11" t="n">
        <f aca="false">SUM($B47:BA47)</f>
        <v>50</v>
      </c>
      <c r="BB55" s="11" t="n">
        <f aca="false">SUM($B47:BB47)</f>
        <v>50</v>
      </c>
      <c r="BC55" s="11" t="n">
        <f aca="false">SUM($B47:BC47)</f>
        <v>50</v>
      </c>
      <c r="BD55" s="11" t="n">
        <f aca="false">SUM($B47:BD47)</f>
        <v>50</v>
      </c>
      <c r="BE55" s="11" t="n">
        <f aca="false">SUM($B47:BE47)</f>
        <v>50</v>
      </c>
      <c r="BF55" s="11" t="n">
        <f aca="false">SUM($B47:BF47)</f>
        <v>50</v>
      </c>
      <c r="BG55" s="11" t="n">
        <f aca="false">SUM($B47:BG47)</f>
        <v>50</v>
      </c>
      <c r="BH55" s="11" t="n">
        <f aca="false">SUM($B47:BH47)</f>
        <v>50</v>
      </c>
      <c r="BI55" s="11" t="n">
        <f aca="false">SUM($B47:BI47)</f>
        <v>50</v>
      </c>
      <c r="BJ55" s="11" t="n">
        <f aca="false">SUM($B47:BJ47)</f>
        <v>50</v>
      </c>
      <c r="BK55" s="11" t="n">
        <f aca="false">SUM($B47:BK47)</f>
        <v>50</v>
      </c>
      <c r="BL55" s="11" t="n">
        <f aca="false">SUM($B47:BL47)</f>
        <v>50</v>
      </c>
      <c r="BM55" s="11" t="n">
        <f aca="false">SUM($B47:BM47)</f>
        <v>50</v>
      </c>
      <c r="BN55" s="11" t="n">
        <f aca="false">SUM($B47:BN47)</f>
        <v>50</v>
      </c>
      <c r="BO55" s="11" t="n">
        <f aca="false">SUM($B47:BO47)</f>
        <v>50</v>
      </c>
      <c r="BP55" s="11" t="n">
        <f aca="false">SUM($B47:BP47)</f>
        <v>50</v>
      </c>
      <c r="BQ55" s="11" t="n">
        <f aca="false">SUM($B47:BQ47)</f>
        <v>50</v>
      </c>
      <c r="BR55" s="11" t="n">
        <f aca="false">SUM($B47:BR47)</f>
        <v>50</v>
      </c>
      <c r="BS55" s="11" t="n">
        <f aca="false">SUM($B47:BS47)</f>
        <v>50</v>
      </c>
      <c r="BT55" s="11" t="n">
        <f aca="false">SUM($B47:BT47)</f>
        <v>50</v>
      </c>
      <c r="BU55" s="11" t="n">
        <f aca="false">SUM($B47:BU47)</f>
        <v>50</v>
      </c>
      <c r="BV55" s="11" t="n">
        <f aca="false">SUM($B47:BV47)</f>
        <v>50</v>
      </c>
      <c r="BW55" s="11" t="n">
        <f aca="false">SUM($B47:BW47)</f>
        <v>50</v>
      </c>
      <c r="BX55" s="11" t="n">
        <f aca="false">SUM($B47:BX47)</f>
        <v>50</v>
      </c>
      <c r="BY55" s="11" t="n">
        <f aca="false">SUM($B47:BY47)</f>
        <v>50</v>
      </c>
      <c r="BZ55" s="11" t="n">
        <f aca="false">SUM($B47:BZ47)</f>
        <v>50</v>
      </c>
      <c r="CA55" s="11" t="n">
        <f aca="false">SUM($B47:CA47)</f>
        <v>50</v>
      </c>
      <c r="CB55" s="11" t="n">
        <f aca="false">SUM($B47:CB47)</f>
        <v>50</v>
      </c>
      <c r="CC55" s="11" t="n">
        <f aca="false">SUM($B47:CC47)</f>
        <v>50</v>
      </c>
      <c r="CD55" s="11" t="n">
        <f aca="false">SUM($B47:CD47)</f>
        <v>50</v>
      </c>
      <c r="CE55" s="11" t="n">
        <f aca="false">SUM($B47:CE47)</f>
        <v>50</v>
      </c>
      <c r="CF55" s="11" t="n">
        <f aca="false">SUM($B47:CF47)</f>
        <v>50</v>
      </c>
      <c r="CG55" s="11" t="n">
        <f aca="false">SUM($B47:CG47)</f>
        <v>50</v>
      </c>
      <c r="CH55" s="11" t="n">
        <f aca="false">SUM($B47:CH47)</f>
        <v>50</v>
      </c>
      <c r="CI55" s="11" t="n">
        <f aca="false">SUM($B47:CI47)</f>
        <v>50</v>
      </c>
      <c r="CJ55" s="11" t="n">
        <f aca="false">SUM($B47:CJ47)</f>
        <v>50</v>
      </c>
      <c r="CK55" s="11" t="n">
        <f aca="false">SUM($B47:CK47)</f>
        <v>50</v>
      </c>
      <c r="CL55" s="11" t="n">
        <f aca="false">SUM($B47:CL47)</f>
        <v>50</v>
      </c>
      <c r="CM55" s="11" t="n">
        <f aca="false">SUM($B47:CM47)</f>
        <v>50</v>
      </c>
      <c r="CN55" s="11" t="n">
        <f aca="false">SUM($B47:CN47)</f>
        <v>50</v>
      </c>
      <c r="CO55" s="11" t="n">
        <f aca="false">SUM($B47:CO47)</f>
        <v>50</v>
      </c>
      <c r="CP55" s="11" t="n">
        <f aca="false">SUM($B47:CP47)</f>
        <v>50</v>
      </c>
      <c r="CQ55" s="11" t="n">
        <f aca="false">SUM($B47:CQ47)</f>
        <v>50</v>
      </c>
      <c r="CR55" s="11" t="n">
        <f aca="false">SUM($B47:CR47)</f>
        <v>50</v>
      </c>
      <c r="CS55" s="11" t="n">
        <f aca="false">SUM($B47:CS47)</f>
        <v>50</v>
      </c>
      <c r="CT55" s="11" t="n">
        <f aca="false">SUM($B47:CT47)</f>
        <v>50</v>
      </c>
      <c r="CU55" s="11" t="n">
        <f aca="false">SUM($B47:CU47)</f>
        <v>50</v>
      </c>
      <c r="CV55" s="11" t="n">
        <f aca="false">SUM($B47:CV47)</f>
        <v>50</v>
      </c>
      <c r="CW55" s="11" t="n">
        <f aca="false">SUM($B47:CW47)</f>
        <v>50</v>
      </c>
      <c r="CX55" s="11" t="n">
        <f aca="false">SUM($B47:CX47)</f>
        <v>50</v>
      </c>
      <c r="CY55" s="11" t="n">
        <f aca="false">SUM($B47:CY47)</f>
        <v>50</v>
      </c>
      <c r="CZ55" s="11" t="n">
        <f aca="false">SUM($B47:CZ47)</f>
        <v>50</v>
      </c>
      <c r="DA55" s="11" t="n">
        <f aca="false">SUM($B47:DA47)</f>
        <v>50</v>
      </c>
      <c r="DB55" s="11" t="n">
        <f aca="false">SUM($B47:DB47)</f>
        <v>50</v>
      </c>
      <c r="DC55" s="11" t="n">
        <f aca="false">SUM($B47:DC47)</f>
        <v>50</v>
      </c>
      <c r="DD55" s="11" t="n">
        <f aca="false">SUM($B47:DD47)</f>
        <v>50</v>
      </c>
      <c r="DE55" s="11" t="n">
        <f aca="false">SUM($B47:DE47)</f>
        <v>50</v>
      </c>
      <c r="DF55" s="11" t="n">
        <f aca="false">SUM($B47:DF47)</f>
        <v>50</v>
      </c>
      <c r="DG55" s="11" t="n">
        <f aca="false">SUM($B47:DG47)</f>
        <v>50</v>
      </c>
      <c r="DH55" s="11" t="n">
        <f aca="false">SUM($B47:DH47)</f>
        <v>50</v>
      </c>
      <c r="DI55" s="11" t="n">
        <f aca="false">SUM($B47:DI47)</f>
        <v>50</v>
      </c>
      <c r="DJ55" s="11" t="n">
        <f aca="false">SUM($B47:DJ47)</f>
        <v>50</v>
      </c>
      <c r="DK55" s="11" t="n">
        <f aca="false">SUM($B47:DK47)</f>
        <v>50</v>
      </c>
      <c r="DL55" s="11" t="n">
        <f aca="false">SUM($B47:DL47)</f>
        <v>50</v>
      </c>
      <c r="DM55" s="11" t="n">
        <f aca="false">SUM($B47:DM47)</f>
        <v>50</v>
      </c>
      <c r="DN55" s="11" t="n">
        <f aca="false">SUM($B47:DN47)</f>
        <v>50</v>
      </c>
      <c r="DO55" s="11" t="n">
        <f aca="false">SUM($B47:DO47)</f>
        <v>50</v>
      </c>
      <c r="DP55" s="11" t="n">
        <f aca="false">SUM($B47:DP47)</f>
        <v>50</v>
      </c>
      <c r="DQ55" s="11" t="n">
        <f aca="false">SUM($B47:DQ47)</f>
        <v>50</v>
      </c>
      <c r="DR55" s="11" t="n">
        <f aca="false">SUM($B47:DR47)</f>
        <v>50</v>
      </c>
    </row>
    <row r="56" customFormat="false" ht="15" hidden="false" customHeight="false" outlineLevel="0" collapsed="false">
      <c r="A56" s="9" t="s">
        <v>224</v>
      </c>
      <c r="B56" s="11" t="n">
        <f aca="false">B42-B48</f>
        <v>0</v>
      </c>
      <c r="C56" s="11" t="n">
        <f aca="false">B56+C42-C48</f>
        <v>-1.19305555555556</v>
      </c>
      <c r="D56" s="11" t="n">
        <f aca="false">C56+D42-D48</f>
        <v>-2.44583333333333</v>
      </c>
      <c r="E56" s="11" t="n">
        <f aca="false">D56+E42-E48</f>
        <v>-3.75833333333333</v>
      </c>
      <c r="F56" s="11" t="n">
        <f aca="false">E56+F42-F48</f>
        <v>-5.13055555555556</v>
      </c>
      <c r="G56" s="11" t="n">
        <f aca="false">F56+G42-G48</f>
        <v>-6.5625</v>
      </c>
      <c r="H56" s="11" t="n">
        <f aca="false">G56+H42-H48</f>
        <v>-8.05416666666667</v>
      </c>
      <c r="I56" s="11" t="n">
        <f aca="false">H56+I42-I48</f>
        <v>-9.60555555555556</v>
      </c>
      <c r="J56" s="11" t="n">
        <f aca="false">I56+J42-J48</f>
        <v>-11.2166666666667</v>
      </c>
      <c r="K56" s="11" t="n">
        <f aca="false">J56+K42-K48</f>
        <v>-12.71025</v>
      </c>
      <c r="L56" s="11" t="n">
        <f aca="false">K56+L42-L48</f>
        <v>-14.2456388888889</v>
      </c>
      <c r="M56" s="11" t="n">
        <f aca="false">L56+M42-M48</f>
        <v>-15.8228333333333</v>
      </c>
      <c r="N56" s="11" t="n">
        <f aca="false">M56+N42-N48</f>
        <v>-17.6578333333333</v>
      </c>
      <c r="O56" s="11" t="n">
        <f aca="false">N56+O42-O48</f>
        <v>-19.08625</v>
      </c>
      <c r="P56" s="11" t="n">
        <f aca="false">O56+P42-P48</f>
        <v>-20.5164166666667</v>
      </c>
      <c r="Q56" s="11" t="n">
        <f aca="false">P56+Q42-Q48</f>
        <v>-22.1650333333333</v>
      </c>
      <c r="R56" s="11" t="n">
        <f aca="false">Q56+R42-R48</f>
        <v>-23.8161</v>
      </c>
      <c r="S56" s="11" t="n">
        <f aca="false">R56+S42-S48</f>
        <v>-25.4696166666667</v>
      </c>
      <c r="T56" s="11" t="n">
        <f aca="false">S56+T42-T48</f>
        <v>-27.1255833333333</v>
      </c>
      <c r="U56" s="11" t="n">
        <f aca="false">T56+U42-U48</f>
        <v>-28.784</v>
      </c>
      <c r="V56" s="11" t="n">
        <f aca="false">U56+V42-V48</f>
        <v>-30.4448666666667</v>
      </c>
      <c r="W56" s="11" t="n">
        <f aca="false">V56+W42-W48</f>
        <v>-32.1081833333333</v>
      </c>
      <c r="X56" s="11" t="n">
        <f aca="false">W56+X42-X48</f>
        <v>-33.77395</v>
      </c>
      <c r="Y56" s="11" t="n">
        <f aca="false">X56+Y42-Y48</f>
        <v>-35.4421666666667</v>
      </c>
      <c r="Z56" s="11" t="n">
        <f aca="false">Y56+Z42-Z48</f>
        <v>-37.1128333333333</v>
      </c>
      <c r="AA56" s="11" t="n">
        <f aca="false">Z56+AA42-AA48</f>
        <v>-38.78595</v>
      </c>
      <c r="AB56" s="11" t="n">
        <f aca="false">AA56+AB42-AB48</f>
        <v>-40.4615166666667</v>
      </c>
      <c r="AC56" s="11" t="n">
        <f aca="false">AB56+AC42-AC48</f>
        <v>-42.1395333333333</v>
      </c>
      <c r="AD56" s="11" t="n">
        <f aca="false">AC56+AD42-AD48</f>
        <v>-43.82</v>
      </c>
      <c r="AE56" s="11" t="n">
        <f aca="false">AD56+AE42-AE48</f>
        <v>-45.5029166666667</v>
      </c>
      <c r="AF56" s="11" t="n">
        <f aca="false">AE56+AF42-AF48</f>
        <v>-47.1882833333333</v>
      </c>
      <c r="AG56" s="11" t="n">
        <f aca="false">AF56+AG42-AG48</f>
        <v>-48.8761</v>
      </c>
      <c r="AH56" s="11" t="n">
        <f aca="false">AG56+AH42-AH48</f>
        <v>-50.5663666666667</v>
      </c>
      <c r="AI56" s="11" t="n">
        <f aca="false">AH56+AI42-AI48</f>
        <v>-52.2590833333333</v>
      </c>
      <c r="AJ56" s="11" t="n">
        <f aca="false">AI56+AJ42-AJ48</f>
        <v>-53.95425</v>
      </c>
      <c r="AK56" s="11" t="n">
        <f aca="false">AJ56+AK42-AK48</f>
        <v>-55.6518666666667</v>
      </c>
      <c r="AL56" s="11" t="n">
        <f aca="false">AK56+AL42-AL48</f>
        <v>-57.3519333333333</v>
      </c>
      <c r="AM56" s="11" t="n">
        <f aca="false">AL56+AM42-AM48</f>
        <v>-59.05445</v>
      </c>
      <c r="AN56" s="11" t="n">
        <f aca="false">AM56+AN42-AN48</f>
        <v>-60.7594166666667</v>
      </c>
      <c r="AO56" s="11" t="n">
        <f aca="false">AN56+AO42-AO48</f>
        <v>-62.4668333333333</v>
      </c>
      <c r="AP56" s="11" t="n">
        <f aca="false">AO56+AP42-AP48</f>
        <v>-64.1767</v>
      </c>
      <c r="AQ56" s="11" t="n">
        <f aca="false">AP56+AQ42-AQ48</f>
        <v>-65.8890166666667</v>
      </c>
      <c r="AR56" s="11" t="n">
        <f aca="false">AQ56+AR42-AR48</f>
        <v>-67.6037833333333</v>
      </c>
      <c r="AS56" s="11" t="n">
        <f aca="false">AR56+AS42-AS48</f>
        <v>-69.321</v>
      </c>
      <c r="AT56" s="11" t="n">
        <f aca="false">AS56+AT42-AT48</f>
        <v>-71.0406666666667</v>
      </c>
      <c r="AU56" s="11" t="n">
        <f aca="false">AT56+AU42-AU48</f>
        <v>-72.7627833333334</v>
      </c>
      <c r="AV56" s="11" t="n">
        <f aca="false">AU56+AV42-AV48</f>
        <v>-74.48735</v>
      </c>
      <c r="AW56" s="11" t="n">
        <f aca="false">AV56+AW42-AW48</f>
        <v>-76.2143666666667</v>
      </c>
      <c r="AX56" s="11" t="n">
        <f aca="false">AW56+AX42-AX48</f>
        <v>-77.9438333333334</v>
      </c>
      <c r="AY56" s="11" t="n">
        <f aca="false">AX56+AY42-AY48</f>
        <v>-79.6757500000001</v>
      </c>
      <c r="AZ56" s="11" t="n">
        <f aca="false">AY56+AZ42-AZ48</f>
        <v>-81.4101166666667</v>
      </c>
      <c r="BA56" s="11" t="n">
        <f aca="false">AZ56+BA42-BA48</f>
        <v>-83.1469333333334</v>
      </c>
      <c r="BB56" s="11" t="n">
        <f aca="false">BA56+BB42-BB48</f>
        <v>-84.8862000000001</v>
      </c>
      <c r="BC56" s="11" t="n">
        <f aca="false">BB56+BC42-BC48</f>
        <v>-86.6279166666667</v>
      </c>
      <c r="BD56" s="11" t="n">
        <f aca="false">BC56+BD42-BD48</f>
        <v>-88.3720833333334</v>
      </c>
      <c r="BE56" s="11" t="n">
        <f aca="false">BD56+BE42-BE48</f>
        <v>-90.1187000000001</v>
      </c>
      <c r="BF56" s="11" t="n">
        <f aca="false">BE56+BF42-BF48</f>
        <v>-91.8677666666668</v>
      </c>
      <c r="BG56" s="11" t="n">
        <f aca="false">BF56+BG42-BG48</f>
        <v>-93.6192833333334</v>
      </c>
      <c r="BH56" s="11" t="n">
        <f aca="false">BG56+BH42-BH48</f>
        <v>-95.3732500000001</v>
      </c>
      <c r="BI56" s="11" t="n">
        <f aca="false">BH56+BI42-BI48</f>
        <v>-97.1296666666668</v>
      </c>
      <c r="BJ56" s="11" t="n">
        <f aca="false">BI56+BJ42-BJ48</f>
        <v>-98.8885333333334</v>
      </c>
      <c r="BK56" s="11" t="n">
        <f aca="false">BJ56+BK42-BK48</f>
        <v>-100.608044444445</v>
      </c>
      <c r="BL56" s="11" t="n">
        <f aca="false">BK56+BL42-BL48</f>
        <v>-102.2882</v>
      </c>
      <c r="BM56" s="11" t="n">
        <f aca="false">BL56+BM42-BM48</f>
        <v>-103.929</v>
      </c>
      <c r="BN56" s="11" t="n">
        <f aca="false">BM56+BN42-BN48</f>
        <v>-105.530444444445</v>
      </c>
      <c r="BO56" s="11" t="n">
        <f aca="false">BN56+BO42-BO48</f>
        <v>-107.092533333333</v>
      </c>
      <c r="BP56" s="11" t="n">
        <f aca="false">BO56+BP42-BP48</f>
        <v>-108.615266666667</v>
      </c>
      <c r="BQ56" s="11" t="n">
        <f aca="false">BP56+BQ42-BQ48</f>
        <v>-110.098644444445</v>
      </c>
      <c r="BR56" s="11" t="n">
        <f aca="false">BQ56+BR42-BR48</f>
        <v>-111.542666666667</v>
      </c>
      <c r="BS56" s="11" t="n">
        <f aca="false">BR56+BS42-BS48</f>
        <v>-112.947333333333</v>
      </c>
      <c r="BT56" s="11" t="n">
        <f aca="false">BS56+BT42-BT48</f>
        <v>-114.312644444445</v>
      </c>
      <c r="BU56" s="11" t="n">
        <f aca="false">BT56+BU42-BU48</f>
        <v>-115.6386</v>
      </c>
      <c r="BV56" s="11" t="n">
        <f aca="false">BU56+BV42-BV48</f>
        <v>-116.9252</v>
      </c>
      <c r="BW56" s="11" t="n">
        <f aca="false">BV56+BW42-BW48</f>
        <v>-118.2125</v>
      </c>
      <c r="BX56" s="11" t="n">
        <f aca="false">BW56+BX42-BX48</f>
        <v>-119.5005</v>
      </c>
      <c r="BY56" s="11" t="n">
        <f aca="false">BX56+BY42-BY48</f>
        <v>-120.7885</v>
      </c>
      <c r="BZ56" s="11" t="n">
        <f aca="false">BY56+BZ42-BZ48</f>
        <v>-122.0765</v>
      </c>
      <c r="CA56" s="11" t="n">
        <f aca="false">BZ56+CA42-CA48</f>
        <v>-123.3645</v>
      </c>
      <c r="CB56" s="11" t="n">
        <f aca="false">CA56+CB42-CB48</f>
        <v>-124.6525</v>
      </c>
      <c r="CC56" s="11" t="n">
        <f aca="false">CB56+CC42-CC48</f>
        <v>-125.9405</v>
      </c>
      <c r="CD56" s="11" t="n">
        <f aca="false">CC56+CD42-CD48</f>
        <v>-127.2285</v>
      </c>
      <c r="CE56" s="11" t="n">
        <f aca="false">CD56+CE42-CE48</f>
        <v>-128.5165</v>
      </c>
      <c r="CF56" s="11" t="n">
        <f aca="false">CE56+CF42-CF48</f>
        <v>-129.8045</v>
      </c>
      <c r="CG56" s="11" t="n">
        <f aca="false">CF56+CG42-CG48</f>
        <v>-131.0925</v>
      </c>
      <c r="CH56" s="11" t="n">
        <f aca="false">CG56+CH42-CH48</f>
        <v>-132.3805</v>
      </c>
      <c r="CI56" s="11" t="n">
        <f aca="false">CH56+CI42-CI48</f>
        <v>-133.6685</v>
      </c>
      <c r="CJ56" s="11" t="n">
        <f aca="false">CI56+CJ42-CJ48</f>
        <v>-134.9565</v>
      </c>
      <c r="CK56" s="11" t="n">
        <f aca="false">CJ56+CK42-CK48</f>
        <v>-136.2445</v>
      </c>
      <c r="CL56" s="11" t="n">
        <f aca="false">CK56+CL42-CL48</f>
        <v>-137.5325</v>
      </c>
      <c r="CM56" s="11" t="n">
        <f aca="false">CL56+CM42-CM48</f>
        <v>-138.8205</v>
      </c>
      <c r="CN56" s="11" t="n">
        <f aca="false">CM56+CN42-CN48</f>
        <v>-140.1085</v>
      </c>
      <c r="CO56" s="11" t="n">
        <f aca="false">CN56+CO42-CO48</f>
        <v>-141.3965</v>
      </c>
      <c r="CP56" s="11" t="n">
        <f aca="false">CO56+CP42-CP48</f>
        <v>-142.6845</v>
      </c>
      <c r="CQ56" s="11" t="n">
        <f aca="false">CP56+CQ42-CQ48</f>
        <v>-143.9725</v>
      </c>
      <c r="CR56" s="11" t="n">
        <f aca="false">CQ56+CR42-CR48</f>
        <v>-145.2605</v>
      </c>
      <c r="CS56" s="11" t="n">
        <f aca="false">CR56+CS42-CS48</f>
        <v>-146.5485</v>
      </c>
      <c r="CT56" s="11" t="n">
        <f aca="false">CS56+CT42-CT48</f>
        <v>-147.8365</v>
      </c>
      <c r="CU56" s="11" t="n">
        <f aca="false">CT56+CU42-CU48</f>
        <v>-149.1245</v>
      </c>
      <c r="CV56" s="11" t="n">
        <f aca="false">CU56+CV42-CV48</f>
        <v>-150.4125</v>
      </c>
      <c r="CW56" s="11" t="n">
        <f aca="false">CV56+CW42-CW48</f>
        <v>-151.7005</v>
      </c>
      <c r="CX56" s="11" t="n">
        <f aca="false">CW56+CX42-CX48</f>
        <v>-152.9885</v>
      </c>
      <c r="CY56" s="11" t="n">
        <f aca="false">CX56+CY42-CY48</f>
        <v>-154.2765</v>
      </c>
      <c r="CZ56" s="11" t="n">
        <f aca="false">CY56+CZ42-CZ48</f>
        <v>-155.564500000001</v>
      </c>
      <c r="DA56" s="11" t="n">
        <f aca="false">CZ56+DA42-DA48</f>
        <v>-156.852500000001</v>
      </c>
      <c r="DB56" s="11" t="n">
        <f aca="false">DA56+DB42-DB48</f>
        <v>-158.140500000001</v>
      </c>
      <c r="DC56" s="11" t="n">
        <f aca="false">DB56+DC42-DC48</f>
        <v>-159.428500000001</v>
      </c>
      <c r="DD56" s="11" t="n">
        <f aca="false">DC56+DD42-DD48</f>
        <v>-160.716500000001</v>
      </c>
      <c r="DE56" s="11" t="n">
        <f aca="false">DD56+DE42-DE48</f>
        <v>-162.004500000001</v>
      </c>
      <c r="DF56" s="11" t="n">
        <f aca="false">DE56+DF42-DF48</f>
        <v>-163.292500000001</v>
      </c>
      <c r="DG56" s="11" t="n">
        <f aca="false">DF56+DG42-DG48</f>
        <v>-164.580500000001</v>
      </c>
      <c r="DH56" s="11" t="n">
        <f aca="false">DG56+DH42-DH48</f>
        <v>-165.868500000001</v>
      </c>
      <c r="DI56" s="11" t="n">
        <f aca="false">DH56+DI42-DI48</f>
        <v>-167.156500000001</v>
      </c>
      <c r="DJ56" s="11" t="n">
        <f aca="false">DI56+DJ42-DJ48</f>
        <v>-168.444500000001</v>
      </c>
      <c r="DK56" s="11" t="n">
        <f aca="false">DJ56+DK42-DK48</f>
        <v>-169.732500000001</v>
      </c>
      <c r="DL56" s="11" t="n">
        <f aca="false">DK56+DL42-DL48</f>
        <v>-171.020500000001</v>
      </c>
      <c r="DM56" s="11" t="n">
        <f aca="false">DL56+DM42-DM48</f>
        <v>-172.308500000001</v>
      </c>
      <c r="DN56" s="11" t="n">
        <f aca="false">DM56+DN42-DN48</f>
        <v>-173.596500000001</v>
      </c>
      <c r="DO56" s="11" t="n">
        <f aca="false">DN56+DO42-DO48</f>
        <v>-174.884500000001</v>
      </c>
      <c r="DP56" s="11" t="n">
        <f aca="false">DO56+DP42-DP48</f>
        <v>-176.172500000001</v>
      </c>
      <c r="DQ56" s="11" t="n">
        <f aca="false">DP56+DQ42-DQ48</f>
        <v>-177.460500000001</v>
      </c>
      <c r="DR56" s="11" t="n">
        <f aca="false">DQ56+DR42-DR48</f>
        <v>-178.748500000001</v>
      </c>
    </row>
    <row r="57" customFormat="false" ht="15" hidden="false" customHeight="false" outlineLevel="0" collapsed="false">
      <c r="A57" s="9" t="s">
        <v>225</v>
      </c>
      <c r="B57" s="11" t="n">
        <f aca="false">B52+B20+B54</f>
        <v>25</v>
      </c>
      <c r="C57" s="11" t="n">
        <f aca="false">C52+C20+C54</f>
        <v>23.8069444444444</v>
      </c>
      <c r="D57" s="11" t="n">
        <f aca="false">D52+D20+D54</f>
        <v>22.5541666666667</v>
      </c>
      <c r="E57" s="11" t="n">
        <f aca="false">E52+E20+E54</f>
        <v>21.2416666666667</v>
      </c>
      <c r="F57" s="11" t="n">
        <f aca="false">F52+F20+F54</f>
        <v>19.8694444444444</v>
      </c>
      <c r="G57" s="11" t="n">
        <f aca="false">G52+G20+G54</f>
        <v>18.4375</v>
      </c>
      <c r="H57" s="11" t="n">
        <f aca="false">H52+H20+H54</f>
        <v>16.9458333333333</v>
      </c>
      <c r="I57" s="11" t="n">
        <f aca="false">I52+I20+I54</f>
        <v>15.3944444444444</v>
      </c>
      <c r="J57" s="11" t="n">
        <f aca="false">J52+J20+J54</f>
        <v>13.7833333333333</v>
      </c>
      <c r="K57" s="11" t="n">
        <f aca="false">K52+K20+K54</f>
        <v>37.28975</v>
      </c>
      <c r="L57" s="11" t="n">
        <f aca="false">L52+L20+L54</f>
        <v>35.7543611111111</v>
      </c>
      <c r="M57" s="11" t="n">
        <f aca="false">M52+M20+M54</f>
        <v>34.1771666666667</v>
      </c>
      <c r="N57" s="11" t="n">
        <f aca="false">N52+N20+N54</f>
        <v>32.3421666666667</v>
      </c>
      <c r="O57" s="11" t="n">
        <f aca="false">O52+O20+O54</f>
        <v>30.91375</v>
      </c>
      <c r="P57" s="11" t="n">
        <f aca="false">P52+P20+P54</f>
        <v>29.4835833333333</v>
      </c>
      <c r="Q57" s="11" t="n">
        <f aca="false">Q52+Q20+Q54</f>
        <v>27.8349666666667</v>
      </c>
      <c r="R57" s="11" t="n">
        <f aca="false">R52+R20+R54</f>
        <v>26.1839</v>
      </c>
      <c r="S57" s="11" t="n">
        <f aca="false">S52+S20+S54</f>
        <v>24.5303833333333</v>
      </c>
      <c r="T57" s="11" t="n">
        <f aca="false">T52+T20+T54</f>
        <v>22.8744166666667</v>
      </c>
      <c r="U57" s="11" t="n">
        <f aca="false">U52+U20+U54</f>
        <v>21.216</v>
      </c>
      <c r="V57" s="11" t="n">
        <f aca="false">V52+V20+V54</f>
        <v>19.5551333333333</v>
      </c>
      <c r="W57" s="11" t="n">
        <f aca="false">W52+W20+W54</f>
        <v>17.8918166666667</v>
      </c>
      <c r="X57" s="11" t="n">
        <f aca="false">X52+X20+X54</f>
        <v>16.22605</v>
      </c>
      <c r="Y57" s="11" t="n">
        <f aca="false">Y52+Y20+Y54</f>
        <v>14.5578333333333</v>
      </c>
      <c r="Z57" s="11" t="n">
        <f aca="false">Z52+Z20+Z54</f>
        <v>12.8871666666667</v>
      </c>
      <c r="AA57" s="11" t="n">
        <f aca="false">AA52+AA20+AA54</f>
        <v>11.21405</v>
      </c>
      <c r="AB57" s="11" t="n">
        <f aca="false">AB52+AB20+AB54</f>
        <v>9.53848333333333</v>
      </c>
      <c r="AC57" s="11" t="n">
        <f aca="false">AC52+AC20+AC54</f>
        <v>7.86046666666666</v>
      </c>
      <c r="AD57" s="11" t="n">
        <f aca="false">AD52+AD20+AD54</f>
        <v>6.17999999999999</v>
      </c>
      <c r="AE57" s="11" t="n">
        <f aca="false">AE52+AE20+AE54</f>
        <v>4.49708333333333</v>
      </c>
      <c r="AF57" s="11" t="n">
        <f aca="false">AF52+AF20+AF54</f>
        <v>2.81171666666666</v>
      </c>
      <c r="AG57" s="11" t="n">
        <f aca="false">AG52+AG20+AG54</f>
        <v>1.1239</v>
      </c>
      <c r="AH57" s="11" t="n">
        <f aca="false">AH52+AH20+AH54</f>
        <v>-0.566366666666671</v>
      </c>
      <c r="AI57" s="11" t="n">
        <f aca="false">AI52+AI20+AI54</f>
        <v>-2.25908333333334</v>
      </c>
      <c r="AJ57" s="11" t="n">
        <f aca="false">AJ52+AJ20+AJ54</f>
        <v>-3.95425000000001</v>
      </c>
      <c r="AK57" s="11" t="n">
        <f aca="false">AK52+AK20+AK54</f>
        <v>-5.65186666666667</v>
      </c>
      <c r="AL57" s="11" t="n">
        <f aca="false">AL52+AL20+AL54</f>
        <v>-7.35193333333334</v>
      </c>
      <c r="AM57" s="11" t="n">
        <f aca="false">AM52+AM20+AM54</f>
        <v>-9.05445000000001</v>
      </c>
      <c r="AN57" s="11" t="n">
        <f aca="false">AN52+AN20+AN54</f>
        <v>-10.7594166666667</v>
      </c>
      <c r="AO57" s="11" t="n">
        <f aca="false">AO52+AO20+AO54</f>
        <v>-12.4668333333333</v>
      </c>
      <c r="AP57" s="11" t="n">
        <f aca="false">AP52+AP20+AP54</f>
        <v>-14.1767</v>
      </c>
      <c r="AQ57" s="11" t="n">
        <f aca="false">AQ52+AQ20+AQ54</f>
        <v>-15.8890166666667</v>
      </c>
      <c r="AR57" s="11" t="n">
        <f aca="false">AR52+AR20+AR54</f>
        <v>-17.6037833333333</v>
      </c>
      <c r="AS57" s="11" t="n">
        <f aca="false">AS52+AS20+AS54</f>
        <v>-19.321</v>
      </c>
      <c r="AT57" s="11" t="n">
        <f aca="false">AT52+AT20+AT54</f>
        <v>-21.0406666666667</v>
      </c>
      <c r="AU57" s="11" t="n">
        <f aca="false">AU52+AU20+AU54</f>
        <v>-22.7627833333333</v>
      </c>
      <c r="AV57" s="11" t="n">
        <f aca="false">AV52+AV20+AV54</f>
        <v>-24.48735</v>
      </c>
      <c r="AW57" s="11" t="n">
        <f aca="false">AW52+AW20+AW54</f>
        <v>-26.2143666666667</v>
      </c>
      <c r="AX57" s="11" t="n">
        <f aca="false">AX52+AX20+AX54</f>
        <v>-27.9438333333333</v>
      </c>
      <c r="AY57" s="11" t="n">
        <f aca="false">AY52+AY20+AY54</f>
        <v>-29.67575</v>
      </c>
      <c r="AZ57" s="11" t="n">
        <f aca="false">AZ52+AZ20+AZ54</f>
        <v>-31.4101166666667</v>
      </c>
      <c r="BA57" s="11" t="n">
        <f aca="false">BA52+BA20+BA54</f>
        <v>-33.1469333333333</v>
      </c>
      <c r="BB57" s="11" t="n">
        <f aca="false">BB52+BB20+BB54</f>
        <v>-34.8862</v>
      </c>
      <c r="BC57" s="11" t="n">
        <f aca="false">BC52+BC20+BC54</f>
        <v>-36.6279166666667</v>
      </c>
      <c r="BD57" s="11" t="n">
        <f aca="false">BD52+BD20+BD54</f>
        <v>-38.3720833333333</v>
      </c>
      <c r="BE57" s="11" t="n">
        <f aca="false">BE52+BE20+BE54</f>
        <v>-40.1187</v>
      </c>
      <c r="BF57" s="11" t="n">
        <f aca="false">BF52+BF20+BF54</f>
        <v>-41.8677666666667</v>
      </c>
      <c r="BG57" s="11" t="n">
        <f aca="false">BG52+BG20+BG54</f>
        <v>-43.6192833333333</v>
      </c>
      <c r="BH57" s="11" t="n">
        <f aca="false">BH52+BH20+BH54</f>
        <v>-45.37325</v>
      </c>
      <c r="BI57" s="11" t="n">
        <f aca="false">BI52+BI20+BI54</f>
        <v>-47.1296666666667</v>
      </c>
      <c r="BJ57" s="11" t="n">
        <f aca="false">BJ52+BJ20+BJ54</f>
        <v>-48.8885333333334</v>
      </c>
      <c r="BK57" s="11" t="n">
        <f aca="false">BK52+BK20+BK54</f>
        <v>-50.6080444444445</v>
      </c>
      <c r="BL57" s="11" t="n">
        <f aca="false">BL52+BL20+BL54</f>
        <v>-52.2882</v>
      </c>
      <c r="BM57" s="11" t="n">
        <f aca="false">BM52+BM20+BM54</f>
        <v>-53.929</v>
      </c>
      <c r="BN57" s="11" t="n">
        <f aca="false">BN52+BN20+BN54</f>
        <v>-55.5304444444445</v>
      </c>
      <c r="BO57" s="11" t="n">
        <f aca="false">BO52+BO20+BO54</f>
        <v>-57.0925333333334</v>
      </c>
      <c r="BP57" s="11" t="n">
        <f aca="false">BP52+BP20+BP54</f>
        <v>-58.6152666666667</v>
      </c>
      <c r="BQ57" s="11" t="n">
        <f aca="false">BQ52+BQ20+BQ54</f>
        <v>-60.0986444444445</v>
      </c>
      <c r="BR57" s="11" t="n">
        <f aca="false">BR52+BR20+BR54</f>
        <v>-61.5426666666667</v>
      </c>
      <c r="BS57" s="11" t="n">
        <f aca="false">BS52+BS20+BS54</f>
        <v>-62.9473333333333</v>
      </c>
      <c r="BT57" s="11" t="n">
        <f aca="false">BT52+BT20+BT54</f>
        <v>-64.3126444444445</v>
      </c>
      <c r="BU57" s="11" t="n">
        <f aca="false">BU52+BU20+BU54</f>
        <v>-65.6386</v>
      </c>
      <c r="BV57" s="11" t="n">
        <f aca="false">BV52+BV20+BV54</f>
        <v>-66.9252</v>
      </c>
      <c r="BW57" s="11" t="n">
        <f aca="false">BW52+BW20+BW54</f>
        <v>-68.2125</v>
      </c>
      <c r="BX57" s="11" t="n">
        <f aca="false">BX52+BX20+BX54</f>
        <v>-69.5005</v>
      </c>
      <c r="BY57" s="11" t="n">
        <f aca="false">BY52+BY20+BY54</f>
        <v>-70.7885</v>
      </c>
      <c r="BZ57" s="11" t="n">
        <f aca="false">BZ52+BZ20+BZ54</f>
        <v>-72.0765</v>
      </c>
      <c r="CA57" s="11" t="n">
        <f aca="false">CA52+CA20+CA54</f>
        <v>-73.3645</v>
      </c>
      <c r="CB57" s="11" t="n">
        <f aca="false">CB52+CB20+CB54</f>
        <v>-74.6525</v>
      </c>
      <c r="CC57" s="11" t="n">
        <f aca="false">CC52+CC20+CC54</f>
        <v>-75.9405</v>
      </c>
      <c r="CD57" s="11" t="n">
        <f aca="false">CD52+CD20+CD54</f>
        <v>-77.2285</v>
      </c>
      <c r="CE57" s="11" t="n">
        <f aca="false">CE52+CE20+CE54</f>
        <v>-78.5165</v>
      </c>
      <c r="CF57" s="11" t="n">
        <f aca="false">CF52+CF20+CF54</f>
        <v>-79.8045</v>
      </c>
      <c r="CG57" s="11" t="n">
        <f aca="false">CG52+CG20+CG54</f>
        <v>-81.0925</v>
      </c>
      <c r="CH57" s="11" t="n">
        <f aca="false">CH52+CH20+CH54</f>
        <v>-82.3805</v>
      </c>
      <c r="CI57" s="11" t="n">
        <f aca="false">CI52+CI20+CI54</f>
        <v>-83.6685</v>
      </c>
      <c r="CJ57" s="11" t="n">
        <f aca="false">CJ52+CJ20+CJ54</f>
        <v>-84.9565</v>
      </c>
      <c r="CK57" s="11" t="n">
        <f aca="false">CK52+CK20+CK54</f>
        <v>-86.2445</v>
      </c>
      <c r="CL57" s="11" t="n">
        <f aca="false">CL52+CL20+CL54</f>
        <v>-87.5325</v>
      </c>
      <c r="CM57" s="11" t="n">
        <f aca="false">CM52+CM20+CM54</f>
        <v>-88.8205</v>
      </c>
      <c r="CN57" s="11" t="n">
        <f aca="false">CN52+CN20+CN54</f>
        <v>-90.1085</v>
      </c>
      <c r="CO57" s="11" t="n">
        <f aca="false">CO52+CO20+CO54</f>
        <v>-91.3965</v>
      </c>
      <c r="CP57" s="11" t="n">
        <f aca="false">CP52+CP20+CP54</f>
        <v>-92.6845</v>
      </c>
      <c r="CQ57" s="11" t="n">
        <f aca="false">CQ52+CQ20+CQ54</f>
        <v>-93.9725</v>
      </c>
      <c r="CR57" s="11" t="n">
        <f aca="false">CR52+CR20+CR54</f>
        <v>-95.2605</v>
      </c>
      <c r="CS57" s="11" t="n">
        <f aca="false">CS52+CS20+CS54</f>
        <v>-96.5485</v>
      </c>
      <c r="CT57" s="11" t="n">
        <f aca="false">CT52+CT20+CT54</f>
        <v>-97.8364999999999</v>
      </c>
      <c r="CU57" s="11" t="n">
        <f aca="false">CU52+CU20+CU54</f>
        <v>-99.1244999999999</v>
      </c>
      <c r="CV57" s="11" t="n">
        <f aca="false">CV52+CV20+CV54</f>
        <v>-100.4125</v>
      </c>
      <c r="CW57" s="11" t="n">
        <f aca="false">CW52+CW20+CW54</f>
        <v>-101.7005</v>
      </c>
      <c r="CX57" s="11" t="n">
        <f aca="false">CX52+CX20+CX54</f>
        <v>-102.9885</v>
      </c>
      <c r="CY57" s="11" t="n">
        <f aca="false">CY52+CY20+CY54</f>
        <v>-104.2765</v>
      </c>
      <c r="CZ57" s="11" t="n">
        <f aca="false">CZ52+CZ20+CZ54</f>
        <v>-105.5645</v>
      </c>
      <c r="DA57" s="11" t="n">
        <f aca="false">DA52+DA20+DA54</f>
        <v>-106.8525</v>
      </c>
      <c r="DB57" s="11" t="n">
        <f aca="false">DB52+DB20+DB54</f>
        <v>-108.1405</v>
      </c>
      <c r="DC57" s="11" t="n">
        <f aca="false">DC52+DC20+DC54</f>
        <v>-109.4285</v>
      </c>
      <c r="DD57" s="11" t="n">
        <f aca="false">DD52+DD20+DD54</f>
        <v>-110.7165</v>
      </c>
      <c r="DE57" s="11" t="n">
        <f aca="false">DE52+DE20+DE54</f>
        <v>-112.0045</v>
      </c>
      <c r="DF57" s="11" t="n">
        <f aca="false">DF52+DF20+DF54</f>
        <v>-113.2925</v>
      </c>
      <c r="DG57" s="11" t="n">
        <f aca="false">DG52+DG20+DG54</f>
        <v>-114.5805</v>
      </c>
      <c r="DH57" s="11" t="n">
        <f aca="false">DH52+DH20+DH54</f>
        <v>-115.8685</v>
      </c>
      <c r="DI57" s="11" t="n">
        <f aca="false">DI52+DI20+DI54</f>
        <v>-117.1565</v>
      </c>
      <c r="DJ57" s="11" t="n">
        <f aca="false">DJ52+DJ20+DJ54</f>
        <v>-118.4445</v>
      </c>
      <c r="DK57" s="11" t="n">
        <f aca="false">DK52+DK20+DK54</f>
        <v>-119.7325</v>
      </c>
      <c r="DL57" s="11" t="n">
        <f aca="false">DL52+DL20+DL54</f>
        <v>-121.0205</v>
      </c>
      <c r="DM57" s="11" t="n">
        <f aca="false">DM52+DM20+DM54</f>
        <v>-122.3085</v>
      </c>
      <c r="DN57" s="11" t="n">
        <f aca="false">DN52+DN20+DN54</f>
        <v>-123.5965</v>
      </c>
      <c r="DO57" s="11" t="n">
        <f aca="false">DO52+DO20+DO54</f>
        <v>-124.8845</v>
      </c>
      <c r="DP57" s="11" t="n">
        <f aca="false">DP52+DP20+DP54</f>
        <v>-126.1725</v>
      </c>
      <c r="DQ57" s="11" t="n">
        <f aca="false">DQ52+DQ20+DQ54</f>
        <v>-127.4605</v>
      </c>
      <c r="DR57" s="11" t="n">
        <f aca="false">DR52+DR20+DR54</f>
        <v>-128.7485</v>
      </c>
    </row>
    <row r="58" customFormat="false" ht="15" hidden="false" customHeight="false" outlineLevel="0" collapsed="false">
      <c r="A58" s="9" t="s">
        <v>226</v>
      </c>
      <c r="B58" s="11" t="n">
        <f aca="false">B43+B55+B56</f>
        <v>25</v>
      </c>
      <c r="C58" s="11" t="n">
        <f aca="false">C43+C55+C56</f>
        <v>23.8069444444444</v>
      </c>
      <c r="D58" s="11" t="n">
        <f aca="false">D43+D55+D56</f>
        <v>22.5541666666667</v>
      </c>
      <c r="E58" s="11" t="n">
        <f aca="false">E43+E55+E56</f>
        <v>21.2416666666667</v>
      </c>
      <c r="F58" s="11" t="n">
        <f aca="false">F43+F55+F56</f>
        <v>19.8694444444444</v>
      </c>
      <c r="G58" s="11" t="n">
        <f aca="false">G43+G55+G56</f>
        <v>18.4375</v>
      </c>
      <c r="H58" s="11" t="n">
        <f aca="false">H43+H55+H56</f>
        <v>16.9458333333333</v>
      </c>
      <c r="I58" s="11" t="n">
        <f aca="false">I43+I55+I56</f>
        <v>15.3944444444444</v>
      </c>
      <c r="J58" s="11" t="n">
        <f aca="false">J43+J55+J56</f>
        <v>13.7833333333333</v>
      </c>
      <c r="K58" s="11" t="n">
        <f aca="false">K43+K55+K56</f>
        <v>37.28975</v>
      </c>
      <c r="L58" s="11" t="n">
        <f aca="false">L43+L55+L56</f>
        <v>35.7543611111111</v>
      </c>
      <c r="M58" s="11" t="n">
        <f aca="false">M43+M55+M56</f>
        <v>34.1771666666667</v>
      </c>
      <c r="N58" s="11" t="n">
        <f aca="false">N43+N55+N56</f>
        <v>32.3421666666667</v>
      </c>
      <c r="O58" s="11" t="n">
        <f aca="false">O43+O55+O56</f>
        <v>30.91375</v>
      </c>
      <c r="P58" s="11" t="n">
        <f aca="false">P43+P55+P56</f>
        <v>29.4835833333333</v>
      </c>
      <c r="Q58" s="11" t="n">
        <f aca="false">Q43+Q55+Q56</f>
        <v>27.8349666666667</v>
      </c>
      <c r="R58" s="11" t="n">
        <f aca="false">R43+R55+R56</f>
        <v>26.1839</v>
      </c>
      <c r="S58" s="11" t="n">
        <f aca="false">S43+S55+S56</f>
        <v>24.5303833333333</v>
      </c>
      <c r="T58" s="11" t="n">
        <f aca="false">T43+T55+T56</f>
        <v>22.8744166666667</v>
      </c>
      <c r="U58" s="11" t="n">
        <f aca="false">U43+U55+U56</f>
        <v>21.216</v>
      </c>
      <c r="V58" s="11" t="n">
        <f aca="false">V43+V55+V56</f>
        <v>19.5551333333333</v>
      </c>
      <c r="W58" s="11" t="n">
        <f aca="false">W43+W55+W56</f>
        <v>17.8918166666667</v>
      </c>
      <c r="X58" s="11" t="n">
        <f aca="false">X43+X55+X56</f>
        <v>16.22605</v>
      </c>
      <c r="Y58" s="11" t="n">
        <f aca="false">Y43+Y55+Y56</f>
        <v>14.5578333333333</v>
      </c>
      <c r="Z58" s="11" t="n">
        <f aca="false">Z43+Z55+Z56</f>
        <v>12.8871666666667</v>
      </c>
      <c r="AA58" s="11" t="n">
        <f aca="false">AA43+AA55+AA56</f>
        <v>11.21405</v>
      </c>
      <c r="AB58" s="11" t="n">
        <f aca="false">AB43+AB55+AB56</f>
        <v>9.53848333333333</v>
      </c>
      <c r="AC58" s="11" t="n">
        <f aca="false">AC43+AC55+AC56</f>
        <v>7.86046666666666</v>
      </c>
      <c r="AD58" s="11" t="n">
        <f aca="false">AD43+AD55+AD56</f>
        <v>6.17999999999999</v>
      </c>
      <c r="AE58" s="11" t="n">
        <f aca="false">AE43+AE55+AE56</f>
        <v>4.49708333333333</v>
      </c>
      <c r="AF58" s="11" t="n">
        <f aca="false">AF43+AF55+AF56</f>
        <v>2.81171666666666</v>
      </c>
      <c r="AG58" s="11" t="n">
        <f aca="false">AG43+AG55+AG56</f>
        <v>1.1239</v>
      </c>
      <c r="AH58" s="11" t="n">
        <f aca="false">AH43+AH55+AH56</f>
        <v>-0.566366666666667</v>
      </c>
      <c r="AI58" s="11" t="n">
        <f aca="false">AI43+AI55+AI56</f>
        <v>-2.25908333333333</v>
      </c>
      <c r="AJ58" s="11" t="n">
        <f aca="false">AJ43+AJ55+AJ56</f>
        <v>-3.95424999999999</v>
      </c>
      <c r="AK58" s="11" t="n">
        <f aca="false">AK43+AK55+AK56</f>
        <v>-5.65186666666666</v>
      </c>
      <c r="AL58" s="11" t="n">
        <f aca="false">AL43+AL55+AL56</f>
        <v>-7.35193333333333</v>
      </c>
      <c r="AM58" s="11" t="n">
        <f aca="false">AM43+AM55+AM56</f>
        <v>-9.05445</v>
      </c>
      <c r="AN58" s="11" t="n">
        <f aca="false">AN43+AN55+AN56</f>
        <v>-10.7594166666667</v>
      </c>
      <c r="AO58" s="11" t="n">
        <f aca="false">AO43+AO55+AO56</f>
        <v>-12.4668333333333</v>
      </c>
      <c r="AP58" s="11" t="n">
        <f aca="false">AP43+AP55+AP56</f>
        <v>-14.1767</v>
      </c>
      <c r="AQ58" s="11" t="n">
        <f aca="false">AQ43+AQ55+AQ56</f>
        <v>-15.8890166666667</v>
      </c>
      <c r="AR58" s="11" t="n">
        <f aca="false">AR43+AR55+AR56</f>
        <v>-17.6037833333333</v>
      </c>
      <c r="AS58" s="11" t="n">
        <f aca="false">AS43+AS55+AS56</f>
        <v>-19.321</v>
      </c>
      <c r="AT58" s="11" t="n">
        <f aca="false">AT43+AT55+AT56</f>
        <v>-21.0406666666667</v>
      </c>
      <c r="AU58" s="11" t="n">
        <f aca="false">AU43+AU55+AU56</f>
        <v>-22.7627833333334</v>
      </c>
      <c r="AV58" s="11" t="n">
        <f aca="false">AV43+AV55+AV56</f>
        <v>-24.48735</v>
      </c>
      <c r="AW58" s="11" t="n">
        <f aca="false">AW43+AW55+AW56</f>
        <v>-26.2143666666667</v>
      </c>
      <c r="AX58" s="11" t="n">
        <f aca="false">AX43+AX55+AX56</f>
        <v>-27.9438333333334</v>
      </c>
      <c r="AY58" s="11" t="n">
        <f aca="false">AY43+AY55+AY56</f>
        <v>-29.6757500000001</v>
      </c>
      <c r="AZ58" s="11" t="n">
        <f aca="false">AZ43+AZ55+AZ56</f>
        <v>-31.4101166666667</v>
      </c>
      <c r="BA58" s="11" t="n">
        <f aca="false">BA43+BA55+BA56</f>
        <v>-33.1469333333334</v>
      </c>
      <c r="BB58" s="11" t="n">
        <f aca="false">BB43+BB55+BB56</f>
        <v>-34.8862000000001</v>
      </c>
      <c r="BC58" s="11" t="n">
        <f aca="false">BC43+BC55+BC56</f>
        <v>-36.6279166666667</v>
      </c>
      <c r="BD58" s="11" t="n">
        <f aca="false">BD43+BD55+BD56</f>
        <v>-38.3720833333334</v>
      </c>
      <c r="BE58" s="11" t="n">
        <f aca="false">BE43+BE55+BE56</f>
        <v>-40.1187000000001</v>
      </c>
      <c r="BF58" s="11" t="n">
        <f aca="false">BF43+BF55+BF56</f>
        <v>-41.8677666666668</v>
      </c>
      <c r="BG58" s="11" t="n">
        <f aca="false">BG43+BG55+BG56</f>
        <v>-43.6192833333334</v>
      </c>
      <c r="BH58" s="11" t="n">
        <f aca="false">BH43+BH55+BH56</f>
        <v>-45.3732500000001</v>
      </c>
      <c r="BI58" s="11" t="n">
        <f aca="false">BI43+BI55+BI56</f>
        <v>-47.1296666666668</v>
      </c>
      <c r="BJ58" s="11" t="n">
        <f aca="false">BJ43+BJ55+BJ56</f>
        <v>-48.8885333333334</v>
      </c>
      <c r="BK58" s="11" t="n">
        <f aca="false">BK43+BK55+BK56</f>
        <v>-50.6080444444446</v>
      </c>
      <c r="BL58" s="11" t="n">
        <f aca="false">BL43+BL55+BL56</f>
        <v>-52.2882000000001</v>
      </c>
      <c r="BM58" s="11" t="n">
        <f aca="false">BM43+BM55+BM56</f>
        <v>-53.9290000000001</v>
      </c>
      <c r="BN58" s="11" t="n">
        <f aca="false">BN43+BN55+BN56</f>
        <v>-55.5304444444446</v>
      </c>
      <c r="BO58" s="11" t="n">
        <f aca="false">BO43+BO55+BO56</f>
        <v>-57.0925333333335</v>
      </c>
      <c r="BP58" s="11" t="n">
        <f aca="false">BP43+BP55+BP56</f>
        <v>-58.6152666666668</v>
      </c>
      <c r="BQ58" s="11" t="n">
        <f aca="false">BQ43+BQ55+BQ56</f>
        <v>-60.0986444444446</v>
      </c>
      <c r="BR58" s="11" t="n">
        <f aca="false">BR43+BR55+BR56</f>
        <v>-61.5426666666668</v>
      </c>
      <c r="BS58" s="11" t="n">
        <f aca="false">BS43+BS55+BS56</f>
        <v>-62.9473333333335</v>
      </c>
      <c r="BT58" s="11" t="n">
        <f aca="false">BT43+BT55+BT56</f>
        <v>-64.3126444444446</v>
      </c>
      <c r="BU58" s="11" t="n">
        <f aca="false">BU43+BU55+BU56</f>
        <v>-65.6386000000002</v>
      </c>
      <c r="BV58" s="11" t="n">
        <f aca="false">BV43+BV55+BV56</f>
        <v>-66.9252000000002</v>
      </c>
      <c r="BW58" s="11" t="n">
        <f aca="false">BW43+BW55+BW56</f>
        <v>-68.2125000000002</v>
      </c>
      <c r="BX58" s="11" t="n">
        <f aca="false">BX43+BX55+BX56</f>
        <v>-69.5005000000002</v>
      </c>
      <c r="BY58" s="11" t="n">
        <f aca="false">BY43+BY55+BY56</f>
        <v>-70.7885000000002</v>
      </c>
      <c r="BZ58" s="11" t="n">
        <f aca="false">BZ43+BZ55+BZ56</f>
        <v>-72.0765000000002</v>
      </c>
      <c r="CA58" s="11" t="n">
        <f aca="false">CA43+CA55+CA56</f>
        <v>-73.3645000000002</v>
      </c>
      <c r="CB58" s="11" t="n">
        <f aca="false">CB43+CB55+CB56</f>
        <v>-74.6525000000002</v>
      </c>
      <c r="CC58" s="11" t="n">
        <f aca="false">CC43+CC55+CC56</f>
        <v>-75.9405000000002</v>
      </c>
      <c r="CD58" s="11" t="n">
        <f aca="false">CD43+CD55+CD56</f>
        <v>-77.2285000000003</v>
      </c>
      <c r="CE58" s="11" t="n">
        <f aca="false">CE43+CE55+CE56</f>
        <v>-78.5165000000003</v>
      </c>
      <c r="CF58" s="11" t="n">
        <f aca="false">CF43+CF55+CF56</f>
        <v>-79.8045000000003</v>
      </c>
      <c r="CG58" s="11" t="n">
        <f aca="false">CG43+CG55+CG56</f>
        <v>-81.0925000000003</v>
      </c>
      <c r="CH58" s="11" t="n">
        <f aca="false">CH43+CH55+CH56</f>
        <v>-82.3805000000003</v>
      </c>
      <c r="CI58" s="11" t="n">
        <f aca="false">CI43+CI55+CI56</f>
        <v>-83.6685000000003</v>
      </c>
      <c r="CJ58" s="11" t="n">
        <f aca="false">CJ43+CJ55+CJ56</f>
        <v>-84.9565000000003</v>
      </c>
      <c r="CK58" s="11" t="n">
        <f aca="false">CK43+CK55+CK56</f>
        <v>-86.2445000000003</v>
      </c>
      <c r="CL58" s="11" t="n">
        <f aca="false">CL43+CL55+CL56</f>
        <v>-87.5325000000003</v>
      </c>
      <c r="CM58" s="11" t="n">
        <f aca="false">CM43+CM55+CM56</f>
        <v>-88.8205000000004</v>
      </c>
      <c r="CN58" s="11" t="n">
        <f aca="false">CN43+CN55+CN56</f>
        <v>-90.1085000000004</v>
      </c>
      <c r="CO58" s="11" t="n">
        <f aca="false">CO43+CO55+CO56</f>
        <v>-91.3965000000004</v>
      </c>
      <c r="CP58" s="11" t="n">
        <f aca="false">CP43+CP55+CP56</f>
        <v>-92.6845000000004</v>
      </c>
      <c r="CQ58" s="11" t="n">
        <f aca="false">CQ43+CQ55+CQ56</f>
        <v>-93.9725000000004</v>
      </c>
      <c r="CR58" s="11" t="n">
        <f aca="false">CR43+CR55+CR56</f>
        <v>-95.2605000000004</v>
      </c>
      <c r="CS58" s="11" t="n">
        <f aca="false">CS43+CS55+CS56</f>
        <v>-96.5485000000004</v>
      </c>
      <c r="CT58" s="11" t="n">
        <f aca="false">CT43+CT55+CT56</f>
        <v>-97.8365000000004</v>
      </c>
      <c r="CU58" s="11" t="n">
        <f aca="false">CU43+CU55+CU56</f>
        <v>-99.1245000000004</v>
      </c>
      <c r="CV58" s="11" t="n">
        <f aca="false">CV43+CV55+CV56</f>
        <v>-100.4125</v>
      </c>
      <c r="CW58" s="11" t="n">
        <f aca="false">CW43+CW55+CW56</f>
        <v>-101.7005</v>
      </c>
      <c r="CX58" s="11" t="n">
        <f aca="false">CX43+CX55+CX56</f>
        <v>-102.9885</v>
      </c>
      <c r="CY58" s="11" t="n">
        <f aca="false">CY43+CY55+CY56</f>
        <v>-104.2765</v>
      </c>
      <c r="CZ58" s="11" t="n">
        <f aca="false">CZ43+CZ55+CZ56</f>
        <v>-105.5645</v>
      </c>
      <c r="DA58" s="11" t="n">
        <f aca="false">DA43+DA55+DA56</f>
        <v>-106.852500000001</v>
      </c>
      <c r="DB58" s="11" t="n">
        <f aca="false">DB43+DB55+DB56</f>
        <v>-108.140500000001</v>
      </c>
      <c r="DC58" s="11" t="n">
        <f aca="false">DC43+DC55+DC56</f>
        <v>-109.428500000001</v>
      </c>
      <c r="DD58" s="11" t="n">
        <f aca="false">DD43+DD55+DD56</f>
        <v>-110.716500000001</v>
      </c>
      <c r="DE58" s="11" t="n">
        <f aca="false">DE43+DE55+DE56</f>
        <v>-112.004500000001</v>
      </c>
      <c r="DF58" s="11" t="n">
        <f aca="false">DF43+DF55+DF56</f>
        <v>-113.292500000001</v>
      </c>
      <c r="DG58" s="11" t="n">
        <f aca="false">DG43+DG55+DG56</f>
        <v>-114.580500000001</v>
      </c>
      <c r="DH58" s="11" t="n">
        <f aca="false">DH43+DH55+DH56</f>
        <v>-115.868500000001</v>
      </c>
      <c r="DI58" s="11" t="n">
        <f aca="false">DI43+DI55+DI56</f>
        <v>-117.156500000001</v>
      </c>
      <c r="DJ58" s="11" t="n">
        <f aca="false">DJ43+DJ55+DJ56</f>
        <v>-118.444500000001</v>
      </c>
      <c r="DK58" s="11" t="n">
        <f aca="false">DK43+DK55+DK56</f>
        <v>-119.732500000001</v>
      </c>
      <c r="DL58" s="11" t="n">
        <f aca="false">DL43+DL55+DL56</f>
        <v>-121.020500000001</v>
      </c>
      <c r="DM58" s="11" t="n">
        <f aca="false">DM43+DM55+DM56</f>
        <v>-122.308500000001</v>
      </c>
      <c r="DN58" s="11" t="n">
        <f aca="false">DN43+DN55+DN56</f>
        <v>-123.596500000001</v>
      </c>
      <c r="DO58" s="11" t="n">
        <f aca="false">DO43+DO55+DO56</f>
        <v>-124.884500000001</v>
      </c>
      <c r="DP58" s="11" t="n">
        <f aca="false">DP43+DP55+DP56</f>
        <v>-126.172500000001</v>
      </c>
      <c r="DQ58" s="11" t="n">
        <f aca="false">DQ43+DQ55+DQ56</f>
        <v>-127.460500000001</v>
      </c>
      <c r="DR58" s="11" t="n">
        <f aca="false">DR43+DR55+DR56</f>
        <v>-128.748500000001</v>
      </c>
    </row>
    <row r="59" customFormat="false" ht="15" hidden="false" customHeight="false" outlineLevel="0" collapsed="false">
      <c r="A59" s="12" t="s">
        <v>227</v>
      </c>
      <c r="B59" s="13" t="n">
        <f aca="false">B57-B58</f>
        <v>0</v>
      </c>
      <c r="C59" s="13" t="n">
        <f aca="false">C57-C58</f>
        <v>0</v>
      </c>
      <c r="D59" s="13" t="n">
        <f aca="false">D57-D58</f>
        <v>0</v>
      </c>
      <c r="E59" s="13" t="n">
        <f aca="false">E57-E58</f>
        <v>0</v>
      </c>
      <c r="F59" s="13" t="n">
        <f aca="false">F57-F58</f>
        <v>0</v>
      </c>
      <c r="G59" s="13" t="n">
        <f aca="false">G57-G58</f>
        <v>0</v>
      </c>
      <c r="H59" s="13" t="n">
        <f aca="false">H57-H58</f>
        <v>0</v>
      </c>
      <c r="I59" s="13" t="n">
        <f aca="false">I57-I58</f>
        <v>0</v>
      </c>
      <c r="J59" s="13" t="n">
        <f aca="false">J57-J58</f>
        <v>0</v>
      </c>
      <c r="K59" s="13" t="n">
        <f aca="false">K57-K58</f>
        <v>0</v>
      </c>
      <c r="L59" s="13" t="n">
        <f aca="false">L57-L58</f>
        <v>0</v>
      </c>
      <c r="M59" s="13" t="n">
        <f aca="false">M57-M58</f>
        <v>0</v>
      </c>
      <c r="N59" s="13" t="n">
        <f aca="false">N57-N58</f>
        <v>0</v>
      </c>
      <c r="O59" s="13" t="n">
        <f aca="false">O57-O58</f>
        <v>0</v>
      </c>
      <c r="P59" s="13" t="n">
        <f aca="false">P57-P58</f>
        <v>0</v>
      </c>
      <c r="Q59" s="13" t="n">
        <f aca="false">Q57-Q58</f>
        <v>0</v>
      </c>
      <c r="R59" s="13" t="n">
        <f aca="false">R57-R58</f>
        <v>0</v>
      </c>
      <c r="S59" s="13" t="n">
        <f aca="false">S57-S58</f>
        <v>0</v>
      </c>
      <c r="T59" s="13" t="n">
        <f aca="false">T57-T58</f>
        <v>0</v>
      </c>
      <c r="U59" s="13" t="n">
        <f aca="false">U57-U58</f>
        <v>0</v>
      </c>
      <c r="V59" s="13" t="n">
        <f aca="false">V57-V58</f>
        <v>0</v>
      </c>
      <c r="W59" s="13" t="n">
        <f aca="false">W57-W58</f>
        <v>0</v>
      </c>
      <c r="X59" s="13" t="n">
        <f aca="false">X57-X58</f>
        <v>0</v>
      </c>
      <c r="Y59" s="13" t="n">
        <f aca="false">Y57-Y58</f>
        <v>0</v>
      </c>
      <c r="Z59" s="13" t="n">
        <f aca="false">Z57-Z58</f>
        <v>0</v>
      </c>
      <c r="AA59" s="13" t="n">
        <f aca="false">AA57-AA58</f>
        <v>0</v>
      </c>
      <c r="AB59" s="13" t="n">
        <f aca="false">AB57-AB58</f>
        <v>0</v>
      </c>
      <c r="AC59" s="13" t="n">
        <f aca="false">AC57-AC58</f>
        <v>0</v>
      </c>
      <c r="AD59" s="13" t="n">
        <f aca="false">AD57-AD58</f>
        <v>0</v>
      </c>
      <c r="AE59" s="13" t="n">
        <f aca="false">AE57-AE58</f>
        <v>0</v>
      </c>
      <c r="AF59" s="13" t="n">
        <f aca="false">AF57-AF58</f>
        <v>0</v>
      </c>
      <c r="AG59" s="13" t="n">
        <f aca="false">AG57-AG58</f>
        <v>0</v>
      </c>
      <c r="AH59" s="13" t="n">
        <f aca="false">AH57-AH58</f>
        <v>-3.5527136788005E-015</v>
      </c>
      <c r="AI59" s="13" t="n">
        <f aca="false">AI57-AI58</f>
        <v>0</v>
      </c>
      <c r="AJ59" s="13" t="n">
        <f aca="false">AJ57-AJ58</f>
        <v>0</v>
      </c>
      <c r="AK59" s="13" t="n">
        <f aca="false">AK57-AK58</f>
        <v>0</v>
      </c>
      <c r="AL59" s="13" t="n">
        <f aca="false">AL57-AL58</f>
        <v>0</v>
      </c>
      <c r="AM59" s="13" t="n">
        <f aca="false">AM57-AM58</f>
        <v>0</v>
      </c>
      <c r="AN59" s="13" t="n">
        <f aca="false">AN57-AN58</f>
        <v>0</v>
      </c>
      <c r="AO59" s="13" t="n">
        <f aca="false">AO57-AO58</f>
        <v>0</v>
      </c>
      <c r="AP59" s="13" t="n">
        <f aca="false">AP57-AP58</f>
        <v>0</v>
      </c>
      <c r="AQ59" s="13" t="n">
        <f aca="false">AQ57-AQ58</f>
        <v>0</v>
      </c>
      <c r="AR59" s="13" t="n">
        <f aca="false">AR57-AR58</f>
        <v>0</v>
      </c>
      <c r="AS59" s="13" t="n">
        <f aca="false">AS57-AS58</f>
        <v>0</v>
      </c>
      <c r="AT59" s="13" t="n">
        <f aca="false">AT57-AT58</f>
        <v>0</v>
      </c>
      <c r="AU59" s="13" t="n">
        <f aca="false">AU57-AU58</f>
        <v>0</v>
      </c>
      <c r="AV59" s="13" t="n">
        <f aca="false">AV57-AV58</f>
        <v>0</v>
      </c>
      <c r="AW59" s="13" t="n">
        <f aca="false">AW57-AW58</f>
        <v>0</v>
      </c>
      <c r="AX59" s="13" t="n">
        <f aca="false">AX57-AX58</f>
        <v>0</v>
      </c>
      <c r="AY59" s="13" t="n">
        <f aca="false">AY57-AY58</f>
        <v>0</v>
      </c>
      <c r="AZ59" s="13" t="n">
        <f aca="false">AZ57-AZ58</f>
        <v>0</v>
      </c>
      <c r="BA59" s="13" t="n">
        <f aca="false">BA57-BA58</f>
        <v>0</v>
      </c>
      <c r="BB59" s="13" t="n">
        <f aca="false">BB57-BB58</f>
        <v>0</v>
      </c>
      <c r="BC59" s="13" t="n">
        <f aca="false">BC57-BC58</f>
        <v>0</v>
      </c>
      <c r="BD59" s="13" t="n">
        <f aca="false">BD57-BD58</f>
        <v>0</v>
      </c>
      <c r="BE59" s="13" t="n">
        <f aca="false">BE57-BE58</f>
        <v>0</v>
      </c>
      <c r="BF59" s="13" t="n">
        <f aca="false">BF57-BF58</f>
        <v>0</v>
      </c>
      <c r="BG59" s="13" t="n">
        <f aca="false">BG57-BG58</f>
        <v>0</v>
      </c>
      <c r="BH59" s="13" t="n">
        <f aca="false">BH57-BH58</f>
        <v>0</v>
      </c>
      <c r="BI59" s="13" t="n">
        <f aca="false">BI57-BI58</f>
        <v>0</v>
      </c>
      <c r="BJ59" s="13" t="n">
        <f aca="false">BJ57-BJ58</f>
        <v>0</v>
      </c>
      <c r="BK59" s="13" t="n">
        <f aca="false">BK57-BK58</f>
        <v>0</v>
      </c>
      <c r="BL59" s="13" t="n">
        <f aca="false">BL57-BL58</f>
        <v>0</v>
      </c>
      <c r="BM59" s="13" t="n">
        <f aca="false">BM57-BM58</f>
        <v>0</v>
      </c>
      <c r="BN59" s="13" t="n">
        <f aca="false">BN57-BN58</f>
        <v>0</v>
      </c>
      <c r="BO59" s="13" t="n">
        <f aca="false">BO57-BO58</f>
        <v>0</v>
      </c>
      <c r="BP59" s="13" t="n">
        <f aca="false">BP57-BP58</f>
        <v>0</v>
      </c>
      <c r="BQ59" s="13" t="n">
        <f aca="false">BQ57-BQ58</f>
        <v>0</v>
      </c>
      <c r="BR59" s="13" t="n">
        <f aca="false">BR57-BR58</f>
        <v>0</v>
      </c>
      <c r="BS59" s="13" t="n">
        <f aca="false">BS57-BS58</f>
        <v>0</v>
      </c>
      <c r="BT59" s="13" t="n">
        <f aca="false">BT57-BT58</f>
        <v>0</v>
      </c>
      <c r="BU59" s="13" t="n">
        <f aca="false">BU57-BU58</f>
        <v>0</v>
      </c>
      <c r="BV59" s="13" t="n">
        <f aca="false">BV57-BV58</f>
        <v>0</v>
      </c>
      <c r="BW59" s="13" t="n">
        <f aca="false">BW57-BW58</f>
        <v>0</v>
      </c>
      <c r="BX59" s="13" t="n">
        <f aca="false">BX57-BX58</f>
        <v>0</v>
      </c>
      <c r="BY59" s="13" t="n">
        <f aca="false">BY57-BY58</f>
        <v>0</v>
      </c>
      <c r="BZ59" s="13" t="n">
        <f aca="false">BZ57-BZ58</f>
        <v>0</v>
      </c>
      <c r="CA59" s="13" t="n">
        <f aca="false">CA57-CA58</f>
        <v>0</v>
      </c>
      <c r="CB59" s="13" t="n">
        <f aca="false">CB57-CB58</f>
        <v>0</v>
      </c>
      <c r="CC59" s="13" t="n">
        <f aca="false">CC57-CC58</f>
        <v>0</v>
      </c>
      <c r="CD59" s="13" t="n">
        <f aca="false">CD57-CD58</f>
        <v>0</v>
      </c>
      <c r="CE59" s="13" t="n">
        <f aca="false">CE57-CE58</f>
        <v>0</v>
      </c>
      <c r="CF59" s="13" t="n">
        <f aca="false">CF57-CF58</f>
        <v>2.8421709430404E-013</v>
      </c>
      <c r="CG59" s="13" t="n">
        <f aca="false">CG57-CG58</f>
        <v>2.98427949019242E-013</v>
      </c>
      <c r="CH59" s="13" t="n">
        <f aca="false">CH57-CH58</f>
        <v>3.12638803734444E-013</v>
      </c>
      <c r="CI59" s="13" t="n">
        <f aca="false">CI57-CI58</f>
        <v>3.26849658449646E-013</v>
      </c>
      <c r="CJ59" s="13" t="n">
        <f aca="false">CJ57-CJ58</f>
        <v>3.41060513164848E-013</v>
      </c>
      <c r="CK59" s="13" t="n">
        <f aca="false">CK57-CK58</f>
        <v>3.5527136788005E-013</v>
      </c>
      <c r="CL59" s="13" t="n">
        <f aca="false">CL57-CL58</f>
        <v>3.69482222595252E-013</v>
      </c>
      <c r="CM59" s="13" t="n">
        <f aca="false">CM57-CM58</f>
        <v>3.83693077310454E-013</v>
      </c>
      <c r="CN59" s="13" t="n">
        <f aca="false">CN57-CN58</f>
        <v>3.97903932025656E-013</v>
      </c>
      <c r="CO59" s="13" t="n">
        <f aca="false">CO57-CO58</f>
        <v>4.12114786740858E-013</v>
      </c>
      <c r="CP59" s="13" t="n">
        <f aca="false">CP57-CP58</f>
        <v>4.2632564145606E-013</v>
      </c>
      <c r="CQ59" s="13" t="n">
        <f aca="false">CQ57-CQ58</f>
        <v>4.40536496171262E-013</v>
      </c>
      <c r="CR59" s="13" t="n">
        <f aca="false">CR57-CR58</f>
        <v>4.54747350886464E-013</v>
      </c>
      <c r="CS59" s="13" t="n">
        <f aca="false">CS57-CS58</f>
        <v>4.68958205601666E-013</v>
      </c>
      <c r="CT59" s="13" t="n">
        <f aca="false">CT57-CT58</f>
        <v>4.83169060316868E-013</v>
      </c>
      <c r="CU59" s="13" t="n">
        <f aca="false">CU57-CU58</f>
        <v>4.9737991503207E-013</v>
      </c>
      <c r="CV59" s="13" t="n">
        <f aca="false">CV57-CV58</f>
        <v>5.11590769747272E-013</v>
      </c>
      <c r="CW59" s="13" t="n">
        <f aca="false">CW57-CW58</f>
        <v>5.25801624462474E-013</v>
      </c>
      <c r="CX59" s="13" t="n">
        <f aca="false">CX57-CX58</f>
        <v>5.40012479177676E-013</v>
      </c>
      <c r="CY59" s="13" t="n">
        <f aca="false">CY57-CY58</f>
        <v>5.54223333892878E-013</v>
      </c>
      <c r="CZ59" s="13" t="n">
        <f aca="false">CZ57-CZ58</f>
        <v>5.6843418860808E-013</v>
      </c>
      <c r="DA59" s="13" t="n">
        <f aca="false">DA57-DA58</f>
        <v>5.82645043323282E-013</v>
      </c>
      <c r="DB59" s="13" t="n">
        <f aca="false">DB57-DB58</f>
        <v>5.96855898038484E-013</v>
      </c>
      <c r="DC59" s="13" t="n">
        <f aca="false">DC57-DC58</f>
        <v>6.11066752753686E-013</v>
      </c>
      <c r="DD59" s="13" t="n">
        <f aca="false">DD57-DD58</f>
        <v>6.25277607468888E-013</v>
      </c>
      <c r="DE59" s="13" t="n">
        <f aca="false">DE57-DE58</f>
        <v>6.3948846218409E-013</v>
      </c>
      <c r="DF59" s="13" t="n">
        <f aca="false">DF57-DF58</f>
        <v>6.53699316899292E-013</v>
      </c>
      <c r="DG59" s="13" t="n">
        <f aca="false">DG57-DG58</f>
        <v>6.67910171614494E-013</v>
      </c>
      <c r="DH59" s="13" t="n">
        <f aca="false">DH57-DH58</f>
        <v>6.82121026329696E-013</v>
      </c>
      <c r="DI59" s="13" t="n">
        <f aca="false">DI57-DI58</f>
        <v>6.96331881044898E-013</v>
      </c>
      <c r="DJ59" s="13" t="n">
        <f aca="false">DJ57-DJ58</f>
        <v>7.105427357601E-013</v>
      </c>
      <c r="DK59" s="13" t="n">
        <f aca="false">DK57-DK58</f>
        <v>7.24753590475302E-013</v>
      </c>
      <c r="DL59" s="13" t="n">
        <f aca="false">DL57-DL58</f>
        <v>7.38964445190504E-013</v>
      </c>
      <c r="DM59" s="13" t="n">
        <f aca="false">DM57-DM58</f>
        <v>7.53175299905706E-013</v>
      </c>
      <c r="DN59" s="13" t="n">
        <f aca="false">DN57-DN58</f>
        <v>7.53175299905706E-013</v>
      </c>
      <c r="DO59" s="13" t="n">
        <f aca="false">DO57-DO58</f>
        <v>7.53175299905706E-013</v>
      </c>
      <c r="DP59" s="13" t="n">
        <f aca="false">DP57-DP58</f>
        <v>7.53175299905706E-013</v>
      </c>
      <c r="DQ59" s="13" t="n">
        <f aca="false">DQ57-DQ58</f>
        <v>7.53175299905706E-013</v>
      </c>
      <c r="DR59" s="13" t="n">
        <f aca="false">DR57-DR58</f>
        <v>7.67386154620908E-013</v>
      </c>
    </row>
    <row r="60" customFormat="false" ht="15" hidden="false" customHeight="false" outlineLevel="0" collapsed="false">
      <c r="A60" s="9" t="s">
        <v>228</v>
      </c>
      <c r="B60" s="11" t="n">
        <f aca="false">B52-B51-B50</f>
        <v>0</v>
      </c>
      <c r="C60" s="11" t="n">
        <f aca="false">C52-C51-C50</f>
        <v>0</v>
      </c>
      <c r="D60" s="11" t="n">
        <f aca="false">D52-D51-D50</f>
        <v>0</v>
      </c>
      <c r="E60" s="11" t="n">
        <f aca="false">E52-E51-E50</f>
        <v>0</v>
      </c>
      <c r="F60" s="11" t="n">
        <f aca="false">F52-F51-F50</f>
        <v>0</v>
      </c>
      <c r="G60" s="11" t="n">
        <f aca="false">G52-G51-G50</f>
        <v>0</v>
      </c>
      <c r="H60" s="11" t="n">
        <f aca="false">H52-H51-H50</f>
        <v>0</v>
      </c>
      <c r="I60" s="11" t="n">
        <f aca="false">I52-I51-I50</f>
        <v>0</v>
      </c>
      <c r="J60" s="11" t="n">
        <f aca="false">J52-J51-J50</f>
        <v>0</v>
      </c>
      <c r="K60" s="11" t="n">
        <f aca="false">K52-K51-K50</f>
        <v>0</v>
      </c>
      <c r="L60" s="11" t="n">
        <f aca="false">L52-L51-L50</f>
        <v>0</v>
      </c>
      <c r="M60" s="11" t="n">
        <f aca="false">M52-M51-M50</f>
        <v>0</v>
      </c>
      <c r="N60" s="11" t="n">
        <f aca="false">N52-N51-N50</f>
        <v>0</v>
      </c>
      <c r="O60" s="11" t="n">
        <f aca="false">O52-O51-O50</f>
        <v>0</v>
      </c>
      <c r="P60" s="11" t="n">
        <f aca="false">P52-P51-P50</f>
        <v>0</v>
      </c>
      <c r="Q60" s="11" t="n">
        <f aca="false">Q52-Q51-Q50</f>
        <v>0</v>
      </c>
      <c r="R60" s="11" t="n">
        <f aca="false">R52-R51-R50</f>
        <v>0</v>
      </c>
      <c r="S60" s="11" t="n">
        <f aca="false">S52-S51-S50</f>
        <v>0</v>
      </c>
      <c r="T60" s="11" t="n">
        <f aca="false">T52-T51-T50</f>
        <v>0</v>
      </c>
      <c r="U60" s="11" t="n">
        <f aca="false">U52-U51-U50</f>
        <v>0</v>
      </c>
      <c r="V60" s="11" t="n">
        <f aca="false">V52-V51-V50</f>
        <v>0</v>
      </c>
      <c r="W60" s="11" t="n">
        <f aca="false">W52-W51-W50</f>
        <v>0</v>
      </c>
      <c r="X60" s="11" t="n">
        <f aca="false">X52-X51-X50</f>
        <v>0</v>
      </c>
      <c r="Y60" s="11" t="n">
        <f aca="false">Y52-Y51-Y50</f>
        <v>0</v>
      </c>
      <c r="Z60" s="11" t="n">
        <f aca="false">Z52-Z51-Z50</f>
        <v>0</v>
      </c>
      <c r="AA60" s="11" t="n">
        <f aca="false">AA52-AA51-AA50</f>
        <v>0</v>
      </c>
      <c r="AB60" s="11" t="n">
        <f aca="false">AB52-AB51-AB50</f>
        <v>0</v>
      </c>
      <c r="AC60" s="11" t="n">
        <f aca="false">AC52-AC51-AC50</f>
        <v>0</v>
      </c>
      <c r="AD60" s="11" t="n">
        <f aca="false">AD52-AD51-AD50</f>
        <v>0</v>
      </c>
      <c r="AE60" s="11" t="n">
        <f aca="false">AE52-AE51-AE50</f>
        <v>0</v>
      </c>
      <c r="AF60" s="11" t="n">
        <f aca="false">AF52-AF51-AF50</f>
        <v>0</v>
      </c>
      <c r="AG60" s="11" t="n">
        <f aca="false">AG52-AG51-AG50</f>
        <v>0</v>
      </c>
      <c r="AH60" s="11" t="n">
        <f aca="false">AH52-AH51-AH50</f>
        <v>0</v>
      </c>
      <c r="AI60" s="11" t="n">
        <f aca="false">AI52-AI51-AI50</f>
        <v>0</v>
      </c>
      <c r="AJ60" s="11" t="n">
        <f aca="false">AJ52-AJ51-AJ50</f>
        <v>0</v>
      </c>
      <c r="AK60" s="11" t="n">
        <f aca="false">AK52-AK51-AK50</f>
        <v>0</v>
      </c>
      <c r="AL60" s="11" t="n">
        <f aca="false">AL52-AL51-AL50</f>
        <v>0</v>
      </c>
      <c r="AM60" s="11" t="n">
        <f aca="false">AM52-AM51-AM50</f>
        <v>0</v>
      </c>
      <c r="AN60" s="11" t="n">
        <f aca="false">AN52-AN51-AN50</f>
        <v>0</v>
      </c>
      <c r="AO60" s="11" t="n">
        <f aca="false">AO52-AO51-AO50</f>
        <v>0</v>
      </c>
      <c r="AP60" s="11" t="n">
        <f aca="false">AP52-AP51-AP50</f>
        <v>0</v>
      </c>
      <c r="AQ60" s="11" t="n">
        <f aca="false">AQ52-AQ51-AQ50</f>
        <v>0</v>
      </c>
      <c r="AR60" s="11" t="n">
        <f aca="false">AR52-AR51-AR50</f>
        <v>0</v>
      </c>
      <c r="AS60" s="11" t="n">
        <f aca="false">AS52-AS51-AS50</f>
        <v>0</v>
      </c>
      <c r="AT60" s="11" t="n">
        <f aca="false">AT52-AT51-AT50</f>
        <v>0</v>
      </c>
      <c r="AU60" s="11" t="n">
        <f aca="false">AU52-AU51-AU50</f>
        <v>0</v>
      </c>
      <c r="AV60" s="11" t="n">
        <f aca="false">AV52-AV51-AV50</f>
        <v>0</v>
      </c>
      <c r="AW60" s="11" t="n">
        <f aca="false">AW52-AW51-AW50</f>
        <v>0</v>
      </c>
      <c r="AX60" s="11" t="n">
        <f aca="false">AX52-AX51-AX50</f>
        <v>0</v>
      </c>
      <c r="AY60" s="11" t="n">
        <f aca="false">AY52-AY51-AY50</f>
        <v>0</v>
      </c>
      <c r="AZ60" s="11" t="n">
        <f aca="false">AZ52-AZ51-AZ50</f>
        <v>0</v>
      </c>
      <c r="BA60" s="11" t="n">
        <f aca="false">BA52-BA51-BA50</f>
        <v>0</v>
      </c>
      <c r="BB60" s="11" t="n">
        <f aca="false">BB52-BB51-BB50</f>
        <v>0</v>
      </c>
      <c r="BC60" s="11" t="n">
        <f aca="false">BC52-BC51-BC50</f>
        <v>0</v>
      </c>
      <c r="BD60" s="11" t="n">
        <f aca="false">BD52-BD51-BD50</f>
        <v>0</v>
      </c>
      <c r="BE60" s="11" t="n">
        <f aca="false">BE52-BE51-BE50</f>
        <v>0</v>
      </c>
      <c r="BF60" s="11" t="n">
        <f aca="false">BF52-BF51-BF50</f>
        <v>0</v>
      </c>
      <c r="BG60" s="11" t="n">
        <f aca="false">BG52-BG51-BG50</f>
        <v>0</v>
      </c>
      <c r="BH60" s="11" t="n">
        <f aca="false">BH52-BH51-BH50</f>
        <v>0</v>
      </c>
      <c r="BI60" s="11" t="n">
        <f aca="false">BI52-BI51-BI50</f>
        <v>0</v>
      </c>
      <c r="BJ60" s="11" t="n">
        <f aca="false">BJ52-BJ51-BJ50</f>
        <v>0</v>
      </c>
      <c r="BK60" s="11" t="n">
        <f aca="false">BK52-BK51-BK50</f>
        <v>0</v>
      </c>
      <c r="BL60" s="11" t="n">
        <f aca="false">BL52-BL51-BL50</f>
        <v>0</v>
      </c>
      <c r="BM60" s="11" t="n">
        <f aca="false">BM52-BM51-BM50</f>
        <v>0</v>
      </c>
      <c r="BN60" s="11" t="n">
        <f aca="false">BN52-BN51-BN50</f>
        <v>0</v>
      </c>
      <c r="BO60" s="11" t="n">
        <f aca="false">BO52-BO51-BO50</f>
        <v>0</v>
      </c>
      <c r="BP60" s="11" t="n">
        <f aca="false">BP52-BP51-BP50</f>
        <v>0</v>
      </c>
      <c r="BQ60" s="11" t="n">
        <f aca="false">BQ52-BQ51-BQ50</f>
        <v>0</v>
      </c>
      <c r="BR60" s="11" t="n">
        <f aca="false">BR52-BR51-BR50</f>
        <v>6.21724893790088E-015</v>
      </c>
      <c r="BS60" s="11" t="n">
        <f aca="false">BS52-BS51-BS50</f>
        <v>0</v>
      </c>
      <c r="BT60" s="11" t="n">
        <f aca="false">BT52-BT51-BT50</f>
        <v>0</v>
      </c>
      <c r="BU60" s="11" t="n">
        <f aca="false">BU52-BU51-BU50</f>
        <v>5.32907051820075E-015</v>
      </c>
      <c r="BV60" s="11" t="n">
        <f aca="false">BV52-BV51-BV50</f>
        <v>0</v>
      </c>
      <c r="BW60" s="11" t="n">
        <f aca="false">BW52-BW51-BW50</f>
        <v>-6.21724893790088E-015</v>
      </c>
      <c r="BX60" s="11" t="n">
        <f aca="false">BX52-BX51-BX50</f>
        <v>5.32907051820075E-015</v>
      </c>
      <c r="BY60" s="11" t="n">
        <f aca="false">BY52-BY51-BY50</f>
        <v>5.32907051820075E-015</v>
      </c>
      <c r="BZ60" s="11" t="n">
        <f aca="false">BZ52-BZ51-BZ50</f>
        <v>5.32907051820075E-015</v>
      </c>
      <c r="CA60" s="11" t="n">
        <f aca="false">CA52-CA51-CA50</f>
        <v>5.32907051820075E-015</v>
      </c>
      <c r="CB60" s="11" t="n">
        <f aca="false">CB52-CB51-CB50</f>
        <v>5.32907051820075E-015</v>
      </c>
      <c r="CC60" s="11" t="n">
        <f aca="false">CC52-CC51-CC50</f>
        <v>5.32907051820075E-015</v>
      </c>
      <c r="CD60" s="11" t="n">
        <f aca="false">CD52-CD51-CD50</f>
        <v>5.32907051820075E-015</v>
      </c>
      <c r="CE60" s="11" t="n">
        <f aca="false">CE52-CE51-CE50</f>
        <v>5.32907051820075E-015</v>
      </c>
      <c r="CF60" s="11" t="n">
        <f aca="false">CF52-CF51-CF50</f>
        <v>5.32907051820075E-015</v>
      </c>
      <c r="CG60" s="11" t="n">
        <f aca="false">CG52-CG51-CG50</f>
        <v>5.32907051820075E-015</v>
      </c>
      <c r="CH60" s="11" t="n">
        <f aca="false">CH52-CH51-CH50</f>
        <v>5.32907051820075E-015</v>
      </c>
      <c r="CI60" s="11" t="n">
        <f aca="false">CI52-CI51-CI50</f>
        <v>5.32907051820075E-015</v>
      </c>
      <c r="CJ60" s="11" t="n">
        <f aca="false">CJ52-CJ51-CJ50</f>
        <v>5.32907051820075E-015</v>
      </c>
      <c r="CK60" s="11" t="n">
        <f aca="false">CK52-CK51-CK50</f>
        <v>5.32907051820075E-015</v>
      </c>
      <c r="CL60" s="11" t="n">
        <f aca="false">CL52-CL51-CL50</f>
        <v>5.32907051820075E-015</v>
      </c>
      <c r="CM60" s="11" t="n">
        <f aca="false">CM52-CM51-CM50</f>
        <v>5.32907051820075E-015</v>
      </c>
      <c r="CN60" s="11" t="n">
        <f aca="false">CN52-CN51-CN50</f>
        <v>5.32907051820075E-015</v>
      </c>
      <c r="CO60" s="11" t="n">
        <f aca="false">CO52-CO51-CO50</f>
        <v>5.32907051820075E-015</v>
      </c>
      <c r="CP60" s="11" t="n">
        <f aca="false">CP52-CP51-CP50</f>
        <v>5.32907051820075E-015</v>
      </c>
      <c r="CQ60" s="11" t="n">
        <f aca="false">CQ52-CQ51-CQ50</f>
        <v>5.32907051820075E-015</v>
      </c>
      <c r="CR60" s="11" t="n">
        <f aca="false">CR52-CR51-CR50</f>
        <v>5.32907051820075E-015</v>
      </c>
      <c r="CS60" s="11" t="n">
        <f aca="false">CS52-CS51-CS50</f>
        <v>5.32907051820075E-015</v>
      </c>
      <c r="CT60" s="11" t="n">
        <f aca="false">CT52-CT51-CT50</f>
        <v>5.32907051820075E-015</v>
      </c>
      <c r="CU60" s="11" t="n">
        <f aca="false">CU52-CU51-CU50</f>
        <v>5.32907051820075E-015</v>
      </c>
      <c r="CV60" s="11" t="n">
        <f aca="false">CV52-CV51-CV50</f>
        <v>5.32907051820075E-015</v>
      </c>
      <c r="CW60" s="11" t="n">
        <f aca="false">CW52-CW51-CW50</f>
        <v>5.32907051820075E-015</v>
      </c>
      <c r="CX60" s="11" t="n">
        <f aca="false">CX52-CX51-CX50</f>
        <v>5.32907051820075E-015</v>
      </c>
      <c r="CY60" s="11" t="n">
        <f aca="false">CY52-CY51-CY50</f>
        <v>5.32907051820075E-015</v>
      </c>
      <c r="CZ60" s="11" t="n">
        <f aca="false">CZ52-CZ51-CZ50</f>
        <v>5.32907051820075E-015</v>
      </c>
      <c r="DA60" s="11" t="n">
        <f aca="false">DA52-DA51-DA50</f>
        <v>5.32907051820075E-015</v>
      </c>
      <c r="DB60" s="11" t="n">
        <f aca="false">DB52-DB51-DB50</f>
        <v>5.32907051820075E-015</v>
      </c>
      <c r="DC60" s="11" t="n">
        <f aca="false">DC52-DC51-DC50</f>
        <v>5.32907051820075E-015</v>
      </c>
      <c r="DD60" s="11" t="n">
        <f aca="false">DD52-DD51-DD50</f>
        <v>5.32907051820075E-015</v>
      </c>
      <c r="DE60" s="11" t="n">
        <f aca="false">DE52-DE51-DE50</f>
        <v>5.32907051820075E-015</v>
      </c>
      <c r="DF60" s="11" t="n">
        <f aca="false">DF52-DF51-DF50</f>
        <v>5.32907051820075E-015</v>
      </c>
      <c r="DG60" s="11" t="n">
        <f aca="false">DG52-DG51-DG50</f>
        <v>5.32907051820075E-015</v>
      </c>
      <c r="DH60" s="11" t="n">
        <f aca="false">DH52-DH51-DH50</f>
        <v>5.32907051820075E-015</v>
      </c>
      <c r="DI60" s="11" t="n">
        <f aca="false">DI52-DI51-DI50</f>
        <v>5.32907051820075E-015</v>
      </c>
      <c r="DJ60" s="11" t="n">
        <f aca="false">DJ52-DJ51-DJ50</f>
        <v>5.32907051820075E-015</v>
      </c>
      <c r="DK60" s="11" t="n">
        <f aca="false">DK52-DK51-DK50</f>
        <v>5.32907051820075E-015</v>
      </c>
      <c r="DL60" s="11" t="n">
        <f aca="false">DL52-DL51-DL50</f>
        <v>5.32907051820075E-015</v>
      </c>
      <c r="DM60" s="11" t="n">
        <f aca="false">DM52-DM51-DM50</f>
        <v>5.32907051820075E-015</v>
      </c>
      <c r="DN60" s="11" t="n">
        <f aca="false">DN52-DN51-DN50</f>
        <v>-8.88178419700125E-015</v>
      </c>
      <c r="DO60" s="11" t="n">
        <f aca="false">DO52-DO51-DO50</f>
        <v>-8.88178419700125E-015</v>
      </c>
      <c r="DP60" s="11" t="n">
        <f aca="false">DP52-DP51-DP50</f>
        <v>-8.88178419700125E-015</v>
      </c>
      <c r="DQ60" s="11" t="n">
        <f aca="false">DQ52-DQ51-DQ50</f>
        <v>-8.88178419700125E-015</v>
      </c>
      <c r="DR60" s="11" t="n">
        <f aca="false">DR52-DR51-DR50</f>
        <v>-8.88178419700125E-015</v>
      </c>
    </row>
    <row r="61" customFormat="false" ht="15" hidden="false" customHeight="false" outlineLevel="0" collapsed="false">
      <c r="A61" s="9" t="s">
        <v>229</v>
      </c>
      <c r="B61" s="11" t="n">
        <f aca="false">B25-B26-B27</f>
        <v>0</v>
      </c>
      <c r="C61" s="11" t="n">
        <f aca="false">C25-C26-C27</f>
        <v>0</v>
      </c>
      <c r="D61" s="11" t="n">
        <f aca="false">D25-D26-D27</f>
        <v>0</v>
      </c>
      <c r="E61" s="11" t="n">
        <f aca="false">E25-E26-E27</f>
        <v>0</v>
      </c>
      <c r="F61" s="11" t="n">
        <f aca="false">F25-F26-F27</f>
        <v>0</v>
      </c>
      <c r="G61" s="11" t="n">
        <f aca="false">G25-G26-G27</f>
        <v>0</v>
      </c>
      <c r="H61" s="11" t="n">
        <f aca="false">H25-H26-H27</f>
        <v>0</v>
      </c>
      <c r="I61" s="11" t="n">
        <f aca="false">I25-I26-I27</f>
        <v>0</v>
      </c>
      <c r="J61" s="11" t="n">
        <f aca="false">J25-J26-J27</f>
        <v>0</v>
      </c>
      <c r="K61" s="11" t="n">
        <f aca="false">K25-K26-K27</f>
        <v>0</v>
      </c>
      <c r="L61" s="11" t="n">
        <f aca="false">L25-L26-L27</f>
        <v>0</v>
      </c>
      <c r="M61" s="11" t="n">
        <f aca="false">M25-M26-M27</f>
        <v>0</v>
      </c>
      <c r="N61" s="11" t="n">
        <f aca="false">N25-N26-N27</f>
        <v>0</v>
      </c>
      <c r="O61" s="11" t="n">
        <f aca="false">O25-O26-O27</f>
        <v>0</v>
      </c>
      <c r="P61" s="11" t="n">
        <f aca="false">P25-P26-P27</f>
        <v>0</v>
      </c>
      <c r="Q61" s="11" t="n">
        <f aca="false">Q25-Q26-Q27</f>
        <v>0</v>
      </c>
      <c r="R61" s="11" t="n">
        <f aca="false">R25-R26-R27</f>
        <v>0</v>
      </c>
      <c r="S61" s="11" t="n">
        <f aca="false">S25-S26-S27</f>
        <v>0</v>
      </c>
      <c r="T61" s="11" t="n">
        <f aca="false">T25-T26-T27</f>
        <v>0</v>
      </c>
      <c r="U61" s="11" t="n">
        <f aca="false">U25-U26-U27</f>
        <v>0</v>
      </c>
      <c r="V61" s="11" t="n">
        <f aca="false">V25-V26-V27</f>
        <v>0</v>
      </c>
      <c r="W61" s="11" t="n">
        <f aca="false">W25-W26-W27</f>
        <v>0</v>
      </c>
      <c r="X61" s="11" t="n">
        <f aca="false">X25-X26-X27</f>
        <v>0</v>
      </c>
      <c r="Y61" s="11" t="n">
        <f aca="false">Y25-Y26-Y27</f>
        <v>0</v>
      </c>
      <c r="Z61" s="11" t="n">
        <f aca="false">Z25-Z26-Z27</f>
        <v>0</v>
      </c>
      <c r="AA61" s="11" t="n">
        <f aca="false">AA25-AA26-AA27</f>
        <v>0</v>
      </c>
      <c r="AB61" s="11" t="n">
        <f aca="false">AB25-AB26-AB27</f>
        <v>0</v>
      </c>
      <c r="AC61" s="11" t="n">
        <f aca="false">AC25-AC26-AC27</f>
        <v>0</v>
      </c>
      <c r="AD61" s="11" t="n">
        <f aca="false">AD25-AD26-AD27</f>
        <v>0</v>
      </c>
      <c r="AE61" s="11" t="n">
        <f aca="false">AE25-AE26-AE27</f>
        <v>0</v>
      </c>
      <c r="AF61" s="11" t="n">
        <f aca="false">AF25-AF26-AF27</f>
        <v>0</v>
      </c>
      <c r="AG61" s="11" t="n">
        <f aca="false">AG25-AG26-AG27</f>
        <v>0</v>
      </c>
      <c r="AH61" s="11" t="n">
        <f aca="false">AH25-AH26-AH27</f>
        <v>0</v>
      </c>
      <c r="AI61" s="11" t="n">
        <f aca="false">AI25-AI26-AI27</f>
        <v>0</v>
      </c>
      <c r="AJ61" s="11" t="n">
        <f aca="false">AJ25-AJ26-AJ27</f>
        <v>0</v>
      </c>
      <c r="AK61" s="11" t="n">
        <f aca="false">AK25-AK26-AK27</f>
        <v>0</v>
      </c>
      <c r="AL61" s="11" t="n">
        <f aca="false">AL25-AL26-AL27</f>
        <v>0</v>
      </c>
      <c r="AM61" s="11" t="n">
        <f aca="false">AM25-AM26-AM27</f>
        <v>0</v>
      </c>
      <c r="AN61" s="11" t="n">
        <f aca="false">AN25-AN26-AN27</f>
        <v>0</v>
      </c>
      <c r="AO61" s="11" t="n">
        <f aca="false">AO25-AO26-AO27</f>
        <v>0</v>
      </c>
      <c r="AP61" s="11" t="n">
        <f aca="false">AP25-AP26-AP27</f>
        <v>0</v>
      </c>
      <c r="AQ61" s="11" t="n">
        <f aca="false">AQ25-AQ26-AQ27</f>
        <v>0</v>
      </c>
      <c r="AR61" s="11" t="n">
        <f aca="false">AR25-AR26-AR27</f>
        <v>0</v>
      </c>
      <c r="AS61" s="11" t="n">
        <f aca="false">AS25-AS26-AS27</f>
        <v>0</v>
      </c>
      <c r="AT61" s="11" t="n">
        <f aca="false">AT25-AT26-AT27</f>
        <v>0</v>
      </c>
      <c r="AU61" s="11" t="n">
        <f aca="false">AU25-AU26-AU27</f>
        <v>0</v>
      </c>
      <c r="AV61" s="11" t="n">
        <f aca="false">AV25-AV26-AV27</f>
        <v>0</v>
      </c>
      <c r="AW61" s="11" t="n">
        <f aca="false">AW25-AW26-AW27</f>
        <v>0</v>
      </c>
      <c r="AX61" s="11" t="n">
        <f aca="false">AX25-AX26-AX27</f>
        <v>0</v>
      </c>
      <c r="AY61" s="11" t="n">
        <f aca="false">AY25-AY26-AY27</f>
        <v>0</v>
      </c>
      <c r="AZ61" s="11" t="n">
        <f aca="false">AZ25-AZ26-AZ27</f>
        <v>0</v>
      </c>
      <c r="BA61" s="11" t="n">
        <f aca="false">BA25-BA26-BA27</f>
        <v>0</v>
      </c>
      <c r="BB61" s="11" t="n">
        <f aca="false">BB25-BB26-BB27</f>
        <v>0</v>
      </c>
      <c r="BC61" s="11" t="n">
        <f aca="false">BC25-BC26-BC27</f>
        <v>0</v>
      </c>
      <c r="BD61" s="11" t="n">
        <f aca="false">BD25-BD26-BD27</f>
        <v>0</v>
      </c>
      <c r="BE61" s="11" t="n">
        <f aca="false">BE25-BE26-BE27</f>
        <v>0</v>
      </c>
      <c r="BF61" s="11" t="n">
        <f aca="false">BF25-BF26-BF27</f>
        <v>0</v>
      </c>
      <c r="BG61" s="11" t="n">
        <f aca="false">BG25-BG26-BG27</f>
        <v>0</v>
      </c>
      <c r="BH61" s="11" t="n">
        <f aca="false">BH25-BH26-BH27</f>
        <v>0</v>
      </c>
      <c r="BI61" s="11" t="n">
        <f aca="false">BI25-BI26-BI27</f>
        <v>0</v>
      </c>
      <c r="BJ61" s="11" t="n">
        <f aca="false">BJ25-BJ26-BJ27</f>
        <v>0</v>
      </c>
      <c r="BK61" s="11" t="n">
        <f aca="false">BK25-BK26-BK27</f>
        <v>0</v>
      </c>
      <c r="BL61" s="11" t="n">
        <f aca="false">BL25-BL26-BL27</f>
        <v>0</v>
      </c>
      <c r="BM61" s="11" t="n">
        <f aca="false">BM25-BM26-BM27</f>
        <v>0</v>
      </c>
      <c r="BN61" s="11" t="n">
        <f aca="false">BN25-BN26-BN27</f>
        <v>0</v>
      </c>
      <c r="BO61" s="11" t="n">
        <f aca="false">BO25-BO26-BO27</f>
        <v>0</v>
      </c>
      <c r="BP61" s="11" t="n">
        <f aca="false">BP25-BP26-BP27</f>
        <v>0</v>
      </c>
      <c r="BQ61" s="11" t="n">
        <f aca="false">BQ25-BQ26-BQ27</f>
        <v>0</v>
      </c>
      <c r="BR61" s="11" t="n">
        <f aca="false">BR25-BR26-BR27</f>
        <v>0</v>
      </c>
      <c r="BS61" s="11" t="n">
        <f aca="false">BS25-BS26-BS27</f>
        <v>0</v>
      </c>
      <c r="BT61" s="11" t="n">
        <f aca="false">BT25-BT26-BT27</f>
        <v>0</v>
      </c>
      <c r="BU61" s="11" t="n">
        <f aca="false">BU25-BU26-BU27</f>
        <v>0</v>
      </c>
      <c r="BV61" s="11" t="n">
        <f aca="false">BV25-BV26-BV27</f>
        <v>0</v>
      </c>
      <c r="BW61" s="11" t="n">
        <f aca="false">BW25-BW26-BW27</f>
        <v>0</v>
      </c>
      <c r="BX61" s="11" t="n">
        <f aca="false">BX25-BX26-BX27</f>
        <v>0</v>
      </c>
      <c r="BY61" s="11" t="n">
        <f aca="false">BY25-BY26-BY27</f>
        <v>0</v>
      </c>
      <c r="BZ61" s="11" t="n">
        <f aca="false">BZ25-BZ26-BZ27</f>
        <v>0</v>
      </c>
      <c r="CA61" s="11" t="n">
        <f aca="false">CA25-CA26-CA27</f>
        <v>0</v>
      </c>
      <c r="CB61" s="11" t="n">
        <f aca="false">CB25-CB26-CB27</f>
        <v>0</v>
      </c>
      <c r="CC61" s="11" t="n">
        <f aca="false">CC25-CC26-CC27</f>
        <v>0</v>
      </c>
      <c r="CD61" s="11" t="n">
        <f aca="false">CD25-CD26-CD27</f>
        <v>0</v>
      </c>
      <c r="CE61" s="11" t="n">
        <f aca="false">CE25-CE26-CE27</f>
        <v>0</v>
      </c>
      <c r="CF61" s="11" t="n">
        <f aca="false">CF25-CF26-CF27</f>
        <v>0</v>
      </c>
      <c r="CG61" s="11" t="n">
        <f aca="false">CG25-CG26-CG27</f>
        <v>0</v>
      </c>
      <c r="CH61" s="11" t="n">
        <f aca="false">CH25-CH26-CH27</f>
        <v>0</v>
      </c>
      <c r="CI61" s="11" t="n">
        <f aca="false">CI25-CI26-CI27</f>
        <v>0</v>
      </c>
      <c r="CJ61" s="11" t="n">
        <f aca="false">CJ25-CJ26-CJ27</f>
        <v>0</v>
      </c>
      <c r="CK61" s="11" t="n">
        <f aca="false">CK25-CK26-CK27</f>
        <v>0</v>
      </c>
      <c r="CL61" s="11" t="n">
        <f aca="false">CL25-CL26-CL27</f>
        <v>0</v>
      </c>
      <c r="CM61" s="11" t="n">
        <f aca="false">CM25-CM26-CM27</f>
        <v>0</v>
      </c>
      <c r="CN61" s="11" t="n">
        <f aca="false">CN25-CN26-CN27</f>
        <v>0</v>
      </c>
      <c r="CO61" s="11" t="n">
        <f aca="false">CO25-CO26-CO27</f>
        <v>0</v>
      </c>
      <c r="CP61" s="11" t="n">
        <f aca="false">CP25-CP26-CP27</f>
        <v>0</v>
      </c>
      <c r="CQ61" s="11" t="n">
        <f aca="false">CQ25-CQ26-CQ27</f>
        <v>0</v>
      </c>
      <c r="CR61" s="11" t="n">
        <f aca="false">CR25-CR26-CR27</f>
        <v>0</v>
      </c>
      <c r="CS61" s="11" t="n">
        <f aca="false">CS25-CS26-CS27</f>
        <v>0</v>
      </c>
      <c r="CT61" s="11" t="n">
        <f aca="false">CT25-CT26-CT27</f>
        <v>0</v>
      </c>
      <c r="CU61" s="11" t="n">
        <f aca="false">CU25-CU26-CU27</f>
        <v>0</v>
      </c>
      <c r="CV61" s="11" t="n">
        <f aca="false">CV25-CV26-CV27</f>
        <v>0</v>
      </c>
      <c r="CW61" s="11" t="n">
        <f aca="false">CW25-CW26-CW27</f>
        <v>0</v>
      </c>
      <c r="CX61" s="11" t="n">
        <f aca="false">CX25-CX26-CX27</f>
        <v>0</v>
      </c>
      <c r="CY61" s="11" t="n">
        <f aca="false">CY25-CY26-CY27</f>
        <v>0</v>
      </c>
      <c r="CZ61" s="11" t="n">
        <f aca="false">CZ25-CZ26-CZ27</f>
        <v>0</v>
      </c>
      <c r="DA61" s="11" t="n">
        <f aca="false">DA25-DA26-DA27</f>
        <v>0</v>
      </c>
      <c r="DB61" s="11" t="n">
        <f aca="false">DB25-DB26-DB27</f>
        <v>0</v>
      </c>
      <c r="DC61" s="11" t="n">
        <f aca="false">DC25-DC26-DC27</f>
        <v>0</v>
      </c>
      <c r="DD61" s="11" t="n">
        <f aca="false">DD25-DD26-DD27</f>
        <v>0</v>
      </c>
      <c r="DE61" s="11" t="n">
        <f aca="false">DE25-DE26-DE27</f>
        <v>0</v>
      </c>
      <c r="DF61" s="11" t="n">
        <f aca="false">DF25-DF26-DF27</f>
        <v>0</v>
      </c>
      <c r="DG61" s="11" t="n">
        <f aca="false">DG25-DG26-DG27</f>
        <v>0</v>
      </c>
      <c r="DH61" s="11" t="n">
        <f aca="false">DH25-DH26-DH27</f>
        <v>0</v>
      </c>
      <c r="DI61" s="11" t="n">
        <f aca="false">DI25-DI26-DI27</f>
        <v>0</v>
      </c>
      <c r="DJ61" s="11" t="n">
        <f aca="false">DJ25-DJ26-DJ27</f>
        <v>0</v>
      </c>
      <c r="DK61" s="11" t="n">
        <f aca="false">DK25-DK26-DK27</f>
        <v>0</v>
      </c>
      <c r="DL61" s="11" t="n">
        <f aca="false">DL25-DL26-DL27</f>
        <v>0</v>
      </c>
      <c r="DM61" s="11" t="n">
        <f aca="false">DM25-DM26-DM27</f>
        <v>0</v>
      </c>
      <c r="DN61" s="11" t="n">
        <f aca="false">DN25-DN26-DN27</f>
        <v>0</v>
      </c>
      <c r="DO61" s="11" t="n">
        <f aca="false">DO25-DO26-DO27</f>
        <v>0</v>
      </c>
      <c r="DP61" s="11" t="n">
        <f aca="false">DP25-DP26-DP27</f>
        <v>0</v>
      </c>
      <c r="DQ61" s="11" t="n">
        <f aca="false">DQ25-DQ26-DQ27</f>
        <v>0</v>
      </c>
      <c r="DR61" s="11" t="n">
        <f aca="false">DR25-DR26-DR27</f>
        <v>0</v>
      </c>
    </row>
    <row r="62" customFormat="false" ht="15" hidden="false" customHeight="false" outlineLevel="0" collapsed="false">
      <c r="A62" s="12" t="s">
        <v>230</v>
      </c>
      <c r="B62" s="13" t="n">
        <f aca="false">B24-B47</f>
        <v>-25</v>
      </c>
      <c r="C62" s="13" t="n">
        <f aca="false">C24-C47</f>
        <v>0</v>
      </c>
      <c r="D62" s="13" t="n">
        <f aca="false">D24-D47</f>
        <v>0</v>
      </c>
      <c r="E62" s="13" t="n">
        <f aca="false">E24-E47</f>
        <v>0</v>
      </c>
      <c r="F62" s="13" t="n">
        <f aca="false">F24-F47</f>
        <v>0</v>
      </c>
      <c r="G62" s="13" t="n">
        <f aca="false">G24-G47</f>
        <v>0</v>
      </c>
      <c r="H62" s="13" t="n">
        <f aca="false">H24-H47</f>
        <v>0</v>
      </c>
      <c r="I62" s="13" t="n">
        <f aca="false">I24-I47</f>
        <v>0</v>
      </c>
      <c r="J62" s="13" t="n">
        <f aca="false">J24-J47</f>
        <v>0</v>
      </c>
      <c r="K62" s="13" t="n">
        <f aca="false">K24-K47</f>
        <v>-24.1</v>
      </c>
      <c r="L62" s="13" t="n">
        <f aca="false">L24-L47</f>
        <v>0.9</v>
      </c>
      <c r="M62" s="13" t="n">
        <f aca="false">M24-M47</f>
        <v>0.9</v>
      </c>
      <c r="N62" s="13" t="n">
        <f aca="false">N24-N47</f>
        <v>1.5</v>
      </c>
      <c r="O62" s="13" t="n">
        <f aca="false">O24-O47</f>
        <v>1.5</v>
      </c>
      <c r="P62" s="13" t="n">
        <f aca="false">P24-P47</f>
        <v>1.5</v>
      </c>
      <c r="Q62" s="13" t="n">
        <f aca="false">Q24-Q47</f>
        <v>2.1</v>
      </c>
      <c r="R62" s="13" t="n">
        <f aca="false">R24-R47</f>
        <v>2.1</v>
      </c>
      <c r="S62" s="13" t="n">
        <f aca="false">S24-S47</f>
        <v>2.1</v>
      </c>
      <c r="T62" s="13" t="n">
        <f aca="false">T24-T47</f>
        <v>2.1</v>
      </c>
      <c r="U62" s="13" t="n">
        <f aca="false">U24-U47</f>
        <v>2.1</v>
      </c>
      <c r="V62" s="13" t="n">
        <f aca="false">V24-V47</f>
        <v>2.1</v>
      </c>
      <c r="W62" s="13" t="n">
        <f aca="false">W24-W47</f>
        <v>2.1</v>
      </c>
      <c r="X62" s="13" t="n">
        <f aca="false">X24-X47</f>
        <v>2.1</v>
      </c>
      <c r="Y62" s="13" t="n">
        <f aca="false">Y24-Y47</f>
        <v>2.1</v>
      </c>
      <c r="Z62" s="13" t="n">
        <f aca="false">Z24-Z47</f>
        <v>2.1</v>
      </c>
      <c r="AA62" s="13" t="n">
        <f aca="false">AA24-AA47</f>
        <v>2.1</v>
      </c>
      <c r="AB62" s="13" t="n">
        <f aca="false">AB24-AB47</f>
        <v>2.1</v>
      </c>
      <c r="AC62" s="13" t="n">
        <f aca="false">AC24-AC47</f>
        <v>2.1</v>
      </c>
      <c r="AD62" s="13" t="n">
        <f aca="false">AD24-AD47</f>
        <v>2.1</v>
      </c>
      <c r="AE62" s="13" t="n">
        <f aca="false">AE24-AE47</f>
        <v>2.1</v>
      </c>
      <c r="AF62" s="13" t="n">
        <f aca="false">AF24-AF47</f>
        <v>2.1</v>
      </c>
      <c r="AG62" s="13" t="n">
        <f aca="false">AG24-AG47</f>
        <v>2.1</v>
      </c>
      <c r="AH62" s="13" t="n">
        <f aca="false">AH24-AH47</f>
        <v>2.1</v>
      </c>
      <c r="AI62" s="13" t="n">
        <f aca="false">AI24-AI47</f>
        <v>2.1</v>
      </c>
      <c r="AJ62" s="13" t="n">
        <f aca="false">AJ24-AJ47</f>
        <v>2.1</v>
      </c>
      <c r="AK62" s="13" t="n">
        <f aca="false">AK24-AK47</f>
        <v>2.1</v>
      </c>
      <c r="AL62" s="13" t="n">
        <f aca="false">AL24-AL47</f>
        <v>2.1</v>
      </c>
      <c r="AM62" s="13" t="n">
        <f aca="false">AM24-AM47</f>
        <v>2.1</v>
      </c>
      <c r="AN62" s="13" t="n">
        <f aca="false">AN24-AN47</f>
        <v>2.1</v>
      </c>
      <c r="AO62" s="13" t="n">
        <f aca="false">AO24-AO47</f>
        <v>2.1</v>
      </c>
      <c r="AP62" s="13" t="n">
        <f aca="false">AP24-AP47</f>
        <v>2.1</v>
      </c>
      <c r="AQ62" s="13" t="n">
        <f aca="false">AQ24-AQ47</f>
        <v>2.1</v>
      </c>
      <c r="AR62" s="13" t="n">
        <f aca="false">AR24-AR47</f>
        <v>2.1</v>
      </c>
      <c r="AS62" s="13" t="n">
        <f aca="false">AS24-AS47</f>
        <v>2.1</v>
      </c>
      <c r="AT62" s="13" t="n">
        <f aca="false">AT24-AT47</f>
        <v>2.1</v>
      </c>
      <c r="AU62" s="13" t="n">
        <f aca="false">AU24-AU47</f>
        <v>2.1</v>
      </c>
      <c r="AV62" s="13" t="n">
        <f aca="false">AV24-AV47</f>
        <v>2.1</v>
      </c>
      <c r="AW62" s="13" t="n">
        <f aca="false">AW24-AW47</f>
        <v>2.1</v>
      </c>
      <c r="AX62" s="13" t="n">
        <f aca="false">AX24-AX47</f>
        <v>2.1</v>
      </c>
      <c r="AY62" s="13" t="n">
        <f aca="false">AY24-AY47</f>
        <v>2.1</v>
      </c>
      <c r="AZ62" s="13" t="n">
        <f aca="false">AZ24-AZ47</f>
        <v>2.1</v>
      </c>
      <c r="BA62" s="13" t="n">
        <f aca="false">BA24-BA47</f>
        <v>2.1</v>
      </c>
      <c r="BB62" s="13" t="n">
        <f aca="false">BB24-BB47</f>
        <v>2.1</v>
      </c>
      <c r="BC62" s="13" t="n">
        <f aca="false">BC24-BC47</f>
        <v>2.1</v>
      </c>
      <c r="BD62" s="13" t="n">
        <f aca="false">BD24-BD47</f>
        <v>2.1</v>
      </c>
      <c r="BE62" s="13" t="n">
        <f aca="false">BE24-BE47</f>
        <v>2.1</v>
      </c>
      <c r="BF62" s="13" t="n">
        <f aca="false">BF24-BF47</f>
        <v>2.1</v>
      </c>
      <c r="BG62" s="13" t="n">
        <f aca="false">BG24-BG47</f>
        <v>2.1</v>
      </c>
      <c r="BH62" s="13" t="n">
        <f aca="false">BH24-BH47</f>
        <v>2.1</v>
      </c>
      <c r="BI62" s="13" t="n">
        <f aca="false">BI24-BI47</f>
        <v>2.1</v>
      </c>
      <c r="BJ62" s="13" t="n">
        <f aca="false">BJ24-BJ47</f>
        <v>2.1</v>
      </c>
      <c r="BK62" s="13" t="n">
        <f aca="false">BK24-BK47</f>
        <v>2.1</v>
      </c>
      <c r="BL62" s="13" t="n">
        <f aca="false">BL24-BL47</f>
        <v>2.1</v>
      </c>
      <c r="BM62" s="13" t="n">
        <f aca="false">BM24-BM47</f>
        <v>2.1</v>
      </c>
      <c r="BN62" s="13" t="n">
        <f aca="false">BN24-BN47</f>
        <v>2.1</v>
      </c>
      <c r="BO62" s="13" t="n">
        <f aca="false">BO24-BO47</f>
        <v>2.1</v>
      </c>
      <c r="BP62" s="13" t="n">
        <f aca="false">BP24-BP47</f>
        <v>2.1</v>
      </c>
      <c r="BQ62" s="13" t="n">
        <f aca="false">BQ24-BQ47</f>
        <v>2.1</v>
      </c>
      <c r="BR62" s="13" t="n">
        <f aca="false">BR24-BR47</f>
        <v>2.1</v>
      </c>
      <c r="BS62" s="13" t="n">
        <f aca="false">BS24-BS47</f>
        <v>2.1</v>
      </c>
      <c r="BT62" s="13" t="n">
        <f aca="false">BT24-BT47</f>
        <v>2.1</v>
      </c>
      <c r="BU62" s="13" t="n">
        <f aca="false">BU24-BU47</f>
        <v>2.1</v>
      </c>
      <c r="BV62" s="13" t="n">
        <f aca="false">BV24-BV47</f>
        <v>2.1</v>
      </c>
      <c r="BW62" s="13" t="n">
        <f aca="false">BW24-BW47</f>
        <v>2.1</v>
      </c>
      <c r="BX62" s="13" t="n">
        <f aca="false">BX24-BX47</f>
        <v>2.1</v>
      </c>
      <c r="BY62" s="13" t="n">
        <f aca="false">BY24-BY47</f>
        <v>2.1</v>
      </c>
      <c r="BZ62" s="13" t="n">
        <f aca="false">BZ24-BZ47</f>
        <v>2.1</v>
      </c>
      <c r="CA62" s="13" t="n">
        <f aca="false">CA24-CA47</f>
        <v>2.1</v>
      </c>
      <c r="CB62" s="13" t="n">
        <f aca="false">CB24-CB47</f>
        <v>2.1</v>
      </c>
      <c r="CC62" s="13" t="n">
        <f aca="false">CC24-CC47</f>
        <v>2.1</v>
      </c>
      <c r="CD62" s="13" t="n">
        <f aca="false">CD24-CD47</f>
        <v>2.1</v>
      </c>
      <c r="CE62" s="13" t="n">
        <f aca="false">CE24-CE47</f>
        <v>2.1</v>
      </c>
      <c r="CF62" s="13" t="n">
        <f aca="false">CF24-CF47</f>
        <v>2.1</v>
      </c>
      <c r="CG62" s="13" t="n">
        <f aca="false">CG24-CG47</f>
        <v>2.1</v>
      </c>
      <c r="CH62" s="13" t="n">
        <f aca="false">CH24-CH47</f>
        <v>2.1</v>
      </c>
      <c r="CI62" s="13" t="n">
        <f aca="false">CI24-CI47</f>
        <v>2.1</v>
      </c>
      <c r="CJ62" s="13" t="n">
        <f aca="false">CJ24-CJ47</f>
        <v>2.1</v>
      </c>
      <c r="CK62" s="13" t="n">
        <f aca="false">CK24-CK47</f>
        <v>2.1</v>
      </c>
      <c r="CL62" s="13" t="n">
        <f aca="false">CL24-CL47</f>
        <v>2.1</v>
      </c>
      <c r="CM62" s="13" t="n">
        <f aca="false">CM24-CM47</f>
        <v>2.1</v>
      </c>
      <c r="CN62" s="13" t="n">
        <f aca="false">CN24-CN47</f>
        <v>2.1</v>
      </c>
      <c r="CO62" s="13" t="n">
        <f aca="false">CO24-CO47</f>
        <v>2.1</v>
      </c>
      <c r="CP62" s="13" t="n">
        <f aca="false">CP24-CP47</f>
        <v>2.1</v>
      </c>
      <c r="CQ62" s="13" t="n">
        <f aca="false">CQ24-CQ47</f>
        <v>2.1</v>
      </c>
      <c r="CR62" s="13" t="n">
        <f aca="false">CR24-CR47</f>
        <v>2.1</v>
      </c>
      <c r="CS62" s="13" t="n">
        <f aca="false">CS24-CS47</f>
        <v>2.1</v>
      </c>
      <c r="CT62" s="13" t="n">
        <f aca="false">CT24-CT47</f>
        <v>2.1</v>
      </c>
      <c r="CU62" s="13" t="n">
        <f aca="false">CU24-CU47</f>
        <v>2.1</v>
      </c>
      <c r="CV62" s="13" t="n">
        <f aca="false">CV24-CV47</f>
        <v>2.1</v>
      </c>
      <c r="CW62" s="13" t="n">
        <f aca="false">CW24-CW47</f>
        <v>2.1</v>
      </c>
      <c r="CX62" s="13" t="n">
        <f aca="false">CX24-CX47</f>
        <v>2.1</v>
      </c>
      <c r="CY62" s="13" t="n">
        <f aca="false">CY24-CY47</f>
        <v>2.1</v>
      </c>
      <c r="CZ62" s="13" t="n">
        <f aca="false">CZ24-CZ47</f>
        <v>2.1</v>
      </c>
      <c r="DA62" s="13" t="n">
        <f aca="false">DA24-DA47</f>
        <v>2.1</v>
      </c>
      <c r="DB62" s="13" t="n">
        <f aca="false">DB24-DB47</f>
        <v>2.1</v>
      </c>
      <c r="DC62" s="13" t="n">
        <f aca="false">DC24-DC47</f>
        <v>2.1</v>
      </c>
      <c r="DD62" s="13" t="n">
        <f aca="false">DD24-DD47</f>
        <v>2.1</v>
      </c>
      <c r="DE62" s="13" t="n">
        <f aca="false">DE24-DE47</f>
        <v>2.1</v>
      </c>
      <c r="DF62" s="13" t="n">
        <f aca="false">DF24-DF47</f>
        <v>2.1</v>
      </c>
      <c r="DG62" s="13" t="n">
        <f aca="false">DG24-DG47</f>
        <v>2.1</v>
      </c>
      <c r="DH62" s="13" t="n">
        <f aca="false">DH24-DH47</f>
        <v>2.1</v>
      </c>
      <c r="DI62" s="13" t="n">
        <f aca="false">DI24-DI47</f>
        <v>2.1</v>
      </c>
      <c r="DJ62" s="13" t="n">
        <f aca="false">DJ24-DJ47</f>
        <v>2.1</v>
      </c>
      <c r="DK62" s="13" t="n">
        <f aca="false">DK24-DK47</f>
        <v>2.1</v>
      </c>
      <c r="DL62" s="13" t="n">
        <f aca="false">DL24-DL47</f>
        <v>2.1</v>
      </c>
      <c r="DM62" s="13" t="n">
        <f aca="false">DM24-DM47</f>
        <v>2.1</v>
      </c>
      <c r="DN62" s="13" t="n">
        <f aca="false">DN24-DN47</f>
        <v>2.1</v>
      </c>
      <c r="DO62" s="13" t="n">
        <f aca="false">DO24-DO47</f>
        <v>2.1</v>
      </c>
      <c r="DP62" s="13" t="n">
        <f aca="false">DP24-DP47</f>
        <v>2.1</v>
      </c>
      <c r="DQ62" s="13" t="n">
        <f aca="false">DQ24-DQ47</f>
        <v>2.1</v>
      </c>
      <c r="DR62" s="13" t="n">
        <f aca="false">DR24-DR47</f>
        <v>2.1</v>
      </c>
    </row>
    <row r="63" customFormat="false" ht="15" hidden="false" customHeight="false" outlineLevel="0" collapsed="false">
      <c r="A63" s="9" t="s">
        <v>231</v>
      </c>
      <c r="B63" s="11" t="n">
        <f aca="false">SUM($B62:B62)</f>
        <v>-25</v>
      </c>
      <c r="C63" s="11" t="n">
        <f aca="false">SUM($B62:C62)</f>
        <v>-25</v>
      </c>
      <c r="D63" s="11" t="n">
        <f aca="false">SUM($B62:D62)</f>
        <v>-25</v>
      </c>
      <c r="E63" s="11" t="n">
        <f aca="false">SUM($B62:E62)</f>
        <v>-25</v>
      </c>
      <c r="F63" s="11" t="n">
        <f aca="false">SUM($B62:F62)</f>
        <v>-25</v>
      </c>
      <c r="G63" s="11" t="n">
        <f aca="false">SUM($B62:G62)</f>
        <v>-25</v>
      </c>
      <c r="H63" s="11" t="n">
        <f aca="false">SUM($B62:H62)</f>
        <v>-25</v>
      </c>
      <c r="I63" s="11" t="n">
        <f aca="false">SUM($B62:I62)</f>
        <v>-25</v>
      </c>
      <c r="J63" s="11" t="n">
        <f aca="false">SUM($B62:J62)</f>
        <v>-25</v>
      </c>
      <c r="K63" s="11" t="n">
        <f aca="false">SUM($B62:K62)</f>
        <v>-49.1</v>
      </c>
      <c r="L63" s="11" t="n">
        <f aca="false">SUM($B62:L62)</f>
        <v>-48.2</v>
      </c>
      <c r="M63" s="11" t="n">
        <f aca="false">SUM($B62:M62)</f>
        <v>-47.3</v>
      </c>
      <c r="N63" s="11" t="n">
        <f aca="false">SUM($B62:N62)</f>
        <v>-45.8</v>
      </c>
      <c r="O63" s="11" t="n">
        <f aca="false">SUM($B62:O62)</f>
        <v>-44.3</v>
      </c>
      <c r="P63" s="11" t="n">
        <f aca="false">SUM($B62:P62)</f>
        <v>-42.8</v>
      </c>
      <c r="Q63" s="11" t="n">
        <f aca="false">SUM($B62:Q62)</f>
        <v>-40.7</v>
      </c>
      <c r="R63" s="11" t="n">
        <f aca="false">SUM($B62:R62)</f>
        <v>-38.6</v>
      </c>
      <c r="S63" s="11" t="n">
        <f aca="false">SUM($B62:S62)</f>
        <v>-36.5</v>
      </c>
      <c r="T63" s="11" t="n">
        <f aca="false">SUM($B62:T62)</f>
        <v>-34.4</v>
      </c>
      <c r="U63" s="11" t="n">
        <f aca="false">SUM($B62:U62)</f>
        <v>-32.3</v>
      </c>
      <c r="V63" s="11" t="n">
        <f aca="false">SUM($B62:V62)</f>
        <v>-30.2</v>
      </c>
      <c r="W63" s="11" t="n">
        <f aca="false">SUM($B62:W62)</f>
        <v>-28.1</v>
      </c>
      <c r="X63" s="11" t="n">
        <f aca="false">SUM($B62:X62)</f>
        <v>-26</v>
      </c>
      <c r="Y63" s="11" t="n">
        <f aca="false">SUM($B62:Y62)</f>
        <v>-23.9</v>
      </c>
      <c r="Z63" s="11" t="n">
        <f aca="false">SUM($B62:Z62)</f>
        <v>-21.8</v>
      </c>
      <c r="AA63" s="11" t="n">
        <f aca="false">SUM($B62:AA62)</f>
        <v>-19.7</v>
      </c>
      <c r="AB63" s="11" t="n">
        <f aca="false">SUM($B62:AB62)</f>
        <v>-17.6</v>
      </c>
      <c r="AC63" s="11" t="n">
        <f aca="false">SUM($B62:AC62)</f>
        <v>-15.5</v>
      </c>
      <c r="AD63" s="11" t="n">
        <f aca="false">SUM($B62:AD62)</f>
        <v>-13.4</v>
      </c>
      <c r="AE63" s="11" t="n">
        <f aca="false">SUM($B62:AE62)</f>
        <v>-11.3</v>
      </c>
      <c r="AF63" s="11" t="n">
        <f aca="false">SUM($B62:AF62)</f>
        <v>-9.2</v>
      </c>
      <c r="AG63" s="11" t="n">
        <f aca="false">SUM($B62:AG62)</f>
        <v>-7.1</v>
      </c>
      <c r="AH63" s="11" t="n">
        <f aca="false">SUM($B62:AH62)</f>
        <v>-5</v>
      </c>
      <c r="AI63" s="11" t="n">
        <f aca="false">SUM($B62:AI62)</f>
        <v>-2.9</v>
      </c>
      <c r="AJ63" s="11" t="n">
        <f aca="false">SUM($B62:AJ62)</f>
        <v>-0.8</v>
      </c>
      <c r="AK63" s="11" t="n">
        <f aca="false">SUM($B62:AK62)</f>
        <v>1.3</v>
      </c>
      <c r="AL63" s="11" t="n">
        <f aca="false">SUM($B62:AL62)</f>
        <v>3.4</v>
      </c>
      <c r="AM63" s="11" t="n">
        <f aca="false">SUM($B62:AM62)</f>
        <v>5.5</v>
      </c>
      <c r="AN63" s="11" t="n">
        <f aca="false">SUM($B62:AN62)</f>
        <v>7.6</v>
      </c>
      <c r="AO63" s="11" t="n">
        <f aca="false">SUM($B62:AO62)</f>
        <v>9.7</v>
      </c>
      <c r="AP63" s="11" t="n">
        <f aca="false">SUM($B62:AP62)</f>
        <v>11.8</v>
      </c>
      <c r="AQ63" s="11" t="n">
        <f aca="false">SUM($B62:AQ62)</f>
        <v>13.9</v>
      </c>
      <c r="AR63" s="11" t="n">
        <f aca="false">SUM($B62:AR62)</f>
        <v>16</v>
      </c>
      <c r="AS63" s="11" t="n">
        <f aca="false">SUM($B62:AS62)</f>
        <v>18.1</v>
      </c>
      <c r="AT63" s="11" t="n">
        <f aca="false">SUM($B62:AT62)</f>
        <v>20.2</v>
      </c>
      <c r="AU63" s="11" t="n">
        <f aca="false">SUM($B62:AU62)</f>
        <v>22.3</v>
      </c>
      <c r="AV63" s="11" t="n">
        <f aca="false">SUM($B62:AV62)</f>
        <v>24.4</v>
      </c>
      <c r="AW63" s="11" t="n">
        <f aca="false">SUM($B62:AW62)</f>
        <v>26.5</v>
      </c>
      <c r="AX63" s="11" t="n">
        <f aca="false">SUM($B62:AX62)</f>
        <v>28.6</v>
      </c>
      <c r="AY63" s="11" t="n">
        <f aca="false">SUM($B62:AY62)</f>
        <v>30.7</v>
      </c>
      <c r="AZ63" s="11" t="n">
        <f aca="false">SUM($B62:AZ62)</f>
        <v>32.8</v>
      </c>
      <c r="BA63" s="11" t="n">
        <f aca="false">SUM($B62:BA62)</f>
        <v>34.9</v>
      </c>
      <c r="BB63" s="11" t="n">
        <f aca="false">SUM($B62:BB62)</f>
        <v>37</v>
      </c>
      <c r="BC63" s="11" t="n">
        <f aca="false">SUM($B62:BC62)</f>
        <v>39.1</v>
      </c>
      <c r="BD63" s="11" t="n">
        <f aca="false">SUM($B62:BD62)</f>
        <v>41.2</v>
      </c>
      <c r="BE63" s="11" t="n">
        <f aca="false">SUM($B62:BE62)</f>
        <v>43.3</v>
      </c>
      <c r="BF63" s="11" t="n">
        <f aca="false">SUM($B62:BF62)</f>
        <v>45.4</v>
      </c>
      <c r="BG63" s="11" t="n">
        <f aca="false">SUM($B62:BG62)</f>
        <v>47.5</v>
      </c>
      <c r="BH63" s="11" t="n">
        <f aca="false">SUM($B62:BH62)</f>
        <v>49.6</v>
      </c>
      <c r="BI63" s="11" t="n">
        <f aca="false">SUM($B62:BI62)</f>
        <v>51.7</v>
      </c>
      <c r="BJ63" s="11" t="n">
        <f aca="false">SUM($B62:BJ62)</f>
        <v>53.8</v>
      </c>
      <c r="BK63" s="11" t="n">
        <f aca="false">SUM($B62:BK62)</f>
        <v>55.9</v>
      </c>
      <c r="BL63" s="11" t="n">
        <f aca="false">SUM($B62:BL62)</f>
        <v>58</v>
      </c>
      <c r="BM63" s="11" t="n">
        <f aca="false">SUM($B62:BM62)</f>
        <v>60.1</v>
      </c>
      <c r="BN63" s="11" t="n">
        <f aca="false">SUM($B62:BN62)</f>
        <v>62.2</v>
      </c>
      <c r="BO63" s="11" t="n">
        <f aca="false">SUM($B62:BO62)</f>
        <v>64.3</v>
      </c>
      <c r="BP63" s="11" t="n">
        <f aca="false">SUM($B62:BP62)</f>
        <v>66.4</v>
      </c>
      <c r="BQ63" s="11" t="n">
        <f aca="false">SUM($B62:BQ62)</f>
        <v>68.5</v>
      </c>
      <c r="BR63" s="11" t="n">
        <f aca="false">SUM($B62:BR62)</f>
        <v>70.6</v>
      </c>
      <c r="BS63" s="11" t="n">
        <f aca="false">SUM($B62:BS62)</f>
        <v>72.7</v>
      </c>
      <c r="BT63" s="11" t="n">
        <f aca="false">SUM($B62:BT62)</f>
        <v>74.8</v>
      </c>
      <c r="BU63" s="11" t="n">
        <f aca="false">SUM($B62:BU62)</f>
        <v>76.9</v>
      </c>
      <c r="BV63" s="11" t="n">
        <f aca="false">SUM($B62:BV62)</f>
        <v>79</v>
      </c>
      <c r="BW63" s="11" t="n">
        <f aca="false">SUM($B62:BW62)</f>
        <v>81.1</v>
      </c>
      <c r="BX63" s="11" t="n">
        <f aca="false">SUM($B62:BX62)</f>
        <v>83.2</v>
      </c>
      <c r="BY63" s="11" t="n">
        <f aca="false">SUM($B62:BY62)</f>
        <v>85.3</v>
      </c>
      <c r="BZ63" s="11" t="n">
        <f aca="false">SUM($B62:BZ62)</f>
        <v>87.4</v>
      </c>
      <c r="CA63" s="11" t="n">
        <f aca="false">SUM($B62:CA62)</f>
        <v>89.5</v>
      </c>
      <c r="CB63" s="11" t="n">
        <f aca="false">SUM($B62:CB62)</f>
        <v>91.6</v>
      </c>
      <c r="CC63" s="11" t="n">
        <f aca="false">SUM($B62:CC62)</f>
        <v>93.7</v>
      </c>
      <c r="CD63" s="11" t="n">
        <f aca="false">SUM($B62:CD62)</f>
        <v>95.8</v>
      </c>
      <c r="CE63" s="11" t="n">
        <f aca="false">SUM($B62:CE62)</f>
        <v>97.9</v>
      </c>
      <c r="CF63" s="11" t="n">
        <f aca="false">SUM($B62:CF62)</f>
        <v>100</v>
      </c>
      <c r="CG63" s="11" t="n">
        <f aca="false">SUM($B62:CG62)</f>
        <v>102.1</v>
      </c>
      <c r="CH63" s="11" t="n">
        <f aca="false">SUM($B62:CH62)</f>
        <v>104.2</v>
      </c>
      <c r="CI63" s="11" t="n">
        <f aca="false">SUM($B62:CI62)</f>
        <v>106.3</v>
      </c>
      <c r="CJ63" s="11" t="n">
        <f aca="false">SUM($B62:CJ62)</f>
        <v>108.4</v>
      </c>
      <c r="CK63" s="11" t="n">
        <f aca="false">SUM($B62:CK62)</f>
        <v>110.5</v>
      </c>
      <c r="CL63" s="11" t="n">
        <f aca="false">SUM($B62:CL62)</f>
        <v>112.6</v>
      </c>
      <c r="CM63" s="11" t="n">
        <f aca="false">SUM($B62:CM62)</f>
        <v>114.7</v>
      </c>
      <c r="CN63" s="11" t="n">
        <f aca="false">SUM($B62:CN62)</f>
        <v>116.8</v>
      </c>
      <c r="CO63" s="11" t="n">
        <f aca="false">SUM($B62:CO62)</f>
        <v>118.9</v>
      </c>
      <c r="CP63" s="11" t="n">
        <f aca="false">SUM($B62:CP62)</f>
        <v>121</v>
      </c>
      <c r="CQ63" s="11" t="n">
        <f aca="false">SUM($B62:CQ62)</f>
        <v>123.1</v>
      </c>
      <c r="CR63" s="11" t="n">
        <f aca="false">SUM($B62:CR62)</f>
        <v>125.2</v>
      </c>
      <c r="CS63" s="11" t="n">
        <f aca="false">SUM($B62:CS62)</f>
        <v>127.3</v>
      </c>
      <c r="CT63" s="11" t="n">
        <f aca="false">SUM($B62:CT62)</f>
        <v>129.4</v>
      </c>
      <c r="CU63" s="11" t="n">
        <f aca="false">SUM($B62:CU62)</f>
        <v>131.5</v>
      </c>
      <c r="CV63" s="11" t="n">
        <f aca="false">SUM($B62:CV62)</f>
        <v>133.6</v>
      </c>
      <c r="CW63" s="11" t="n">
        <f aca="false">SUM($B62:CW62)</f>
        <v>135.7</v>
      </c>
      <c r="CX63" s="11" t="n">
        <f aca="false">SUM($B62:CX62)</f>
        <v>137.8</v>
      </c>
      <c r="CY63" s="11" t="n">
        <f aca="false">SUM($B62:CY62)</f>
        <v>139.9</v>
      </c>
      <c r="CZ63" s="11" t="n">
        <f aca="false">SUM($B62:CZ62)</f>
        <v>142</v>
      </c>
      <c r="DA63" s="11" t="n">
        <f aca="false">SUM($B62:DA62)</f>
        <v>144.1</v>
      </c>
      <c r="DB63" s="11" t="n">
        <f aca="false">SUM($B62:DB62)</f>
        <v>146.2</v>
      </c>
      <c r="DC63" s="11" t="n">
        <f aca="false">SUM($B62:DC62)</f>
        <v>148.3</v>
      </c>
      <c r="DD63" s="11" t="n">
        <f aca="false">SUM($B62:DD62)</f>
        <v>150.4</v>
      </c>
      <c r="DE63" s="11" t="n">
        <f aca="false">SUM($B62:DE62)</f>
        <v>152.5</v>
      </c>
      <c r="DF63" s="11" t="n">
        <f aca="false">SUM($B62:DF62)</f>
        <v>154.6</v>
      </c>
      <c r="DG63" s="11" t="n">
        <f aca="false">SUM($B62:DG62)</f>
        <v>156.7</v>
      </c>
      <c r="DH63" s="11" t="n">
        <f aca="false">SUM($B62:DH62)</f>
        <v>158.8</v>
      </c>
      <c r="DI63" s="11" t="n">
        <f aca="false">SUM($B62:DI62)</f>
        <v>160.9</v>
      </c>
      <c r="DJ63" s="11" t="n">
        <f aca="false">SUM($B62:DJ62)</f>
        <v>163</v>
      </c>
      <c r="DK63" s="11" t="n">
        <f aca="false">SUM($B62:DK62)</f>
        <v>165.1</v>
      </c>
      <c r="DL63" s="11" t="n">
        <f aca="false">SUM($B62:DL62)</f>
        <v>167.2</v>
      </c>
      <c r="DM63" s="11" t="n">
        <f aca="false">SUM($B62:DM62)</f>
        <v>169.3</v>
      </c>
      <c r="DN63" s="11" t="n">
        <f aca="false">SUM($B62:DN62)</f>
        <v>171.4</v>
      </c>
      <c r="DO63" s="11" t="n">
        <f aca="false">SUM($B62:DO62)</f>
        <v>173.5</v>
      </c>
      <c r="DP63" s="11" t="n">
        <f aca="false">SUM($B62:DP62)</f>
        <v>175.6</v>
      </c>
      <c r="DQ63" s="11" t="n">
        <f aca="false">SUM($B62:DQ62)</f>
        <v>177.7</v>
      </c>
      <c r="DR63" s="11" t="n">
        <f aca="false">SUM($B62:DR62)</f>
        <v>179.8</v>
      </c>
    </row>
    <row r="64" customFormat="false" ht="15" hidden="false" customHeight="false" outlineLevel="0" collapsed="false">
      <c r="A64" s="9" t="s">
        <v>232</v>
      </c>
      <c r="B64" s="11" t="n">
        <f aca="false">SUM($B24:B24)</f>
        <v>0</v>
      </c>
      <c r="C64" s="11" t="n">
        <f aca="false">SUM($B24:C24)</f>
        <v>0</v>
      </c>
      <c r="D64" s="11" t="n">
        <f aca="false">SUM($B24:D24)</f>
        <v>0</v>
      </c>
      <c r="E64" s="11" t="n">
        <f aca="false">SUM($B24:E24)</f>
        <v>0</v>
      </c>
      <c r="F64" s="11" t="n">
        <f aca="false">SUM($B24:F24)</f>
        <v>0</v>
      </c>
      <c r="G64" s="11" t="n">
        <f aca="false">SUM($B24:G24)</f>
        <v>0</v>
      </c>
      <c r="H64" s="11" t="n">
        <f aca="false">SUM($B24:H24)</f>
        <v>0</v>
      </c>
      <c r="I64" s="11" t="n">
        <f aca="false">SUM($B24:I24)</f>
        <v>0</v>
      </c>
      <c r="J64" s="11" t="n">
        <f aca="false">SUM($B24:J24)</f>
        <v>0</v>
      </c>
      <c r="K64" s="11" t="n">
        <f aca="false">SUM($B24:K24)</f>
        <v>0.9</v>
      </c>
      <c r="L64" s="11" t="n">
        <f aca="false">SUM($B24:L24)</f>
        <v>1.8</v>
      </c>
      <c r="M64" s="11" t="n">
        <f aca="false">SUM($B24:M24)</f>
        <v>2.7</v>
      </c>
      <c r="N64" s="11" t="n">
        <f aca="false">SUM($B24:N24)</f>
        <v>4.2</v>
      </c>
      <c r="O64" s="11" t="n">
        <f aca="false">SUM($B24:O24)</f>
        <v>5.7</v>
      </c>
      <c r="P64" s="11" t="n">
        <f aca="false">SUM($B24:P24)</f>
        <v>7.2</v>
      </c>
      <c r="Q64" s="11" t="n">
        <f aca="false">SUM($B24:Q24)</f>
        <v>9.3</v>
      </c>
      <c r="R64" s="11" t="n">
        <f aca="false">SUM($B24:R24)</f>
        <v>11.4</v>
      </c>
      <c r="S64" s="11" t="n">
        <f aca="false">SUM($B24:S24)</f>
        <v>13.5</v>
      </c>
      <c r="T64" s="11" t="n">
        <f aca="false">SUM($B24:T24)</f>
        <v>15.6</v>
      </c>
      <c r="U64" s="11" t="n">
        <f aca="false">SUM($B24:U24)</f>
        <v>17.7</v>
      </c>
      <c r="V64" s="11" t="n">
        <f aca="false">SUM($B24:V24)</f>
        <v>19.8</v>
      </c>
      <c r="W64" s="11" t="n">
        <f aca="false">SUM($B24:W24)</f>
        <v>21.9</v>
      </c>
      <c r="X64" s="11" t="n">
        <f aca="false">SUM($B24:X24)</f>
        <v>24</v>
      </c>
      <c r="Y64" s="11" t="n">
        <f aca="false">SUM($B24:Y24)</f>
        <v>26.1</v>
      </c>
      <c r="Z64" s="11" t="n">
        <f aca="false">SUM($B24:Z24)</f>
        <v>28.2</v>
      </c>
      <c r="AA64" s="11" t="n">
        <f aca="false">SUM($B24:AA24)</f>
        <v>30.3</v>
      </c>
      <c r="AB64" s="11" t="n">
        <f aca="false">SUM($B24:AB24)</f>
        <v>32.4</v>
      </c>
      <c r="AC64" s="11" t="n">
        <f aca="false">SUM($B24:AC24)</f>
        <v>34.5</v>
      </c>
      <c r="AD64" s="11" t="n">
        <f aca="false">SUM($B24:AD24)</f>
        <v>36.6</v>
      </c>
      <c r="AE64" s="11" t="n">
        <f aca="false">SUM($B24:AE24)</f>
        <v>38.7</v>
      </c>
      <c r="AF64" s="11" t="n">
        <f aca="false">SUM($B24:AF24)</f>
        <v>40.8</v>
      </c>
      <c r="AG64" s="11" t="n">
        <f aca="false">SUM($B24:AG24)</f>
        <v>42.9</v>
      </c>
      <c r="AH64" s="11" t="n">
        <f aca="false">SUM($B24:AH24)</f>
        <v>45</v>
      </c>
      <c r="AI64" s="11" t="n">
        <f aca="false">SUM($B24:AI24)</f>
        <v>47.1</v>
      </c>
      <c r="AJ64" s="11" t="n">
        <f aca="false">SUM($B24:AJ24)</f>
        <v>49.2</v>
      </c>
      <c r="AK64" s="11" t="n">
        <f aca="false">SUM($B24:AK24)</f>
        <v>51.3</v>
      </c>
      <c r="AL64" s="11" t="n">
        <f aca="false">SUM($B24:AL24)</f>
        <v>53.4</v>
      </c>
      <c r="AM64" s="11" t="n">
        <f aca="false">SUM($B24:AM24)</f>
        <v>55.5</v>
      </c>
      <c r="AN64" s="11" t="n">
        <f aca="false">SUM($B24:AN24)</f>
        <v>57.6</v>
      </c>
      <c r="AO64" s="11" t="n">
        <f aca="false">SUM($B24:AO24)</f>
        <v>59.7</v>
      </c>
      <c r="AP64" s="11" t="n">
        <f aca="false">SUM($B24:AP24)</f>
        <v>61.8</v>
      </c>
      <c r="AQ64" s="11" t="n">
        <f aca="false">SUM($B24:AQ24)</f>
        <v>63.9</v>
      </c>
      <c r="AR64" s="11" t="n">
        <f aca="false">SUM($B24:AR24)</f>
        <v>66</v>
      </c>
      <c r="AS64" s="11" t="n">
        <f aca="false">SUM($B24:AS24)</f>
        <v>68.1</v>
      </c>
      <c r="AT64" s="11" t="n">
        <f aca="false">SUM($B24:AT24)</f>
        <v>70.2</v>
      </c>
      <c r="AU64" s="11" t="n">
        <f aca="false">SUM($B24:AU24)</f>
        <v>72.3</v>
      </c>
      <c r="AV64" s="11" t="n">
        <f aca="false">SUM($B24:AV24)</f>
        <v>74.4</v>
      </c>
      <c r="AW64" s="11" t="n">
        <f aca="false">SUM($B24:AW24)</f>
        <v>76.5</v>
      </c>
      <c r="AX64" s="11" t="n">
        <f aca="false">SUM($B24:AX24)</f>
        <v>78.6</v>
      </c>
      <c r="AY64" s="11" t="n">
        <f aca="false">SUM($B24:AY24)</f>
        <v>80.7</v>
      </c>
      <c r="AZ64" s="11" t="n">
        <f aca="false">SUM($B24:AZ24)</f>
        <v>82.8</v>
      </c>
      <c r="BA64" s="11" t="n">
        <f aca="false">SUM($B24:BA24)</f>
        <v>84.9</v>
      </c>
      <c r="BB64" s="11" t="n">
        <f aca="false">SUM($B24:BB24)</f>
        <v>87</v>
      </c>
      <c r="BC64" s="11" t="n">
        <f aca="false">SUM($B24:BC24)</f>
        <v>89.1</v>
      </c>
      <c r="BD64" s="11" t="n">
        <f aca="false">SUM($B24:BD24)</f>
        <v>91.2</v>
      </c>
      <c r="BE64" s="11" t="n">
        <f aca="false">SUM($B24:BE24)</f>
        <v>93.3</v>
      </c>
      <c r="BF64" s="11" t="n">
        <f aca="false">SUM($B24:BF24)</f>
        <v>95.4</v>
      </c>
      <c r="BG64" s="11" t="n">
        <f aca="false">SUM($B24:BG24)</f>
        <v>97.5</v>
      </c>
      <c r="BH64" s="11" t="n">
        <f aca="false">SUM($B24:BH24)</f>
        <v>99.6</v>
      </c>
      <c r="BI64" s="11" t="n">
        <f aca="false">SUM($B24:BI24)</f>
        <v>101.7</v>
      </c>
      <c r="BJ64" s="11" t="n">
        <f aca="false">SUM($B24:BJ24)</f>
        <v>103.8</v>
      </c>
      <c r="BK64" s="11" t="n">
        <f aca="false">SUM($B24:BK24)</f>
        <v>105.9</v>
      </c>
      <c r="BL64" s="11" t="n">
        <f aca="false">SUM($B24:BL24)</f>
        <v>108</v>
      </c>
      <c r="BM64" s="11" t="n">
        <f aca="false">SUM($B24:BM24)</f>
        <v>110.1</v>
      </c>
      <c r="BN64" s="11" t="n">
        <f aca="false">SUM($B24:BN24)</f>
        <v>112.2</v>
      </c>
      <c r="BO64" s="11" t="n">
        <f aca="false">SUM($B24:BO24)</f>
        <v>114.3</v>
      </c>
      <c r="BP64" s="11" t="n">
        <f aca="false">SUM($B24:BP24)</f>
        <v>116.4</v>
      </c>
      <c r="BQ64" s="11" t="n">
        <f aca="false">SUM($B24:BQ24)</f>
        <v>118.5</v>
      </c>
      <c r="BR64" s="11" t="n">
        <f aca="false">SUM($B24:BR24)</f>
        <v>120.6</v>
      </c>
      <c r="BS64" s="11" t="n">
        <f aca="false">SUM($B24:BS24)</f>
        <v>122.7</v>
      </c>
      <c r="BT64" s="11" t="n">
        <f aca="false">SUM($B24:BT24)</f>
        <v>124.8</v>
      </c>
      <c r="BU64" s="11" t="n">
        <f aca="false">SUM($B24:BU24)</f>
        <v>126.9</v>
      </c>
      <c r="BV64" s="11" t="n">
        <f aca="false">SUM($B24:BV24)</f>
        <v>129</v>
      </c>
      <c r="BW64" s="11" t="n">
        <f aca="false">SUM($B24:BW24)</f>
        <v>131.1</v>
      </c>
      <c r="BX64" s="11" t="n">
        <f aca="false">SUM($B24:BX24)</f>
        <v>133.2</v>
      </c>
      <c r="BY64" s="11" t="n">
        <f aca="false">SUM($B24:BY24)</f>
        <v>135.3</v>
      </c>
      <c r="BZ64" s="11" t="n">
        <f aca="false">SUM($B24:BZ24)</f>
        <v>137.4</v>
      </c>
      <c r="CA64" s="11" t="n">
        <f aca="false">SUM($B24:CA24)</f>
        <v>139.5</v>
      </c>
      <c r="CB64" s="11" t="n">
        <f aca="false">SUM($B24:CB24)</f>
        <v>141.6</v>
      </c>
      <c r="CC64" s="11" t="n">
        <f aca="false">SUM($B24:CC24)</f>
        <v>143.7</v>
      </c>
      <c r="CD64" s="11" t="n">
        <f aca="false">SUM($B24:CD24)</f>
        <v>145.8</v>
      </c>
      <c r="CE64" s="11" t="n">
        <f aca="false">SUM($B24:CE24)</f>
        <v>147.9</v>
      </c>
      <c r="CF64" s="11" t="n">
        <f aca="false">SUM($B24:CF24)</f>
        <v>150</v>
      </c>
      <c r="CG64" s="11" t="n">
        <f aca="false">SUM($B24:CG24)</f>
        <v>152.1</v>
      </c>
      <c r="CH64" s="11" t="n">
        <f aca="false">SUM($B24:CH24)</f>
        <v>154.2</v>
      </c>
      <c r="CI64" s="11" t="n">
        <f aca="false">SUM($B24:CI24)</f>
        <v>156.3</v>
      </c>
      <c r="CJ64" s="11" t="n">
        <f aca="false">SUM($B24:CJ24)</f>
        <v>158.4</v>
      </c>
      <c r="CK64" s="11" t="n">
        <f aca="false">SUM($B24:CK24)</f>
        <v>160.5</v>
      </c>
      <c r="CL64" s="11" t="n">
        <f aca="false">SUM($B24:CL24)</f>
        <v>162.6</v>
      </c>
      <c r="CM64" s="11" t="n">
        <f aca="false">SUM($B24:CM24)</f>
        <v>164.7</v>
      </c>
      <c r="CN64" s="11" t="n">
        <f aca="false">SUM($B24:CN24)</f>
        <v>166.8</v>
      </c>
      <c r="CO64" s="11" t="n">
        <f aca="false">SUM($B24:CO24)</f>
        <v>168.9</v>
      </c>
      <c r="CP64" s="11" t="n">
        <f aca="false">SUM($B24:CP24)</f>
        <v>171</v>
      </c>
      <c r="CQ64" s="11" t="n">
        <f aca="false">SUM($B24:CQ24)</f>
        <v>173.1</v>
      </c>
      <c r="CR64" s="11" t="n">
        <f aca="false">SUM($B24:CR24)</f>
        <v>175.2</v>
      </c>
      <c r="CS64" s="11" t="n">
        <f aca="false">SUM($B24:CS24)</f>
        <v>177.3</v>
      </c>
      <c r="CT64" s="11" t="n">
        <f aca="false">SUM($B24:CT24)</f>
        <v>179.4</v>
      </c>
      <c r="CU64" s="11" t="n">
        <f aca="false">SUM($B24:CU24)</f>
        <v>181.5</v>
      </c>
      <c r="CV64" s="11" t="n">
        <f aca="false">SUM($B24:CV24)</f>
        <v>183.6</v>
      </c>
      <c r="CW64" s="11" t="n">
        <f aca="false">SUM($B24:CW24)</f>
        <v>185.7</v>
      </c>
      <c r="CX64" s="11" t="n">
        <f aca="false">SUM($B24:CX24)</f>
        <v>187.8</v>
      </c>
      <c r="CY64" s="11" t="n">
        <f aca="false">SUM($B24:CY24)</f>
        <v>189.9</v>
      </c>
      <c r="CZ64" s="11" t="n">
        <f aca="false">SUM($B24:CZ24)</f>
        <v>192</v>
      </c>
      <c r="DA64" s="11" t="n">
        <f aca="false">SUM($B24:DA24)</f>
        <v>194.1</v>
      </c>
      <c r="DB64" s="11" t="n">
        <f aca="false">SUM($B24:DB24)</f>
        <v>196.2</v>
      </c>
      <c r="DC64" s="11" t="n">
        <f aca="false">SUM($B24:DC24)</f>
        <v>198.3</v>
      </c>
      <c r="DD64" s="11" t="n">
        <f aca="false">SUM($B24:DD24)</f>
        <v>200.4</v>
      </c>
      <c r="DE64" s="11" t="n">
        <f aca="false">SUM($B24:DE24)</f>
        <v>202.5</v>
      </c>
      <c r="DF64" s="11" t="n">
        <f aca="false">SUM($B24:DF24)</f>
        <v>204.6</v>
      </c>
      <c r="DG64" s="11" t="n">
        <f aca="false">SUM($B24:DG24)</f>
        <v>206.7</v>
      </c>
      <c r="DH64" s="11" t="n">
        <f aca="false">SUM($B24:DH24)</f>
        <v>208.8</v>
      </c>
      <c r="DI64" s="11" t="n">
        <f aca="false">SUM($B24:DI24)</f>
        <v>210.9</v>
      </c>
      <c r="DJ64" s="11" t="n">
        <f aca="false">SUM($B24:DJ24)</f>
        <v>213</v>
      </c>
      <c r="DK64" s="11" t="n">
        <f aca="false">SUM($B24:DK24)</f>
        <v>215.1</v>
      </c>
      <c r="DL64" s="11" t="n">
        <f aca="false">SUM($B24:DL24)</f>
        <v>217.2</v>
      </c>
      <c r="DM64" s="11" t="n">
        <f aca="false">SUM($B24:DM24)</f>
        <v>219.3</v>
      </c>
      <c r="DN64" s="11" t="n">
        <f aca="false">SUM($B24:DN24)</f>
        <v>221.4</v>
      </c>
      <c r="DO64" s="11" t="n">
        <f aca="false">SUM($B24:DO24)</f>
        <v>223.5</v>
      </c>
      <c r="DP64" s="11" t="n">
        <f aca="false">SUM($B24:DP24)</f>
        <v>225.6</v>
      </c>
      <c r="DQ64" s="11" t="n">
        <f aca="false">SUM($B24:DQ24)</f>
        <v>227.7</v>
      </c>
      <c r="DR64" s="11" t="n">
        <f aca="false">SUM($B24:DR24)</f>
        <v>229.8</v>
      </c>
    </row>
    <row r="65" customFormat="false" ht="15" hidden="false" customHeight="false" outlineLevel="0" collapsed="false">
      <c r="A65" s="9" t="s">
        <v>233</v>
      </c>
      <c r="B65" s="10" t="n">
        <f aca="false">B19*Inputs!$B$5</f>
        <v>0</v>
      </c>
      <c r="C65" s="10" t="n">
        <f aca="false">C19*Inputs!$B$5</f>
        <v>0</v>
      </c>
      <c r="D65" s="10" t="n">
        <f aca="false">D19*Inputs!$B$5</f>
        <v>0</v>
      </c>
      <c r="E65" s="10" t="n">
        <f aca="false">E19*Inputs!$B$5</f>
        <v>0</v>
      </c>
      <c r="F65" s="10" t="n">
        <f aca="false">F19*Inputs!$B$5</f>
        <v>0</v>
      </c>
      <c r="G65" s="10" t="n">
        <f aca="false">G19*Inputs!$B$5</f>
        <v>0</v>
      </c>
      <c r="H65" s="10" t="n">
        <f aca="false">H19*Inputs!$B$5</f>
        <v>0</v>
      </c>
      <c r="I65" s="10" t="n">
        <f aca="false">I19*Inputs!$B$5</f>
        <v>0</v>
      </c>
      <c r="J65" s="10" t="n">
        <f aca="false">J19*Inputs!$B$5</f>
        <v>0</v>
      </c>
      <c r="K65" s="10" t="n">
        <f aca="false">K19*Inputs!$B$5</f>
        <v>0.9</v>
      </c>
      <c r="L65" s="10" t="n">
        <f aca="false">L19*Inputs!$B$5</f>
        <v>0.9</v>
      </c>
      <c r="M65" s="10" t="n">
        <f aca="false">M19*Inputs!$B$5</f>
        <v>0.9</v>
      </c>
      <c r="N65" s="10" t="n">
        <f aca="false">N19*Inputs!$B$5</f>
        <v>1.5</v>
      </c>
      <c r="O65" s="10" t="n">
        <f aca="false">O19*Inputs!$B$5</f>
        <v>1.5</v>
      </c>
      <c r="P65" s="10" t="n">
        <f aca="false">P19*Inputs!$B$5</f>
        <v>1.5</v>
      </c>
      <c r="Q65" s="10" t="n">
        <f aca="false">Q19*Inputs!$B$5</f>
        <v>2.1</v>
      </c>
      <c r="R65" s="10" t="n">
        <f aca="false">R19*Inputs!$B$5</f>
        <v>2.1</v>
      </c>
      <c r="S65" s="10" t="n">
        <f aca="false">S19*Inputs!$B$5</f>
        <v>2.1</v>
      </c>
      <c r="T65" s="10" t="n">
        <f aca="false">T19*Inputs!$B$5</f>
        <v>2.1</v>
      </c>
      <c r="U65" s="10" t="n">
        <f aca="false">U19*Inputs!$B$5</f>
        <v>2.1</v>
      </c>
      <c r="V65" s="10" t="n">
        <f aca="false">V19*Inputs!$B$5</f>
        <v>2.1</v>
      </c>
      <c r="W65" s="10" t="n">
        <f aca="false">W19*Inputs!$B$5</f>
        <v>2.1</v>
      </c>
      <c r="X65" s="10" t="n">
        <f aca="false">X19*Inputs!$B$5</f>
        <v>2.1</v>
      </c>
      <c r="Y65" s="10" t="n">
        <f aca="false">Y19*Inputs!$B$5</f>
        <v>2.1</v>
      </c>
      <c r="Z65" s="10" t="n">
        <f aca="false">Z19*Inputs!$B$5</f>
        <v>2.1</v>
      </c>
      <c r="AA65" s="10" t="n">
        <f aca="false">AA19*Inputs!$B$5</f>
        <v>2.1</v>
      </c>
      <c r="AB65" s="10" t="n">
        <f aca="false">AB19*Inputs!$B$5</f>
        <v>2.1</v>
      </c>
      <c r="AC65" s="10" t="n">
        <f aca="false">AC19*Inputs!$B$5</f>
        <v>2.1</v>
      </c>
      <c r="AD65" s="10" t="n">
        <f aca="false">AD19*Inputs!$B$5</f>
        <v>2.1</v>
      </c>
      <c r="AE65" s="10" t="n">
        <f aca="false">AE19*Inputs!$B$5</f>
        <v>2.1</v>
      </c>
      <c r="AF65" s="10" t="n">
        <f aca="false">AF19*Inputs!$B$5</f>
        <v>2.1</v>
      </c>
      <c r="AG65" s="10" t="n">
        <f aca="false">AG19*Inputs!$B$5</f>
        <v>2.1</v>
      </c>
      <c r="AH65" s="10" t="n">
        <f aca="false">AH19*Inputs!$B$5</f>
        <v>2.1</v>
      </c>
      <c r="AI65" s="10" t="n">
        <f aca="false">AI19*Inputs!$B$5</f>
        <v>2.1</v>
      </c>
      <c r="AJ65" s="10" t="n">
        <f aca="false">AJ19*Inputs!$B$5</f>
        <v>2.1</v>
      </c>
      <c r="AK65" s="10" t="n">
        <f aca="false">AK19*Inputs!$B$5</f>
        <v>2.1</v>
      </c>
      <c r="AL65" s="10" t="n">
        <f aca="false">AL19*Inputs!$B$5</f>
        <v>2.1</v>
      </c>
      <c r="AM65" s="10" t="n">
        <f aca="false">AM19*Inputs!$B$5</f>
        <v>2.1</v>
      </c>
      <c r="AN65" s="10" t="n">
        <f aca="false">AN19*Inputs!$B$5</f>
        <v>2.1</v>
      </c>
      <c r="AO65" s="10" t="n">
        <f aca="false">AO19*Inputs!$B$5</f>
        <v>2.1</v>
      </c>
      <c r="AP65" s="10" t="n">
        <f aca="false">AP19*Inputs!$B$5</f>
        <v>2.1</v>
      </c>
      <c r="AQ65" s="10" t="n">
        <f aca="false">AQ19*Inputs!$B$5</f>
        <v>2.1</v>
      </c>
      <c r="AR65" s="10" t="n">
        <f aca="false">AR19*Inputs!$B$5</f>
        <v>2.1</v>
      </c>
      <c r="AS65" s="10" t="n">
        <f aca="false">AS19*Inputs!$B$5</f>
        <v>2.1</v>
      </c>
      <c r="AT65" s="10" t="n">
        <f aca="false">AT19*Inputs!$B$5</f>
        <v>2.1</v>
      </c>
      <c r="AU65" s="10" t="n">
        <f aca="false">AU19*Inputs!$B$5</f>
        <v>2.1</v>
      </c>
      <c r="AV65" s="10" t="n">
        <f aca="false">AV19*Inputs!$B$5</f>
        <v>2.1</v>
      </c>
      <c r="AW65" s="10" t="n">
        <f aca="false">AW19*Inputs!$B$5</f>
        <v>2.1</v>
      </c>
      <c r="AX65" s="10" t="n">
        <f aca="false">AX19*Inputs!$B$5</f>
        <v>2.1</v>
      </c>
      <c r="AY65" s="10" t="n">
        <f aca="false">AY19*Inputs!$B$5</f>
        <v>2.1</v>
      </c>
      <c r="AZ65" s="10" t="n">
        <f aca="false">AZ19*Inputs!$B$5</f>
        <v>2.1</v>
      </c>
      <c r="BA65" s="10" t="n">
        <f aca="false">BA19*Inputs!$B$5</f>
        <v>2.1</v>
      </c>
      <c r="BB65" s="10" t="n">
        <f aca="false">BB19*Inputs!$B$5</f>
        <v>2.1</v>
      </c>
      <c r="BC65" s="10" t="n">
        <f aca="false">BC19*Inputs!$B$5</f>
        <v>2.1</v>
      </c>
      <c r="BD65" s="10" t="n">
        <f aca="false">BD19*Inputs!$B$5</f>
        <v>2.1</v>
      </c>
      <c r="BE65" s="10" t="n">
        <f aca="false">BE19*Inputs!$B$5</f>
        <v>2.1</v>
      </c>
      <c r="BF65" s="10" t="n">
        <f aca="false">BF19*Inputs!$B$5</f>
        <v>2.1</v>
      </c>
      <c r="BG65" s="10" t="n">
        <f aca="false">BG19*Inputs!$B$5</f>
        <v>2.1</v>
      </c>
      <c r="BH65" s="10" t="n">
        <f aca="false">BH19*Inputs!$B$5</f>
        <v>2.1</v>
      </c>
      <c r="BI65" s="10" t="n">
        <f aca="false">BI19*Inputs!$B$5</f>
        <v>2.1</v>
      </c>
      <c r="BJ65" s="10" t="n">
        <f aca="false">BJ19*Inputs!$B$5</f>
        <v>2.1</v>
      </c>
      <c r="BK65" s="10" t="n">
        <f aca="false">BK19*Inputs!$B$5</f>
        <v>2.1</v>
      </c>
      <c r="BL65" s="10" t="n">
        <f aca="false">BL19*Inputs!$B$5</f>
        <v>2.1</v>
      </c>
      <c r="BM65" s="10" t="n">
        <f aca="false">BM19*Inputs!$B$5</f>
        <v>2.1</v>
      </c>
      <c r="BN65" s="10" t="n">
        <f aca="false">BN19*Inputs!$B$5</f>
        <v>2.1</v>
      </c>
      <c r="BO65" s="10" t="n">
        <f aca="false">BO19*Inputs!$B$5</f>
        <v>2.1</v>
      </c>
      <c r="BP65" s="10" t="n">
        <f aca="false">BP19*Inputs!$B$5</f>
        <v>2.1</v>
      </c>
      <c r="BQ65" s="10" t="n">
        <f aca="false">BQ19*Inputs!$B$5</f>
        <v>2.1</v>
      </c>
      <c r="BR65" s="10" t="n">
        <f aca="false">BR19*Inputs!$B$5</f>
        <v>2.1</v>
      </c>
      <c r="BS65" s="10" t="n">
        <f aca="false">BS19*Inputs!$B$5</f>
        <v>2.1</v>
      </c>
      <c r="BT65" s="10" t="n">
        <f aca="false">BT19*Inputs!$B$5</f>
        <v>2.1</v>
      </c>
      <c r="BU65" s="10" t="n">
        <f aca="false">BU19*Inputs!$B$5</f>
        <v>2.1</v>
      </c>
      <c r="BV65" s="10" t="n">
        <f aca="false">BV19*Inputs!$B$5</f>
        <v>2.1</v>
      </c>
      <c r="BW65" s="10" t="n">
        <f aca="false">BW19*Inputs!$B$5</f>
        <v>2.1</v>
      </c>
      <c r="BX65" s="10" t="n">
        <f aca="false">BX19*Inputs!$B$5</f>
        <v>2.1</v>
      </c>
      <c r="BY65" s="10" t="n">
        <f aca="false">BY19*Inputs!$B$5</f>
        <v>2.1</v>
      </c>
      <c r="BZ65" s="10" t="n">
        <f aca="false">BZ19*Inputs!$B$5</f>
        <v>2.1</v>
      </c>
      <c r="CA65" s="10" t="n">
        <f aca="false">CA19*Inputs!$B$5</f>
        <v>2.1</v>
      </c>
      <c r="CB65" s="10" t="n">
        <f aca="false">CB19*Inputs!$B$5</f>
        <v>2.1</v>
      </c>
      <c r="CC65" s="10" t="n">
        <f aca="false">CC19*Inputs!$B$5</f>
        <v>2.1</v>
      </c>
      <c r="CD65" s="10" t="n">
        <f aca="false">CD19*Inputs!$B$5</f>
        <v>2.1</v>
      </c>
      <c r="CE65" s="10" t="n">
        <f aca="false">CE19*Inputs!$B$5</f>
        <v>2.1</v>
      </c>
      <c r="CF65" s="10" t="n">
        <f aca="false">CF19*Inputs!$B$5</f>
        <v>2.1</v>
      </c>
      <c r="CG65" s="10" t="n">
        <f aca="false">CG19*Inputs!$B$5</f>
        <v>2.1</v>
      </c>
      <c r="CH65" s="10" t="n">
        <f aca="false">CH19*Inputs!$B$5</f>
        <v>2.1</v>
      </c>
      <c r="CI65" s="10" t="n">
        <f aca="false">CI19*Inputs!$B$5</f>
        <v>2.1</v>
      </c>
      <c r="CJ65" s="10" t="n">
        <f aca="false">CJ19*Inputs!$B$5</f>
        <v>2.1</v>
      </c>
      <c r="CK65" s="10" t="n">
        <f aca="false">CK19*Inputs!$B$5</f>
        <v>2.1</v>
      </c>
      <c r="CL65" s="10" t="n">
        <f aca="false">CL19*Inputs!$B$5</f>
        <v>2.1</v>
      </c>
      <c r="CM65" s="10" t="n">
        <f aca="false">CM19*Inputs!$B$5</f>
        <v>2.1</v>
      </c>
      <c r="CN65" s="10" t="n">
        <f aca="false">CN19*Inputs!$B$5</f>
        <v>2.1</v>
      </c>
      <c r="CO65" s="10" t="n">
        <f aca="false">CO19*Inputs!$B$5</f>
        <v>2.1</v>
      </c>
      <c r="CP65" s="10" t="n">
        <f aca="false">CP19*Inputs!$B$5</f>
        <v>2.1</v>
      </c>
      <c r="CQ65" s="10" t="n">
        <f aca="false">CQ19*Inputs!$B$5</f>
        <v>2.1</v>
      </c>
      <c r="CR65" s="10" t="n">
        <f aca="false">CR19*Inputs!$B$5</f>
        <v>2.1</v>
      </c>
      <c r="CS65" s="10" t="n">
        <f aca="false">CS19*Inputs!$B$5</f>
        <v>2.1</v>
      </c>
      <c r="CT65" s="10" t="n">
        <f aca="false">CT19*Inputs!$B$5</f>
        <v>2.1</v>
      </c>
      <c r="CU65" s="10" t="n">
        <f aca="false">CU19*Inputs!$B$5</f>
        <v>2.1</v>
      </c>
      <c r="CV65" s="10" t="n">
        <f aca="false">CV19*Inputs!$B$5</f>
        <v>2.1</v>
      </c>
      <c r="CW65" s="10" t="n">
        <f aca="false">CW19*Inputs!$B$5</f>
        <v>2.1</v>
      </c>
      <c r="CX65" s="10" t="n">
        <f aca="false">CX19*Inputs!$B$5</f>
        <v>2.1</v>
      </c>
      <c r="CY65" s="10" t="n">
        <f aca="false">CY19*Inputs!$B$5</f>
        <v>2.1</v>
      </c>
      <c r="CZ65" s="10" t="n">
        <f aca="false">CZ19*Inputs!$B$5</f>
        <v>2.1</v>
      </c>
      <c r="DA65" s="10" t="n">
        <f aca="false">DA19*Inputs!$B$5</f>
        <v>2.1</v>
      </c>
      <c r="DB65" s="10" t="n">
        <f aca="false">DB19*Inputs!$B$5</f>
        <v>2.1</v>
      </c>
      <c r="DC65" s="10" t="n">
        <f aca="false">DC19*Inputs!$B$5</f>
        <v>2.1</v>
      </c>
      <c r="DD65" s="10" t="n">
        <f aca="false">DD19*Inputs!$B$5</f>
        <v>2.1</v>
      </c>
      <c r="DE65" s="10" t="n">
        <f aca="false">DE19*Inputs!$B$5</f>
        <v>2.1</v>
      </c>
      <c r="DF65" s="10" t="n">
        <f aca="false">DF19*Inputs!$B$5</f>
        <v>2.1</v>
      </c>
      <c r="DG65" s="10" t="n">
        <f aca="false">DG19*Inputs!$B$5</f>
        <v>2.1</v>
      </c>
      <c r="DH65" s="10" t="n">
        <f aca="false">DH19*Inputs!$B$5</f>
        <v>2.1</v>
      </c>
      <c r="DI65" s="10" t="n">
        <f aca="false">DI19*Inputs!$B$5</f>
        <v>2.1</v>
      </c>
      <c r="DJ65" s="10" t="n">
        <f aca="false">DJ19*Inputs!$B$5</f>
        <v>2.1</v>
      </c>
      <c r="DK65" s="10" t="n">
        <f aca="false">DK19*Inputs!$B$5</f>
        <v>2.1</v>
      </c>
      <c r="DL65" s="10" t="n">
        <f aca="false">DL19*Inputs!$B$5</f>
        <v>2.1</v>
      </c>
      <c r="DM65" s="10" t="n">
        <f aca="false">DM19*Inputs!$B$5</f>
        <v>2.1</v>
      </c>
      <c r="DN65" s="10" t="n">
        <f aca="false">DN19*Inputs!$B$5</f>
        <v>2.1</v>
      </c>
      <c r="DO65" s="10" t="n">
        <f aca="false">DO19*Inputs!$B$5</f>
        <v>2.1</v>
      </c>
      <c r="DP65" s="10" t="n">
        <f aca="false">DP19*Inputs!$B$5</f>
        <v>2.1</v>
      </c>
      <c r="DQ65" s="10" t="n">
        <f aca="false">DQ19*Inputs!$B$5</f>
        <v>2.1</v>
      </c>
      <c r="DR65" s="10" t="n">
        <f aca="false">DR19*Inputs!$B$5</f>
        <v>2.1</v>
      </c>
    </row>
    <row r="66" customFormat="false" ht="15" hidden="false" customHeight="false" outlineLevel="0" collapsed="false">
      <c r="A66" s="9" t="s">
        <v>234</v>
      </c>
      <c r="B66" s="11" t="n">
        <f aca="false">B19-B4</f>
        <v>0</v>
      </c>
      <c r="C66" s="11" t="n">
        <f aca="false">C19-C4</f>
        <v>0</v>
      </c>
      <c r="D66" s="11" t="n">
        <f aca="false">D19-D4</f>
        <v>0</v>
      </c>
      <c r="E66" s="11" t="n">
        <f aca="false">E19-E4</f>
        <v>0</v>
      </c>
      <c r="F66" s="11" t="n">
        <f aca="false">F19-F4</f>
        <v>0</v>
      </c>
      <c r="G66" s="11" t="n">
        <f aca="false">G19-G4</f>
        <v>0</v>
      </c>
      <c r="H66" s="11" t="n">
        <f aca="false">H19-H4</f>
        <v>0</v>
      </c>
      <c r="I66" s="11" t="n">
        <f aca="false">I19-I4</f>
        <v>0</v>
      </c>
      <c r="J66" s="11" t="n">
        <f aca="false">J19-J4</f>
        <v>0</v>
      </c>
      <c r="K66" s="11" t="n">
        <f aca="false">K19-K4</f>
        <v>0</v>
      </c>
      <c r="L66" s="11" t="n">
        <f aca="false">L19-L4</f>
        <v>0</v>
      </c>
      <c r="M66" s="11" t="n">
        <f aca="false">M19-M4</f>
        <v>0</v>
      </c>
      <c r="N66" s="11" t="n">
        <f aca="false">N19-N4</f>
        <v>0</v>
      </c>
      <c r="O66" s="11" t="n">
        <f aca="false">O19-O4</f>
        <v>0</v>
      </c>
      <c r="P66" s="11" t="n">
        <f aca="false">P19-P4</f>
        <v>0</v>
      </c>
      <c r="Q66" s="11" t="n">
        <f aca="false">Q19-Q4</f>
        <v>0</v>
      </c>
      <c r="R66" s="11" t="n">
        <f aca="false">R19-R4</f>
        <v>0</v>
      </c>
      <c r="S66" s="11" t="n">
        <f aca="false">S19-S4</f>
        <v>0</v>
      </c>
      <c r="T66" s="11" t="n">
        <f aca="false">T19-T4</f>
        <v>0</v>
      </c>
      <c r="U66" s="11" t="n">
        <f aca="false">U19-U4</f>
        <v>0</v>
      </c>
      <c r="V66" s="11" t="n">
        <f aca="false">V19-V4</f>
        <v>0</v>
      </c>
      <c r="W66" s="11" t="n">
        <f aca="false">W19-W4</f>
        <v>0</v>
      </c>
      <c r="X66" s="11" t="n">
        <f aca="false">X19-X4</f>
        <v>0</v>
      </c>
      <c r="Y66" s="11" t="n">
        <f aca="false">Y19-Y4</f>
        <v>0</v>
      </c>
      <c r="Z66" s="11" t="n">
        <f aca="false">Z19-Z4</f>
        <v>0</v>
      </c>
      <c r="AA66" s="11" t="n">
        <f aca="false">AA19-AA4</f>
        <v>0</v>
      </c>
      <c r="AB66" s="11" t="n">
        <f aca="false">AB19-AB4</f>
        <v>0</v>
      </c>
      <c r="AC66" s="11" t="n">
        <f aca="false">AC19-AC4</f>
        <v>0</v>
      </c>
      <c r="AD66" s="11" t="n">
        <f aca="false">AD19-AD4</f>
        <v>0</v>
      </c>
      <c r="AE66" s="11" t="n">
        <f aca="false">AE19-AE4</f>
        <v>0</v>
      </c>
      <c r="AF66" s="11" t="n">
        <f aca="false">AF19-AF4</f>
        <v>0</v>
      </c>
      <c r="AG66" s="11" t="n">
        <f aca="false">AG19-AG4</f>
        <v>0</v>
      </c>
      <c r="AH66" s="11" t="n">
        <f aca="false">AH19-AH4</f>
        <v>0</v>
      </c>
      <c r="AI66" s="11" t="n">
        <f aca="false">AI19-AI4</f>
        <v>0</v>
      </c>
      <c r="AJ66" s="11" t="n">
        <f aca="false">AJ19-AJ4</f>
        <v>0</v>
      </c>
      <c r="AK66" s="11" t="n">
        <f aca="false">AK19-AK4</f>
        <v>0</v>
      </c>
      <c r="AL66" s="11" t="n">
        <f aca="false">AL19-AL4</f>
        <v>0</v>
      </c>
      <c r="AM66" s="11" t="n">
        <f aca="false">AM19-AM4</f>
        <v>0</v>
      </c>
      <c r="AN66" s="11" t="n">
        <f aca="false">AN19-AN4</f>
        <v>0</v>
      </c>
      <c r="AO66" s="11" t="n">
        <f aca="false">AO19-AO4</f>
        <v>0</v>
      </c>
      <c r="AP66" s="11" t="n">
        <f aca="false">AP19-AP4</f>
        <v>0</v>
      </c>
      <c r="AQ66" s="11" t="n">
        <f aca="false">AQ19-AQ4</f>
        <v>0</v>
      </c>
      <c r="AR66" s="11" t="n">
        <f aca="false">AR19-AR4</f>
        <v>0</v>
      </c>
      <c r="AS66" s="11" t="n">
        <f aca="false">AS19-AS4</f>
        <v>0</v>
      </c>
      <c r="AT66" s="11" t="n">
        <f aca="false">AT19-AT4</f>
        <v>0</v>
      </c>
      <c r="AU66" s="11" t="n">
        <f aca="false">AU19-AU4</f>
        <v>0</v>
      </c>
      <c r="AV66" s="11" t="n">
        <f aca="false">AV19-AV4</f>
        <v>0</v>
      </c>
      <c r="AW66" s="11" t="n">
        <f aca="false">AW19-AW4</f>
        <v>0</v>
      </c>
      <c r="AX66" s="11" t="n">
        <f aca="false">AX19-AX4</f>
        <v>0</v>
      </c>
      <c r="AY66" s="11" t="n">
        <f aca="false">AY19-AY4</f>
        <v>0</v>
      </c>
      <c r="AZ66" s="11" t="n">
        <f aca="false">AZ19-AZ4</f>
        <v>0</v>
      </c>
      <c r="BA66" s="11" t="n">
        <f aca="false">BA19-BA4</f>
        <v>0</v>
      </c>
      <c r="BB66" s="11" t="n">
        <f aca="false">BB19-BB4</f>
        <v>0</v>
      </c>
      <c r="BC66" s="11" t="n">
        <f aca="false">BC19-BC4</f>
        <v>0</v>
      </c>
      <c r="BD66" s="11" t="n">
        <f aca="false">BD19-BD4</f>
        <v>0</v>
      </c>
      <c r="BE66" s="11" t="n">
        <f aca="false">BE19-BE4</f>
        <v>0</v>
      </c>
      <c r="BF66" s="11" t="n">
        <f aca="false">BF19-BF4</f>
        <v>0</v>
      </c>
      <c r="BG66" s="11" t="n">
        <f aca="false">BG19-BG4</f>
        <v>0</v>
      </c>
      <c r="BH66" s="11" t="n">
        <f aca="false">BH19-BH4</f>
        <v>0</v>
      </c>
      <c r="BI66" s="11" t="n">
        <f aca="false">BI19-BI4</f>
        <v>0</v>
      </c>
      <c r="BJ66" s="11" t="n">
        <f aca="false">BJ19-BJ4</f>
        <v>0</v>
      </c>
      <c r="BK66" s="11" t="n">
        <f aca="false">BK19-BK4</f>
        <v>0</v>
      </c>
      <c r="BL66" s="11" t="n">
        <f aca="false">BL19-BL4</f>
        <v>0</v>
      </c>
      <c r="BM66" s="11" t="n">
        <f aca="false">BM19-BM4</f>
        <v>0</v>
      </c>
      <c r="BN66" s="11" t="n">
        <f aca="false">BN19-BN4</f>
        <v>0</v>
      </c>
      <c r="BO66" s="11" t="n">
        <f aca="false">BO19-BO4</f>
        <v>0</v>
      </c>
      <c r="BP66" s="11" t="n">
        <f aca="false">BP19-BP4</f>
        <v>0</v>
      </c>
      <c r="BQ66" s="11" t="n">
        <f aca="false">BQ19-BQ4</f>
        <v>0</v>
      </c>
      <c r="BR66" s="11" t="n">
        <f aca="false">BR19-BR4</f>
        <v>0</v>
      </c>
      <c r="BS66" s="11" t="n">
        <f aca="false">BS19-BS4</f>
        <v>0</v>
      </c>
      <c r="BT66" s="11" t="n">
        <f aca="false">BT19-BT4</f>
        <v>0</v>
      </c>
      <c r="BU66" s="11" t="n">
        <f aca="false">BU19-BU4</f>
        <v>0</v>
      </c>
      <c r="BV66" s="11" t="n">
        <f aca="false">BV19-BV4</f>
        <v>0</v>
      </c>
      <c r="BW66" s="11" t="n">
        <f aca="false">BW19-BW4</f>
        <v>0</v>
      </c>
      <c r="BX66" s="11" t="n">
        <f aca="false">BX19-BX4</f>
        <v>0</v>
      </c>
      <c r="BY66" s="11" t="n">
        <f aca="false">BY19-BY4</f>
        <v>0</v>
      </c>
      <c r="BZ66" s="11" t="n">
        <f aca="false">BZ19-BZ4</f>
        <v>0</v>
      </c>
      <c r="CA66" s="11" t="n">
        <f aca="false">CA19-CA4</f>
        <v>0</v>
      </c>
      <c r="CB66" s="11" t="n">
        <f aca="false">CB19-CB4</f>
        <v>0</v>
      </c>
      <c r="CC66" s="11" t="n">
        <f aca="false">CC19-CC4</f>
        <v>0</v>
      </c>
      <c r="CD66" s="11" t="n">
        <f aca="false">CD19-CD4</f>
        <v>0</v>
      </c>
      <c r="CE66" s="11" t="n">
        <f aca="false">CE19-CE4</f>
        <v>0</v>
      </c>
      <c r="CF66" s="11" t="n">
        <f aca="false">CF19-CF4</f>
        <v>0</v>
      </c>
      <c r="CG66" s="11" t="n">
        <f aca="false">CG19-CG4</f>
        <v>0</v>
      </c>
      <c r="CH66" s="11" t="n">
        <f aca="false">CH19-CH4</f>
        <v>0</v>
      </c>
      <c r="CI66" s="11" t="n">
        <f aca="false">CI19-CI4</f>
        <v>0</v>
      </c>
      <c r="CJ66" s="11" t="n">
        <f aca="false">CJ19-CJ4</f>
        <v>0</v>
      </c>
      <c r="CK66" s="11" t="n">
        <f aca="false">CK19-CK4</f>
        <v>0</v>
      </c>
      <c r="CL66" s="11" t="n">
        <f aca="false">CL19-CL4</f>
        <v>0</v>
      </c>
      <c r="CM66" s="11" t="n">
        <f aca="false">CM19-CM4</f>
        <v>0</v>
      </c>
      <c r="CN66" s="11" t="n">
        <f aca="false">CN19-CN4</f>
        <v>0</v>
      </c>
      <c r="CO66" s="11" t="n">
        <f aca="false">CO19-CO4</f>
        <v>0</v>
      </c>
      <c r="CP66" s="11" t="n">
        <f aca="false">CP19-CP4</f>
        <v>0</v>
      </c>
      <c r="CQ66" s="11" t="n">
        <f aca="false">CQ19-CQ4</f>
        <v>0</v>
      </c>
      <c r="CR66" s="11" t="n">
        <f aca="false">CR19-CR4</f>
        <v>0</v>
      </c>
      <c r="CS66" s="11" t="n">
        <f aca="false">CS19-CS4</f>
        <v>0</v>
      </c>
      <c r="CT66" s="11" t="n">
        <f aca="false">CT19-CT4</f>
        <v>0</v>
      </c>
      <c r="CU66" s="11" t="n">
        <f aca="false">CU19-CU4</f>
        <v>0</v>
      </c>
      <c r="CV66" s="11" t="n">
        <f aca="false">CV19-CV4</f>
        <v>0</v>
      </c>
      <c r="CW66" s="11" t="n">
        <f aca="false">CW19-CW4</f>
        <v>0</v>
      </c>
      <c r="CX66" s="11" t="n">
        <f aca="false">CX19-CX4</f>
        <v>0</v>
      </c>
      <c r="CY66" s="11" t="n">
        <f aca="false">CY19-CY4</f>
        <v>0</v>
      </c>
      <c r="CZ66" s="11" t="n">
        <f aca="false">CZ19-CZ4</f>
        <v>0</v>
      </c>
      <c r="DA66" s="11" t="n">
        <f aca="false">DA19-DA4</f>
        <v>0</v>
      </c>
      <c r="DB66" s="11" t="n">
        <f aca="false">DB19-DB4</f>
        <v>0</v>
      </c>
      <c r="DC66" s="11" t="n">
        <f aca="false">DC19-DC4</f>
        <v>0</v>
      </c>
      <c r="DD66" s="11" t="n">
        <f aca="false">DD19-DD4</f>
        <v>0</v>
      </c>
      <c r="DE66" s="11" t="n">
        <f aca="false">DE19-DE4</f>
        <v>0</v>
      </c>
      <c r="DF66" s="11" t="n">
        <f aca="false">DF19-DF4</f>
        <v>0</v>
      </c>
      <c r="DG66" s="11" t="n">
        <f aca="false">DG19-DG4</f>
        <v>0</v>
      </c>
      <c r="DH66" s="11" t="n">
        <f aca="false">DH19-DH4</f>
        <v>0</v>
      </c>
      <c r="DI66" s="11" t="n">
        <f aca="false">DI19-DI4</f>
        <v>0</v>
      </c>
      <c r="DJ66" s="11" t="n">
        <f aca="false">DJ19-DJ4</f>
        <v>0</v>
      </c>
      <c r="DK66" s="11" t="n">
        <f aca="false">DK19-DK4</f>
        <v>0</v>
      </c>
      <c r="DL66" s="11" t="n">
        <f aca="false">DL19-DL4</f>
        <v>0</v>
      </c>
      <c r="DM66" s="11" t="n">
        <f aca="false">DM19-DM4</f>
        <v>0</v>
      </c>
      <c r="DN66" s="11" t="n">
        <f aca="false">DN19-DN4</f>
        <v>0</v>
      </c>
      <c r="DO66" s="11" t="n">
        <f aca="false">DO19-DO4</f>
        <v>0</v>
      </c>
      <c r="DP66" s="11" t="n">
        <f aca="false">DP19-DP4</f>
        <v>0</v>
      </c>
      <c r="DQ66" s="11" t="n">
        <f aca="false">DQ19-DQ4</f>
        <v>0</v>
      </c>
      <c r="DR66" s="11" t="n">
        <f aca="false">DR19-DR4</f>
        <v>0</v>
      </c>
    </row>
    <row r="67" customFormat="false" ht="15" hidden="false" customHeight="false" outlineLevel="0" collapsed="false">
      <c r="A67" s="12" t="s">
        <v>235</v>
      </c>
      <c r="B67" s="13" t="n">
        <f aca="false">B64-SUM($B$47:$DR$47)</f>
        <v>-50</v>
      </c>
      <c r="C67" s="13" t="n">
        <f aca="false">C64-SUM($B$47:$DR$47)</f>
        <v>-50</v>
      </c>
      <c r="D67" s="13" t="n">
        <f aca="false">D64-SUM($B$47:$DR$47)</f>
        <v>-50</v>
      </c>
      <c r="E67" s="13" t="n">
        <f aca="false">E64-SUM($B$47:$DR$47)</f>
        <v>-50</v>
      </c>
      <c r="F67" s="13" t="n">
        <f aca="false">F64-SUM($B$47:$DR$47)</f>
        <v>-50</v>
      </c>
      <c r="G67" s="13" t="n">
        <f aca="false">G64-SUM($B$47:$DR$47)</f>
        <v>-50</v>
      </c>
      <c r="H67" s="13" t="n">
        <f aca="false">H64-SUM($B$47:$DR$47)</f>
        <v>-50</v>
      </c>
      <c r="I67" s="13" t="n">
        <f aca="false">I64-SUM($B$47:$DR$47)</f>
        <v>-50</v>
      </c>
      <c r="J67" s="13" t="n">
        <f aca="false">J64-SUM($B$47:$DR$47)</f>
        <v>-50</v>
      </c>
      <c r="K67" s="13" t="n">
        <f aca="false">K64-SUM($B$47:$DR$47)</f>
        <v>-49.1</v>
      </c>
      <c r="L67" s="13" t="n">
        <f aca="false">L64-SUM($B$47:$DR$47)</f>
        <v>-48.2</v>
      </c>
      <c r="M67" s="13" t="n">
        <f aca="false">M64-SUM($B$47:$DR$47)</f>
        <v>-47.3</v>
      </c>
      <c r="N67" s="13" t="n">
        <f aca="false">N64-SUM($B$47:$DR$47)</f>
        <v>-45.8</v>
      </c>
      <c r="O67" s="13" t="n">
        <f aca="false">O64-SUM($B$47:$DR$47)</f>
        <v>-44.3</v>
      </c>
      <c r="P67" s="13" t="n">
        <f aca="false">P64-SUM($B$47:$DR$47)</f>
        <v>-42.8</v>
      </c>
      <c r="Q67" s="13" t="n">
        <f aca="false">Q64-SUM($B$47:$DR$47)</f>
        <v>-40.7</v>
      </c>
      <c r="R67" s="13" t="n">
        <f aca="false">R64-SUM($B$47:$DR$47)</f>
        <v>-38.6</v>
      </c>
      <c r="S67" s="13" t="n">
        <f aca="false">S64-SUM($B$47:$DR$47)</f>
        <v>-36.5</v>
      </c>
      <c r="T67" s="13" t="n">
        <f aca="false">T64-SUM($B$47:$DR$47)</f>
        <v>-34.4</v>
      </c>
      <c r="U67" s="13" t="n">
        <f aca="false">U64-SUM($B$47:$DR$47)</f>
        <v>-32.3</v>
      </c>
      <c r="V67" s="13" t="n">
        <f aca="false">V64-SUM($B$47:$DR$47)</f>
        <v>-30.2</v>
      </c>
      <c r="W67" s="13" t="n">
        <f aca="false">W64-SUM($B$47:$DR$47)</f>
        <v>-28.1</v>
      </c>
      <c r="X67" s="13" t="n">
        <f aca="false">X64-SUM($B$47:$DR$47)</f>
        <v>-26</v>
      </c>
      <c r="Y67" s="13" t="n">
        <f aca="false">Y64-SUM($B$47:$DR$47)</f>
        <v>-23.9</v>
      </c>
      <c r="Z67" s="13" t="n">
        <f aca="false">Z64-SUM($B$47:$DR$47)</f>
        <v>-21.8</v>
      </c>
      <c r="AA67" s="13" t="n">
        <f aca="false">AA64-SUM($B$47:$DR$47)</f>
        <v>-19.7</v>
      </c>
      <c r="AB67" s="13" t="n">
        <f aca="false">AB64-SUM($B$47:$DR$47)</f>
        <v>-17.6</v>
      </c>
      <c r="AC67" s="13" t="n">
        <f aca="false">AC64-SUM($B$47:$DR$47)</f>
        <v>-15.5</v>
      </c>
      <c r="AD67" s="13" t="n">
        <f aca="false">AD64-SUM($B$47:$DR$47)</f>
        <v>-13.4</v>
      </c>
      <c r="AE67" s="13" t="n">
        <f aca="false">AE64-SUM($B$47:$DR$47)</f>
        <v>-11.3</v>
      </c>
      <c r="AF67" s="13" t="n">
        <f aca="false">AF64-SUM($B$47:$DR$47)</f>
        <v>-9.2</v>
      </c>
      <c r="AG67" s="13" t="n">
        <f aca="false">AG64-SUM($B$47:$DR$47)</f>
        <v>-7.1</v>
      </c>
      <c r="AH67" s="13" t="n">
        <f aca="false">AH64-SUM($B$47:$DR$47)</f>
        <v>-5</v>
      </c>
      <c r="AI67" s="13" t="n">
        <f aca="false">AI64-SUM($B$47:$DR$47)</f>
        <v>-2.9</v>
      </c>
      <c r="AJ67" s="13" t="n">
        <f aca="false">AJ64-SUM($B$47:$DR$47)</f>
        <v>-0.799999999999997</v>
      </c>
      <c r="AK67" s="13" t="n">
        <f aca="false">AK64-SUM($B$47:$DR$47)</f>
        <v>1.3</v>
      </c>
      <c r="AL67" s="13" t="n">
        <f aca="false">AL64-SUM($B$47:$DR$47)</f>
        <v>3.4</v>
      </c>
      <c r="AM67" s="13" t="n">
        <f aca="false">AM64-SUM($B$47:$DR$47)</f>
        <v>5.5</v>
      </c>
      <c r="AN67" s="13" t="n">
        <f aca="false">AN64-SUM($B$47:$DR$47)</f>
        <v>7.6</v>
      </c>
      <c r="AO67" s="13" t="n">
        <f aca="false">AO64-SUM($B$47:$DR$47)</f>
        <v>9.7</v>
      </c>
      <c r="AP67" s="13" t="n">
        <f aca="false">AP64-SUM($B$47:$DR$47)</f>
        <v>11.8</v>
      </c>
      <c r="AQ67" s="13" t="n">
        <f aca="false">AQ64-SUM($B$47:$DR$47)</f>
        <v>13.9</v>
      </c>
      <c r="AR67" s="13" t="n">
        <f aca="false">AR64-SUM($B$47:$DR$47)</f>
        <v>16</v>
      </c>
      <c r="AS67" s="13" t="n">
        <f aca="false">AS64-SUM($B$47:$DR$47)</f>
        <v>18.1</v>
      </c>
      <c r="AT67" s="13" t="n">
        <f aca="false">AT64-SUM($B$47:$DR$47)</f>
        <v>20.2</v>
      </c>
      <c r="AU67" s="13" t="n">
        <f aca="false">AU64-SUM($B$47:$DR$47)</f>
        <v>22.3</v>
      </c>
      <c r="AV67" s="13" t="n">
        <f aca="false">AV64-SUM($B$47:$DR$47)</f>
        <v>24.4</v>
      </c>
      <c r="AW67" s="13" t="n">
        <f aca="false">AW64-SUM($B$47:$DR$47)</f>
        <v>26.5</v>
      </c>
      <c r="AX67" s="13" t="n">
        <f aca="false">AX64-SUM($B$47:$DR$47)</f>
        <v>28.6</v>
      </c>
      <c r="AY67" s="13" t="n">
        <f aca="false">AY64-SUM($B$47:$DR$47)</f>
        <v>30.7</v>
      </c>
      <c r="AZ67" s="13" t="n">
        <f aca="false">AZ64-SUM($B$47:$DR$47)</f>
        <v>32.8</v>
      </c>
      <c r="BA67" s="13" t="n">
        <f aca="false">BA64-SUM($B$47:$DR$47)</f>
        <v>34.9</v>
      </c>
      <c r="BB67" s="13" t="n">
        <f aca="false">BB64-SUM($B$47:$DR$47)</f>
        <v>37</v>
      </c>
      <c r="BC67" s="13" t="n">
        <f aca="false">BC64-SUM($B$47:$DR$47)</f>
        <v>39.1</v>
      </c>
      <c r="BD67" s="13" t="n">
        <f aca="false">BD64-SUM($B$47:$DR$47)</f>
        <v>41.2</v>
      </c>
      <c r="BE67" s="13" t="n">
        <f aca="false">BE64-SUM($B$47:$DR$47)</f>
        <v>43.3</v>
      </c>
      <c r="BF67" s="13" t="n">
        <f aca="false">BF64-SUM($B$47:$DR$47)</f>
        <v>45.4</v>
      </c>
      <c r="BG67" s="13" t="n">
        <f aca="false">BG64-SUM($B$47:$DR$47)</f>
        <v>47.5</v>
      </c>
      <c r="BH67" s="13" t="n">
        <f aca="false">BH64-SUM($B$47:$DR$47)</f>
        <v>49.6</v>
      </c>
      <c r="BI67" s="13" t="n">
        <f aca="false">BI64-SUM($B$47:$DR$47)</f>
        <v>51.7</v>
      </c>
      <c r="BJ67" s="13" t="n">
        <f aca="false">BJ64-SUM($B$47:$DR$47)</f>
        <v>53.8</v>
      </c>
      <c r="BK67" s="13" t="n">
        <f aca="false">BK64-SUM($B$47:$DR$47)</f>
        <v>55.9</v>
      </c>
      <c r="BL67" s="13" t="n">
        <f aca="false">BL64-SUM($B$47:$DR$47)</f>
        <v>58</v>
      </c>
      <c r="BM67" s="13" t="n">
        <f aca="false">BM64-SUM($B$47:$DR$47)</f>
        <v>60.1</v>
      </c>
      <c r="BN67" s="13" t="n">
        <f aca="false">BN64-SUM($B$47:$DR$47)</f>
        <v>62.2</v>
      </c>
      <c r="BO67" s="13" t="n">
        <f aca="false">BO64-SUM($B$47:$DR$47)</f>
        <v>64.3</v>
      </c>
      <c r="BP67" s="13" t="n">
        <f aca="false">BP64-SUM($B$47:$DR$47)</f>
        <v>66.4</v>
      </c>
      <c r="BQ67" s="13" t="n">
        <f aca="false">BQ64-SUM($B$47:$DR$47)</f>
        <v>68.5</v>
      </c>
      <c r="BR67" s="13" t="n">
        <f aca="false">BR64-SUM($B$47:$DR$47)</f>
        <v>70.6</v>
      </c>
      <c r="BS67" s="13" t="n">
        <f aca="false">BS64-SUM($B$47:$DR$47)</f>
        <v>72.7</v>
      </c>
      <c r="BT67" s="13" t="n">
        <f aca="false">BT64-SUM($B$47:$DR$47)</f>
        <v>74.8</v>
      </c>
      <c r="BU67" s="13" t="n">
        <f aca="false">BU64-SUM($B$47:$DR$47)</f>
        <v>76.9</v>
      </c>
      <c r="BV67" s="13" t="n">
        <f aca="false">BV64-SUM($B$47:$DR$47)</f>
        <v>79</v>
      </c>
      <c r="BW67" s="13" t="n">
        <f aca="false">BW64-SUM($B$47:$DR$47)</f>
        <v>81.1</v>
      </c>
      <c r="BX67" s="13" t="n">
        <f aca="false">BX64-SUM($B$47:$DR$47)</f>
        <v>83.2</v>
      </c>
      <c r="BY67" s="13" t="n">
        <f aca="false">BY64-SUM($B$47:$DR$47)</f>
        <v>85.3</v>
      </c>
      <c r="BZ67" s="13" t="n">
        <f aca="false">BZ64-SUM($B$47:$DR$47)</f>
        <v>87.4</v>
      </c>
      <c r="CA67" s="13" t="n">
        <f aca="false">CA64-SUM($B$47:$DR$47)</f>
        <v>89.5</v>
      </c>
      <c r="CB67" s="13" t="n">
        <f aca="false">CB64-SUM($B$47:$DR$47)</f>
        <v>91.6</v>
      </c>
      <c r="CC67" s="13" t="n">
        <f aca="false">CC64-SUM($B$47:$DR$47)</f>
        <v>93.7</v>
      </c>
      <c r="CD67" s="13" t="n">
        <f aca="false">CD64-SUM($B$47:$DR$47)</f>
        <v>95.8</v>
      </c>
      <c r="CE67" s="13" t="n">
        <f aca="false">CE64-SUM($B$47:$DR$47)</f>
        <v>97.9</v>
      </c>
      <c r="CF67" s="13" t="n">
        <f aca="false">CF64-SUM($B$47:$DR$47)</f>
        <v>100</v>
      </c>
      <c r="CG67" s="13" t="n">
        <f aca="false">CG64-SUM($B$47:$DR$47)</f>
        <v>102.1</v>
      </c>
      <c r="CH67" s="13" t="n">
        <f aca="false">CH64-SUM($B$47:$DR$47)</f>
        <v>104.2</v>
      </c>
      <c r="CI67" s="13" t="n">
        <f aca="false">CI64-SUM($B$47:$DR$47)</f>
        <v>106.3</v>
      </c>
      <c r="CJ67" s="13" t="n">
        <f aca="false">CJ64-SUM($B$47:$DR$47)</f>
        <v>108.4</v>
      </c>
      <c r="CK67" s="13" t="n">
        <f aca="false">CK64-SUM($B$47:$DR$47)</f>
        <v>110.5</v>
      </c>
      <c r="CL67" s="13" t="n">
        <f aca="false">CL64-SUM($B$47:$DR$47)</f>
        <v>112.6</v>
      </c>
      <c r="CM67" s="13" t="n">
        <f aca="false">CM64-SUM($B$47:$DR$47)</f>
        <v>114.7</v>
      </c>
      <c r="CN67" s="13" t="n">
        <f aca="false">CN64-SUM($B$47:$DR$47)</f>
        <v>116.8</v>
      </c>
      <c r="CO67" s="13" t="n">
        <f aca="false">CO64-SUM($B$47:$DR$47)</f>
        <v>118.9</v>
      </c>
      <c r="CP67" s="13" t="n">
        <f aca="false">CP64-SUM($B$47:$DR$47)</f>
        <v>121</v>
      </c>
      <c r="CQ67" s="13" t="n">
        <f aca="false">CQ64-SUM($B$47:$DR$47)</f>
        <v>123.1</v>
      </c>
      <c r="CR67" s="13" t="n">
        <f aca="false">CR64-SUM($B$47:$DR$47)</f>
        <v>125.2</v>
      </c>
      <c r="CS67" s="13" t="n">
        <f aca="false">CS64-SUM($B$47:$DR$47)</f>
        <v>127.3</v>
      </c>
      <c r="CT67" s="13" t="n">
        <f aca="false">CT64-SUM($B$47:$DR$47)</f>
        <v>129.4</v>
      </c>
      <c r="CU67" s="13" t="n">
        <f aca="false">CU64-SUM($B$47:$DR$47)</f>
        <v>131.5</v>
      </c>
      <c r="CV67" s="13" t="n">
        <f aca="false">CV64-SUM($B$47:$DR$47)</f>
        <v>133.6</v>
      </c>
      <c r="CW67" s="13" t="n">
        <f aca="false">CW64-SUM($B$47:$DR$47)</f>
        <v>135.7</v>
      </c>
      <c r="CX67" s="13" t="n">
        <f aca="false">CX64-SUM($B$47:$DR$47)</f>
        <v>137.8</v>
      </c>
      <c r="CY67" s="13" t="n">
        <f aca="false">CY64-SUM($B$47:$DR$47)</f>
        <v>139.9</v>
      </c>
      <c r="CZ67" s="13" t="n">
        <f aca="false">CZ64-SUM($B$47:$DR$47)</f>
        <v>142</v>
      </c>
      <c r="DA67" s="13" t="n">
        <f aca="false">DA64-SUM($B$47:$DR$47)</f>
        <v>144.1</v>
      </c>
      <c r="DB67" s="13" t="n">
        <f aca="false">DB64-SUM($B$47:$DR$47)</f>
        <v>146.2</v>
      </c>
      <c r="DC67" s="13" t="n">
        <f aca="false">DC64-SUM($B$47:$DR$47)</f>
        <v>148.3</v>
      </c>
      <c r="DD67" s="13" t="n">
        <f aca="false">DD64-SUM($B$47:$DR$47)</f>
        <v>150.4</v>
      </c>
      <c r="DE67" s="13" t="n">
        <f aca="false">DE64-SUM($B$47:$DR$47)</f>
        <v>152.5</v>
      </c>
      <c r="DF67" s="13" t="n">
        <f aca="false">DF64-SUM($B$47:$DR$47)</f>
        <v>154.6</v>
      </c>
      <c r="DG67" s="13" t="n">
        <f aca="false">DG64-SUM($B$47:$DR$47)</f>
        <v>156.7</v>
      </c>
      <c r="DH67" s="13" t="n">
        <f aca="false">DH64-SUM($B$47:$DR$47)</f>
        <v>158.8</v>
      </c>
      <c r="DI67" s="13" t="n">
        <f aca="false">DI64-SUM($B$47:$DR$47)</f>
        <v>160.9</v>
      </c>
      <c r="DJ67" s="13" t="n">
        <f aca="false">DJ64-SUM($B$47:$DR$47)</f>
        <v>163</v>
      </c>
      <c r="DK67" s="13" t="n">
        <f aca="false">DK64-SUM($B$47:$DR$47)</f>
        <v>165.1</v>
      </c>
      <c r="DL67" s="13" t="n">
        <f aca="false">DL64-SUM($B$47:$DR$47)</f>
        <v>167.2</v>
      </c>
      <c r="DM67" s="13" t="n">
        <f aca="false">DM64-SUM($B$47:$DR$47)</f>
        <v>169.3</v>
      </c>
      <c r="DN67" s="13" t="n">
        <f aca="false">DN64-SUM($B$47:$DR$47)</f>
        <v>171.4</v>
      </c>
      <c r="DO67" s="13" t="n">
        <f aca="false">DO64-SUM($B$47:$DR$47)</f>
        <v>173.5</v>
      </c>
      <c r="DP67" s="13" t="n">
        <f aca="false">DP64-SUM($B$47:$DR$47)</f>
        <v>175.6</v>
      </c>
      <c r="DQ67" s="13" t="n">
        <f aca="false">DQ64-SUM($B$47:$DR$47)</f>
        <v>177.7</v>
      </c>
      <c r="DR67" s="13" t="n">
        <f aca="false">DR64-SUM($B$47:$DR$47)</f>
        <v>179.8</v>
      </c>
    </row>
    <row r="68" customFormat="false" ht="15" hidden="false" customHeight="false" outlineLevel="0" collapsed="false">
      <c r="A68" s="9" t="s">
        <v>236</v>
      </c>
      <c r="B68" s="10" t="n">
        <f aca="false">IF(B22&lt;-Inputs!$B$33,Inputs!$B$35,Inputs!$B$34)</f>
        <v>0</v>
      </c>
      <c r="C68" s="10" t="n">
        <f aca="false">IF(C22&lt;-Inputs!$B$33,Inputs!$B$35,Inputs!$B$34)</f>
        <v>0</v>
      </c>
      <c r="D68" s="10" t="n">
        <f aca="false">IF(D22&lt;-Inputs!$B$33,Inputs!$B$35,Inputs!$B$34)</f>
        <v>0</v>
      </c>
      <c r="E68" s="10" t="n">
        <f aca="false">IF(E22&lt;-Inputs!$B$33,Inputs!$B$35,Inputs!$B$34)</f>
        <v>0</v>
      </c>
      <c r="F68" s="10" t="n">
        <f aca="false">IF(F22&lt;-Inputs!$B$33,Inputs!$B$35,Inputs!$B$34)</f>
        <v>0</v>
      </c>
      <c r="G68" s="10" t="n">
        <f aca="false">IF(G22&lt;-Inputs!$B$33,Inputs!$B$35,Inputs!$B$34)</f>
        <v>0</v>
      </c>
      <c r="H68" s="10" t="n">
        <f aca="false">IF(H22&lt;-Inputs!$B$33,Inputs!$B$35,Inputs!$B$34)</f>
        <v>0</v>
      </c>
      <c r="I68" s="10" t="n">
        <f aca="false">IF(I22&lt;-Inputs!$B$33,Inputs!$B$35,Inputs!$B$34)</f>
        <v>0</v>
      </c>
      <c r="J68" s="10" t="n">
        <f aca="false">IF(J22&lt;-Inputs!$B$33,Inputs!$B$35,Inputs!$B$34)</f>
        <v>0</v>
      </c>
      <c r="K68" s="10" t="n">
        <f aca="false">IF(K22&lt;-Inputs!$B$33,Inputs!$B$35,Inputs!$B$34)</f>
        <v>0</v>
      </c>
      <c r="L68" s="10" t="n">
        <f aca="false">IF(L22&lt;-Inputs!$B$33,Inputs!$B$35,Inputs!$B$34)</f>
        <v>0</v>
      </c>
      <c r="M68" s="10" t="n">
        <f aca="false">IF(M22&lt;-Inputs!$B$33,Inputs!$B$35,Inputs!$B$34)</f>
        <v>0</v>
      </c>
      <c r="N68" s="10" t="n">
        <f aca="false">IF(N22&lt;-Inputs!$B$33,Inputs!$B$35,Inputs!$B$34)</f>
        <v>0</v>
      </c>
      <c r="O68" s="10" t="n">
        <f aca="false">IF(O22&lt;-Inputs!$B$33,Inputs!$B$35,Inputs!$B$34)</f>
        <v>0</v>
      </c>
      <c r="P68" s="10" t="n">
        <f aca="false">IF(P22&lt;-Inputs!$B$33,Inputs!$B$35,Inputs!$B$34)</f>
        <v>0</v>
      </c>
      <c r="Q68" s="10" t="n">
        <f aca="false">IF(Q22&lt;-Inputs!$B$33,Inputs!$B$35,Inputs!$B$34)</f>
        <v>0</v>
      </c>
      <c r="R68" s="10" t="n">
        <f aca="false">IF(R22&lt;-Inputs!$B$33,Inputs!$B$35,Inputs!$B$34)</f>
        <v>0</v>
      </c>
      <c r="S68" s="10" t="n">
        <f aca="false">IF(S22&lt;-Inputs!$B$33,Inputs!$B$35,Inputs!$B$34)</f>
        <v>0</v>
      </c>
      <c r="T68" s="10" t="n">
        <f aca="false">IF(T22&lt;-Inputs!$B$33,Inputs!$B$35,Inputs!$B$34)</f>
        <v>0</v>
      </c>
      <c r="U68" s="10" t="n">
        <f aca="false">IF(U22&lt;-Inputs!$B$33,Inputs!$B$35,Inputs!$B$34)</f>
        <v>0</v>
      </c>
      <c r="V68" s="10" t="n">
        <f aca="false">IF(V22&lt;-Inputs!$B$33,Inputs!$B$35,Inputs!$B$34)</f>
        <v>0</v>
      </c>
      <c r="W68" s="10" t="n">
        <f aca="false">IF(W22&lt;-Inputs!$B$33,Inputs!$B$35,Inputs!$B$34)</f>
        <v>0</v>
      </c>
      <c r="X68" s="10" t="n">
        <f aca="false">IF(X22&lt;-Inputs!$B$33,Inputs!$B$35,Inputs!$B$34)</f>
        <v>0</v>
      </c>
      <c r="Y68" s="10" t="n">
        <f aca="false">IF(Y22&lt;-Inputs!$B$33,Inputs!$B$35,Inputs!$B$34)</f>
        <v>0</v>
      </c>
      <c r="Z68" s="10" t="n">
        <f aca="false">IF(Z22&lt;-Inputs!$B$33,Inputs!$B$35,Inputs!$B$34)</f>
        <v>0</v>
      </c>
      <c r="AA68" s="10" t="n">
        <f aca="false">IF(AA22&lt;-Inputs!$B$33,Inputs!$B$35,Inputs!$B$34)</f>
        <v>0</v>
      </c>
      <c r="AB68" s="10" t="n">
        <f aca="false">IF(AB22&lt;-Inputs!$B$33,Inputs!$B$35,Inputs!$B$34)</f>
        <v>0</v>
      </c>
      <c r="AC68" s="10" t="n">
        <f aca="false">IF(AC22&lt;-Inputs!$B$33,Inputs!$B$35,Inputs!$B$34)</f>
        <v>0</v>
      </c>
      <c r="AD68" s="10" t="n">
        <f aca="false">IF(AD22&lt;-Inputs!$B$33,Inputs!$B$35,Inputs!$B$34)</f>
        <v>0</v>
      </c>
      <c r="AE68" s="10" t="n">
        <f aca="false">IF(AE22&lt;-Inputs!$B$33,Inputs!$B$35,Inputs!$B$34)</f>
        <v>0</v>
      </c>
      <c r="AF68" s="10" t="n">
        <f aca="false">IF(AF22&lt;-Inputs!$B$33,Inputs!$B$35,Inputs!$B$34)</f>
        <v>0</v>
      </c>
      <c r="AG68" s="10" t="n">
        <f aca="false">IF(AG22&lt;-Inputs!$B$33,Inputs!$B$35,Inputs!$B$34)</f>
        <v>0</v>
      </c>
      <c r="AH68" s="10" t="n">
        <f aca="false">IF(AH22&lt;-Inputs!$B$33,Inputs!$B$35,Inputs!$B$34)</f>
        <v>0</v>
      </c>
      <c r="AI68" s="10" t="n">
        <f aca="false">IF(AI22&lt;-Inputs!$B$33,Inputs!$B$35,Inputs!$B$34)</f>
        <v>0</v>
      </c>
      <c r="AJ68" s="10" t="n">
        <f aca="false">IF(AJ22&lt;-Inputs!$B$33,Inputs!$B$35,Inputs!$B$34)</f>
        <v>0</v>
      </c>
      <c r="AK68" s="10" t="n">
        <f aca="false">IF(AK22&lt;-Inputs!$B$33,Inputs!$B$35,Inputs!$B$34)</f>
        <v>0</v>
      </c>
      <c r="AL68" s="10" t="n">
        <f aca="false">IF(AL22&lt;-Inputs!$B$33,Inputs!$B$35,Inputs!$B$34)</f>
        <v>0</v>
      </c>
      <c r="AM68" s="10" t="n">
        <f aca="false">IF(AM22&lt;-Inputs!$B$33,Inputs!$B$35,Inputs!$B$34)</f>
        <v>0</v>
      </c>
      <c r="AN68" s="10" t="n">
        <f aca="false">IF(AN22&lt;-Inputs!$B$33,Inputs!$B$35,Inputs!$B$34)</f>
        <v>0</v>
      </c>
      <c r="AO68" s="10" t="n">
        <f aca="false">IF(AO22&lt;-Inputs!$B$33,Inputs!$B$35,Inputs!$B$34)</f>
        <v>0</v>
      </c>
      <c r="AP68" s="10" t="n">
        <f aca="false">IF(AP22&lt;-Inputs!$B$33,Inputs!$B$35,Inputs!$B$34)</f>
        <v>0</v>
      </c>
      <c r="AQ68" s="10" t="n">
        <f aca="false">IF(AQ22&lt;-Inputs!$B$33,Inputs!$B$35,Inputs!$B$34)</f>
        <v>0</v>
      </c>
      <c r="AR68" s="10" t="n">
        <f aca="false">IF(AR22&lt;-Inputs!$B$33,Inputs!$B$35,Inputs!$B$34)</f>
        <v>0</v>
      </c>
      <c r="AS68" s="10" t="n">
        <f aca="false">IF(AS22&lt;-Inputs!$B$33,Inputs!$B$35,Inputs!$B$34)</f>
        <v>0</v>
      </c>
      <c r="AT68" s="10" t="n">
        <f aca="false">IF(AT22&lt;-Inputs!$B$33,Inputs!$B$35,Inputs!$B$34)</f>
        <v>0</v>
      </c>
      <c r="AU68" s="10" t="n">
        <f aca="false">IF(AU22&lt;-Inputs!$B$33,Inputs!$B$35,Inputs!$B$34)</f>
        <v>0</v>
      </c>
      <c r="AV68" s="10" t="n">
        <f aca="false">IF(AV22&lt;-Inputs!$B$33,Inputs!$B$35,Inputs!$B$34)</f>
        <v>0</v>
      </c>
      <c r="AW68" s="10" t="n">
        <f aca="false">IF(AW22&lt;-Inputs!$B$33,Inputs!$B$35,Inputs!$B$34)</f>
        <v>0</v>
      </c>
      <c r="AX68" s="10" t="n">
        <f aca="false">IF(AX22&lt;-Inputs!$B$33,Inputs!$B$35,Inputs!$B$34)</f>
        <v>0</v>
      </c>
      <c r="AY68" s="10" t="n">
        <f aca="false">IF(AY22&lt;-Inputs!$B$33,Inputs!$B$35,Inputs!$B$34)</f>
        <v>0</v>
      </c>
      <c r="AZ68" s="10" t="n">
        <f aca="false">IF(AZ22&lt;-Inputs!$B$33,Inputs!$B$35,Inputs!$B$34)</f>
        <v>0</v>
      </c>
      <c r="BA68" s="10" t="n">
        <f aca="false">IF(BA22&lt;-Inputs!$B$33,Inputs!$B$35,Inputs!$B$34)</f>
        <v>0</v>
      </c>
      <c r="BB68" s="10" t="n">
        <f aca="false">IF(BB22&lt;-Inputs!$B$33,Inputs!$B$35,Inputs!$B$34)</f>
        <v>0</v>
      </c>
      <c r="BC68" s="10" t="n">
        <f aca="false">IF(BC22&lt;-Inputs!$B$33,Inputs!$B$35,Inputs!$B$34)</f>
        <v>0</v>
      </c>
      <c r="BD68" s="10" t="n">
        <f aca="false">IF(BD22&lt;-Inputs!$B$33,Inputs!$B$35,Inputs!$B$34)</f>
        <v>0</v>
      </c>
      <c r="BE68" s="10" t="n">
        <f aca="false">IF(BE22&lt;-Inputs!$B$33,Inputs!$B$35,Inputs!$B$34)</f>
        <v>0</v>
      </c>
      <c r="BF68" s="10" t="n">
        <f aca="false">IF(BF22&lt;-Inputs!$B$33,Inputs!$B$35,Inputs!$B$34)</f>
        <v>0</v>
      </c>
      <c r="BG68" s="10" t="n">
        <f aca="false">IF(BG22&lt;-Inputs!$B$33,Inputs!$B$35,Inputs!$B$34)</f>
        <v>0</v>
      </c>
      <c r="BH68" s="10" t="n">
        <f aca="false">IF(BH22&lt;-Inputs!$B$33,Inputs!$B$35,Inputs!$B$34)</f>
        <v>0</v>
      </c>
      <c r="BI68" s="10" t="n">
        <f aca="false">IF(BI22&lt;-Inputs!$B$33,Inputs!$B$35,Inputs!$B$34)</f>
        <v>0</v>
      </c>
      <c r="BJ68" s="10" t="n">
        <f aca="false">IF(BJ22&lt;-Inputs!$B$33,Inputs!$B$35,Inputs!$B$34)</f>
        <v>0</v>
      </c>
      <c r="BK68" s="10" t="n">
        <f aca="false">IF(BK22&lt;-Inputs!$B$33,Inputs!$B$35,Inputs!$B$34)</f>
        <v>0</v>
      </c>
      <c r="BL68" s="10" t="n">
        <f aca="false">IF(BL22&lt;-Inputs!$B$33,Inputs!$B$35,Inputs!$B$34)</f>
        <v>0</v>
      </c>
      <c r="BM68" s="10" t="n">
        <f aca="false">IF(BM22&lt;-Inputs!$B$33,Inputs!$B$35,Inputs!$B$34)</f>
        <v>0</v>
      </c>
      <c r="BN68" s="10" t="n">
        <f aca="false">IF(BN22&lt;-Inputs!$B$33,Inputs!$B$35,Inputs!$B$34)</f>
        <v>0</v>
      </c>
      <c r="BO68" s="10" t="n">
        <f aca="false">IF(BO22&lt;-Inputs!$B$33,Inputs!$B$35,Inputs!$B$34)</f>
        <v>0</v>
      </c>
      <c r="BP68" s="10" t="n">
        <f aca="false">IF(BP22&lt;-Inputs!$B$33,Inputs!$B$35,Inputs!$B$34)</f>
        <v>0</v>
      </c>
      <c r="BQ68" s="10" t="n">
        <f aca="false">IF(BQ22&lt;-Inputs!$B$33,Inputs!$B$35,Inputs!$B$34)</f>
        <v>0</v>
      </c>
      <c r="BR68" s="10" t="n">
        <f aca="false">IF(BR22&lt;-Inputs!$B$33,Inputs!$B$35,Inputs!$B$34)</f>
        <v>0</v>
      </c>
      <c r="BS68" s="10" t="n">
        <f aca="false">IF(BS22&lt;-Inputs!$B$33,Inputs!$B$35,Inputs!$B$34)</f>
        <v>0</v>
      </c>
      <c r="BT68" s="10" t="n">
        <f aca="false">IF(BT22&lt;-Inputs!$B$33,Inputs!$B$35,Inputs!$B$34)</f>
        <v>0</v>
      </c>
      <c r="BU68" s="10" t="n">
        <f aca="false">IF(BU22&lt;-Inputs!$B$33,Inputs!$B$35,Inputs!$B$34)</f>
        <v>0</v>
      </c>
      <c r="BV68" s="10" t="n">
        <f aca="false">IF(BV22&lt;-Inputs!$B$33,Inputs!$B$35,Inputs!$B$34)</f>
        <v>0</v>
      </c>
      <c r="BW68" s="10" t="n">
        <f aca="false">IF(BW22&lt;-Inputs!$B$33,Inputs!$B$35,Inputs!$B$34)</f>
        <v>0</v>
      </c>
      <c r="BX68" s="10" t="n">
        <f aca="false">IF(BX22&lt;-Inputs!$B$33,Inputs!$B$35,Inputs!$B$34)</f>
        <v>0</v>
      </c>
      <c r="BY68" s="10" t="n">
        <f aca="false">IF(BY22&lt;-Inputs!$B$33,Inputs!$B$35,Inputs!$B$34)</f>
        <v>0</v>
      </c>
      <c r="BZ68" s="10" t="n">
        <f aca="false">IF(BZ22&lt;-Inputs!$B$33,Inputs!$B$35,Inputs!$B$34)</f>
        <v>0</v>
      </c>
      <c r="CA68" s="10" t="n">
        <f aca="false">IF(CA22&lt;-Inputs!$B$33,Inputs!$B$35,Inputs!$B$34)</f>
        <v>0</v>
      </c>
      <c r="CB68" s="10" t="n">
        <f aca="false">IF(CB22&lt;-Inputs!$B$33,Inputs!$B$35,Inputs!$B$34)</f>
        <v>0</v>
      </c>
      <c r="CC68" s="10" t="n">
        <f aca="false">IF(CC22&lt;-Inputs!$B$33,Inputs!$B$35,Inputs!$B$34)</f>
        <v>0</v>
      </c>
      <c r="CD68" s="10" t="n">
        <f aca="false">IF(CD22&lt;-Inputs!$B$33,Inputs!$B$35,Inputs!$B$34)</f>
        <v>0</v>
      </c>
      <c r="CE68" s="10" t="n">
        <f aca="false">IF(CE22&lt;-Inputs!$B$33,Inputs!$B$35,Inputs!$B$34)</f>
        <v>0</v>
      </c>
      <c r="CF68" s="10" t="n">
        <f aca="false">IF(CF22&lt;-Inputs!$B$33,Inputs!$B$35,Inputs!$B$34)</f>
        <v>0</v>
      </c>
      <c r="CG68" s="10" t="n">
        <f aca="false">IF(CG22&lt;-Inputs!$B$33,Inputs!$B$35,Inputs!$B$34)</f>
        <v>0</v>
      </c>
      <c r="CH68" s="10" t="n">
        <f aca="false">IF(CH22&lt;-Inputs!$B$33,Inputs!$B$35,Inputs!$B$34)</f>
        <v>0</v>
      </c>
      <c r="CI68" s="10" t="n">
        <f aca="false">IF(CI22&lt;-Inputs!$B$33,Inputs!$B$35,Inputs!$B$34)</f>
        <v>0</v>
      </c>
      <c r="CJ68" s="10" t="n">
        <f aca="false">IF(CJ22&lt;-Inputs!$B$33,Inputs!$B$35,Inputs!$B$34)</f>
        <v>0</v>
      </c>
      <c r="CK68" s="10" t="n">
        <f aca="false">IF(CK22&lt;-Inputs!$B$33,Inputs!$B$35,Inputs!$B$34)</f>
        <v>0</v>
      </c>
      <c r="CL68" s="10" t="n">
        <f aca="false">IF(CL22&lt;-Inputs!$B$33,Inputs!$B$35,Inputs!$B$34)</f>
        <v>0</v>
      </c>
      <c r="CM68" s="10" t="n">
        <f aca="false">IF(CM22&lt;-Inputs!$B$33,Inputs!$B$35,Inputs!$B$34)</f>
        <v>0</v>
      </c>
      <c r="CN68" s="10" t="n">
        <f aca="false">IF(CN22&lt;-Inputs!$B$33,Inputs!$B$35,Inputs!$B$34)</f>
        <v>0</v>
      </c>
      <c r="CO68" s="10" t="n">
        <f aca="false">IF(CO22&lt;-Inputs!$B$33,Inputs!$B$35,Inputs!$B$34)</f>
        <v>0</v>
      </c>
      <c r="CP68" s="10" t="n">
        <f aca="false">IF(CP22&lt;-Inputs!$B$33,Inputs!$B$35,Inputs!$B$34)</f>
        <v>0</v>
      </c>
      <c r="CQ68" s="10" t="n">
        <f aca="false">IF(CQ22&lt;-Inputs!$B$33,Inputs!$B$35,Inputs!$B$34)</f>
        <v>0</v>
      </c>
      <c r="CR68" s="10" t="n">
        <f aca="false">IF(CR22&lt;-Inputs!$B$33,Inputs!$B$35,Inputs!$B$34)</f>
        <v>0</v>
      </c>
      <c r="CS68" s="10" t="n">
        <f aca="false">IF(CS22&lt;-Inputs!$B$33,Inputs!$B$35,Inputs!$B$34)</f>
        <v>0</v>
      </c>
      <c r="CT68" s="10" t="n">
        <f aca="false">IF(CT22&lt;-Inputs!$B$33,Inputs!$B$35,Inputs!$B$34)</f>
        <v>0</v>
      </c>
      <c r="CU68" s="10" t="n">
        <f aca="false">IF(CU22&lt;-Inputs!$B$33,Inputs!$B$35,Inputs!$B$34)</f>
        <v>0</v>
      </c>
      <c r="CV68" s="10" t="n">
        <f aca="false">IF(CV22&lt;-Inputs!$B$33,Inputs!$B$35,Inputs!$B$34)</f>
        <v>0</v>
      </c>
      <c r="CW68" s="10" t="n">
        <f aca="false">IF(CW22&lt;-Inputs!$B$33,Inputs!$B$35,Inputs!$B$34)</f>
        <v>0</v>
      </c>
      <c r="CX68" s="10" t="n">
        <f aca="false">IF(CX22&lt;-Inputs!$B$33,Inputs!$B$35,Inputs!$B$34)</f>
        <v>0</v>
      </c>
      <c r="CY68" s="10" t="n">
        <f aca="false">IF(CY22&lt;-Inputs!$B$33,Inputs!$B$35,Inputs!$B$34)</f>
        <v>0</v>
      </c>
      <c r="CZ68" s="10" t="n">
        <f aca="false">IF(CZ22&lt;-Inputs!$B$33,Inputs!$B$35,Inputs!$B$34)</f>
        <v>0</v>
      </c>
      <c r="DA68" s="10" t="n">
        <f aca="false">IF(DA22&lt;-Inputs!$B$33,Inputs!$B$35,Inputs!$B$34)</f>
        <v>0</v>
      </c>
      <c r="DB68" s="10" t="n">
        <f aca="false">IF(DB22&lt;-Inputs!$B$33,Inputs!$B$35,Inputs!$B$34)</f>
        <v>0</v>
      </c>
      <c r="DC68" s="10" t="n">
        <f aca="false">IF(DC22&lt;-Inputs!$B$33,Inputs!$B$35,Inputs!$B$34)</f>
        <v>0</v>
      </c>
      <c r="DD68" s="10" t="n">
        <f aca="false">IF(DD22&lt;-Inputs!$B$33,Inputs!$B$35,Inputs!$B$34)</f>
        <v>0</v>
      </c>
      <c r="DE68" s="10" t="n">
        <f aca="false">IF(DE22&lt;-Inputs!$B$33,Inputs!$B$35,Inputs!$B$34)</f>
        <v>0</v>
      </c>
      <c r="DF68" s="10" t="n">
        <f aca="false">IF(DF22&lt;-Inputs!$B$33,Inputs!$B$35,Inputs!$B$34)</f>
        <v>0</v>
      </c>
      <c r="DG68" s="10" t="n">
        <f aca="false">IF(DG22&lt;-Inputs!$B$33,Inputs!$B$35,Inputs!$B$34)</f>
        <v>0</v>
      </c>
      <c r="DH68" s="10" t="n">
        <f aca="false">IF(DH22&lt;-Inputs!$B$33,Inputs!$B$35,Inputs!$B$34)</f>
        <v>0</v>
      </c>
      <c r="DI68" s="10" t="n">
        <f aca="false">IF(DI22&lt;-Inputs!$B$33,Inputs!$B$35,Inputs!$B$34)</f>
        <v>0</v>
      </c>
      <c r="DJ68" s="10" t="n">
        <f aca="false">IF(DJ22&lt;-Inputs!$B$33,Inputs!$B$35,Inputs!$B$34)</f>
        <v>0</v>
      </c>
      <c r="DK68" s="10" t="n">
        <f aca="false">IF(DK22&lt;-Inputs!$B$33,Inputs!$B$35,Inputs!$B$34)</f>
        <v>0</v>
      </c>
      <c r="DL68" s="10" t="n">
        <f aca="false">IF(DL22&lt;-Inputs!$B$33,Inputs!$B$35,Inputs!$B$34)</f>
        <v>0</v>
      </c>
      <c r="DM68" s="10" t="n">
        <f aca="false">IF(DM22&lt;-Inputs!$B$33,Inputs!$B$35,Inputs!$B$34)</f>
        <v>0</v>
      </c>
      <c r="DN68" s="10" t="n">
        <f aca="false">IF(DN22&lt;-Inputs!$B$33,Inputs!$B$35,Inputs!$B$34)</f>
        <v>0</v>
      </c>
      <c r="DO68" s="10" t="n">
        <f aca="false">IF(DO22&lt;-Inputs!$B$33,Inputs!$B$35,Inputs!$B$34)</f>
        <v>0</v>
      </c>
      <c r="DP68" s="10" t="n">
        <f aca="false">IF(DP22&lt;-Inputs!$B$33,Inputs!$B$35,Inputs!$B$34)</f>
        <v>0</v>
      </c>
      <c r="DQ68" s="10" t="n">
        <f aca="false">IF(DQ22&lt;-Inputs!$B$33,Inputs!$B$35,Inputs!$B$34)</f>
        <v>0</v>
      </c>
      <c r="DR68" s="10" t="n">
        <f aca="false">IF(DR22&lt;-Inputs!$B$33,Inputs!$B$35,Inputs!$B$34)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12" min="2" style="0" width="16"/>
  </cols>
  <sheetData>
    <row r="1" customFormat="false" ht="31.5" hidden="false" customHeight="true" outlineLevel="0" collapsed="false">
      <c r="A1" s="1" t="s">
        <v>170</v>
      </c>
      <c r="B1" s="15" t="n">
        <f aca="false">Inputs!$B$34</f>
        <v>0</v>
      </c>
      <c r="C1" s="15" t="n">
        <f aca="false">B1+Inputs!$B$35</f>
        <v>1</v>
      </c>
      <c r="D1" s="15" t="n">
        <f aca="false">C1+Inputs!$B$35</f>
        <v>2</v>
      </c>
      <c r="E1" s="15" t="n">
        <f aca="false">D1+Inputs!$B$35</f>
        <v>3</v>
      </c>
      <c r="F1" s="15" t="n">
        <f aca="false">E1+Inputs!$B$35</f>
        <v>4</v>
      </c>
      <c r="G1" s="15" t="n">
        <f aca="false">F1+Inputs!$B$35</f>
        <v>5</v>
      </c>
      <c r="H1" s="15" t="n">
        <f aca="false">G1+Inputs!$B$35</f>
        <v>6</v>
      </c>
      <c r="I1" s="15" t="n">
        <f aca="false">H1+Inputs!$B$35</f>
        <v>7</v>
      </c>
      <c r="J1" s="15" t="n">
        <f aca="false">I1+Inputs!$B$35</f>
        <v>8</v>
      </c>
      <c r="K1" s="15" t="n">
        <f aca="false">J1+Inputs!$B$35</f>
        <v>9</v>
      </c>
      <c r="L1" s="15" t="n">
        <f aca="false">K1+Inputs!$B$35</f>
        <v>10</v>
      </c>
    </row>
    <row r="2" customFormat="false" ht="15" hidden="false" customHeight="false" outlineLevel="0" collapsed="false">
      <c r="A2" s="2" t="s">
        <v>171</v>
      </c>
      <c r="B2" s="5" t="n">
        <f aca="false">B1</f>
        <v>0</v>
      </c>
      <c r="C2" s="5" t="n">
        <f aca="false">C1</f>
        <v>1</v>
      </c>
      <c r="D2" s="5" t="n">
        <f aca="false">D1</f>
        <v>2</v>
      </c>
      <c r="E2" s="5" t="n">
        <f aca="false">E1</f>
        <v>3</v>
      </c>
      <c r="F2" s="5" t="n">
        <f aca="false">F1</f>
        <v>4</v>
      </c>
      <c r="G2" s="5" t="n">
        <f aca="false">G1</f>
        <v>5</v>
      </c>
      <c r="H2" s="5" t="n">
        <f aca="false">H1</f>
        <v>6</v>
      </c>
      <c r="I2" s="5" t="n">
        <f aca="false">I1</f>
        <v>7</v>
      </c>
      <c r="J2" s="5" t="n">
        <f aca="false">J1</f>
        <v>8</v>
      </c>
      <c r="K2" s="5" t="n">
        <f aca="false">K1</f>
        <v>9</v>
      </c>
      <c r="L2" s="5" t="n">
        <f aca="false">L1</f>
        <v>10</v>
      </c>
    </row>
    <row r="3" customFormat="false" ht="15" hidden="false" customHeight="false" outlineLevel="0" collapsed="false">
      <c r="A3" s="2" t="s">
        <v>172</v>
      </c>
      <c r="B3" s="6" t="n">
        <f aca="false">Downside!B3</f>
        <v>0</v>
      </c>
      <c r="C3" s="6" t="n">
        <f aca="false">SUM(Downside!C3:N3)</f>
        <v>42</v>
      </c>
      <c r="D3" s="6" t="n">
        <f aca="false">SUM(Downside!O3:Z3)</f>
        <v>240</v>
      </c>
      <c r="E3" s="6" t="n">
        <f aca="false">SUM(Downside!AA3:AL3)</f>
        <v>252</v>
      </c>
      <c r="F3" s="6" t="n">
        <f aca="false">SUM(Downside!AM3:AX3)</f>
        <v>252</v>
      </c>
      <c r="G3" s="6" t="n">
        <f aca="false">SUM(Downside!AY3:BJ3)</f>
        <v>252</v>
      </c>
      <c r="H3" s="6" t="n">
        <f aca="false">SUM(Downside!BK3:BV3)</f>
        <v>252</v>
      </c>
      <c r="I3" s="6" t="n">
        <f aca="false">SUM(Downside!BW3:CH3)</f>
        <v>252</v>
      </c>
      <c r="J3" s="6" t="n">
        <f aca="false">SUM(Downside!CI3:CT3)</f>
        <v>252</v>
      </c>
      <c r="K3" s="6" t="n">
        <f aca="false">SUM(Downside!CU3:DF3)</f>
        <v>252</v>
      </c>
      <c r="L3" s="6" t="n">
        <f aca="false">SUM(Downside!DG3:DR3)</f>
        <v>252</v>
      </c>
    </row>
    <row r="4" customFormat="false" ht="15" hidden="false" customHeight="false" outlineLevel="0" collapsed="false">
      <c r="A4" s="2" t="s">
        <v>173</v>
      </c>
      <c r="B4" s="6" t="n">
        <f aca="false">Downside!B4</f>
        <v>0</v>
      </c>
      <c r="C4" s="6" t="n">
        <f aca="false">SUM(Downside!C4:N4)</f>
        <v>42</v>
      </c>
      <c r="D4" s="6" t="n">
        <f aca="false">SUM(Downside!O4:Z4)</f>
        <v>240</v>
      </c>
      <c r="E4" s="6" t="n">
        <f aca="false">SUM(Downside!AA4:AL4)</f>
        <v>252</v>
      </c>
      <c r="F4" s="6" t="n">
        <f aca="false">SUM(Downside!AM4:AX4)</f>
        <v>252</v>
      </c>
      <c r="G4" s="6" t="n">
        <f aca="false">SUM(Downside!AY4:BJ4)</f>
        <v>252</v>
      </c>
      <c r="H4" s="6" t="n">
        <f aca="false">SUM(Downside!BK4:BV4)</f>
        <v>252</v>
      </c>
      <c r="I4" s="6" t="n">
        <f aca="false">SUM(Downside!BW4:CH4)</f>
        <v>252</v>
      </c>
      <c r="J4" s="6" t="n">
        <f aca="false">SUM(Downside!CI4:CT4)</f>
        <v>252</v>
      </c>
      <c r="K4" s="6" t="n">
        <f aca="false">SUM(Downside!CU4:DF4)</f>
        <v>252</v>
      </c>
      <c r="L4" s="6" t="n">
        <f aca="false">SUM(Downside!DG4:DR4)</f>
        <v>252</v>
      </c>
    </row>
    <row r="5" customFormat="false" ht="15" hidden="false" customHeight="false" outlineLevel="0" collapsed="false">
      <c r="A5" s="2" t="s">
        <v>174</v>
      </c>
      <c r="B5" s="6" t="n">
        <f aca="false">Downside!B5</f>
        <v>0</v>
      </c>
      <c r="C5" s="6" t="n">
        <f aca="false">SUM(Downside!C5:N5)</f>
        <v>0</v>
      </c>
      <c r="D5" s="6" t="n">
        <f aca="false">SUM(Downside!O5:Z5)</f>
        <v>0</v>
      </c>
      <c r="E5" s="6" t="n">
        <f aca="false">SUM(Downside!AA5:AL5)</f>
        <v>0</v>
      </c>
      <c r="F5" s="6" t="n">
        <f aca="false">SUM(Downside!AM5:AX5)</f>
        <v>0</v>
      </c>
      <c r="G5" s="6" t="n">
        <f aca="false">SUM(Downside!AY5:BJ5)</f>
        <v>0</v>
      </c>
      <c r="H5" s="6" t="n">
        <f aca="false">SUM(Downside!BK5:BV5)</f>
        <v>0</v>
      </c>
      <c r="I5" s="6" t="n">
        <f aca="false">SUM(Downside!BW5:CH5)</f>
        <v>0</v>
      </c>
      <c r="J5" s="6" t="n">
        <f aca="false">SUM(Downside!CI5:CT5)</f>
        <v>0</v>
      </c>
      <c r="K5" s="6" t="n">
        <f aca="false">SUM(Downside!CU5:DF5)</f>
        <v>0</v>
      </c>
      <c r="L5" s="6" t="n">
        <f aca="false">SUM(Downside!DG5:DR5)</f>
        <v>0</v>
      </c>
    </row>
    <row r="6" customFormat="false" ht="15" hidden="false" customHeight="false" outlineLevel="0" collapsed="false">
      <c r="A6" s="2" t="s">
        <v>175</v>
      </c>
      <c r="B6" s="6" t="n">
        <f aca="false">Downside!B6</f>
        <v>0</v>
      </c>
      <c r="C6" s="6" t="n">
        <f aca="false">SUM(Downside!C6:N6)</f>
        <v>9.6</v>
      </c>
      <c r="D6" s="6" t="n">
        <f aca="false">SUM(Downside!O6:Z6)</f>
        <v>54.8571428571429</v>
      </c>
      <c r="E6" s="6" t="n">
        <f aca="false">SUM(Downside!AA6:AL6)</f>
        <v>57.6</v>
      </c>
      <c r="F6" s="6" t="n">
        <f aca="false">SUM(Downside!AM6:AX6)</f>
        <v>57.6</v>
      </c>
      <c r="G6" s="6" t="n">
        <f aca="false">SUM(Downside!AY6:BJ6)</f>
        <v>57.6</v>
      </c>
      <c r="H6" s="6" t="n">
        <f aca="false">SUM(Downside!BK6:BV6)</f>
        <v>57.6</v>
      </c>
      <c r="I6" s="6" t="n">
        <f aca="false">SUM(Downside!BW6:CH6)</f>
        <v>57.6</v>
      </c>
      <c r="J6" s="6" t="n">
        <f aca="false">SUM(Downside!CI6:CT6)</f>
        <v>57.6</v>
      </c>
      <c r="K6" s="6" t="n">
        <f aca="false">SUM(Downside!CU6:DF6)</f>
        <v>57.6</v>
      </c>
      <c r="L6" s="6" t="n">
        <f aca="false">SUM(Downside!DG6:DR6)</f>
        <v>57.6</v>
      </c>
    </row>
    <row r="7" customFormat="false" ht="15" hidden="false" customHeight="false" outlineLevel="0" collapsed="false">
      <c r="A7" s="2" t="s">
        <v>176</v>
      </c>
      <c r="B7" s="6" t="n">
        <f aca="false">Downside!B7</f>
        <v>0</v>
      </c>
      <c r="C7" s="6" t="n">
        <f aca="false">SUM(Downside!C7:N7)</f>
        <v>3.6</v>
      </c>
      <c r="D7" s="6" t="n">
        <f aca="false">SUM(Downside!O7:Z7)</f>
        <v>20.5714285714286</v>
      </c>
      <c r="E7" s="6" t="n">
        <f aca="false">SUM(Downside!AA7:AL7)</f>
        <v>21.6</v>
      </c>
      <c r="F7" s="6" t="n">
        <f aca="false">SUM(Downside!AM7:AX7)</f>
        <v>21.6</v>
      </c>
      <c r="G7" s="6" t="n">
        <f aca="false">SUM(Downside!AY7:BJ7)</f>
        <v>21.6</v>
      </c>
      <c r="H7" s="6" t="n">
        <f aca="false">SUM(Downside!BK7:BV7)</f>
        <v>21.6</v>
      </c>
      <c r="I7" s="6" t="n">
        <f aca="false">SUM(Downside!BW7:CH7)</f>
        <v>21.6</v>
      </c>
      <c r="J7" s="6" t="n">
        <f aca="false">SUM(Downside!CI7:CT7)</f>
        <v>21.6</v>
      </c>
      <c r="K7" s="6" t="n">
        <f aca="false">SUM(Downside!CU7:DF7)</f>
        <v>21.6</v>
      </c>
      <c r="L7" s="6" t="n">
        <f aca="false">SUM(Downside!DG7:DR7)</f>
        <v>21.6</v>
      </c>
    </row>
    <row r="8" customFormat="false" ht="15" hidden="false" customHeight="false" outlineLevel="0" collapsed="false">
      <c r="A8" s="2" t="s">
        <v>177</v>
      </c>
      <c r="B8" s="6" t="n">
        <f aca="false">Downside!B8</f>
        <v>0</v>
      </c>
      <c r="C8" s="6" t="n">
        <f aca="false">SUM(Downside!C8:N8)</f>
        <v>1.2</v>
      </c>
      <c r="D8" s="6" t="n">
        <f aca="false">SUM(Downside!O8:Z8)</f>
        <v>6.85714285714286</v>
      </c>
      <c r="E8" s="6" t="n">
        <f aca="false">SUM(Downside!AA8:AL8)</f>
        <v>7.2</v>
      </c>
      <c r="F8" s="6" t="n">
        <f aca="false">SUM(Downside!AM8:AX8)</f>
        <v>7.2</v>
      </c>
      <c r="G8" s="6" t="n">
        <f aca="false">SUM(Downside!AY8:BJ8)</f>
        <v>7.2</v>
      </c>
      <c r="H8" s="6" t="n">
        <f aca="false">SUM(Downside!BK8:BV8)</f>
        <v>7.2</v>
      </c>
      <c r="I8" s="6" t="n">
        <f aca="false">SUM(Downside!BW8:CH8)</f>
        <v>7.2</v>
      </c>
      <c r="J8" s="6" t="n">
        <f aca="false">SUM(Downside!CI8:CT8)</f>
        <v>7.2</v>
      </c>
      <c r="K8" s="6" t="n">
        <f aca="false">SUM(Downside!CU8:DF8)</f>
        <v>7.2</v>
      </c>
      <c r="L8" s="6" t="n">
        <f aca="false">SUM(Downside!DG8:DR8)</f>
        <v>7.2</v>
      </c>
    </row>
    <row r="9" customFormat="false" ht="15" hidden="false" customHeight="false" outlineLevel="0" collapsed="false">
      <c r="A9" s="2" t="s">
        <v>178</v>
      </c>
      <c r="B9" s="6" t="n">
        <f aca="false">Downside!B9</f>
        <v>0</v>
      </c>
      <c r="C9" s="6" t="n">
        <f aca="false">SUM(Downside!C9:N9)</f>
        <v>5.4</v>
      </c>
      <c r="D9" s="6" t="n">
        <f aca="false">SUM(Downside!O9:Z9)</f>
        <v>30.8571428571429</v>
      </c>
      <c r="E9" s="6" t="n">
        <f aca="false">SUM(Downside!AA9:AL9)</f>
        <v>32.4</v>
      </c>
      <c r="F9" s="6" t="n">
        <f aca="false">SUM(Downside!AM9:AX9)</f>
        <v>32.4</v>
      </c>
      <c r="G9" s="6" t="n">
        <f aca="false">SUM(Downside!AY9:BJ9)</f>
        <v>32.4</v>
      </c>
      <c r="H9" s="6" t="n">
        <f aca="false">SUM(Downside!BK9:BV9)</f>
        <v>32.4</v>
      </c>
      <c r="I9" s="6" t="n">
        <f aca="false">SUM(Downside!BW9:CH9)</f>
        <v>32.4</v>
      </c>
      <c r="J9" s="6" t="n">
        <f aca="false">SUM(Downside!CI9:CT9)</f>
        <v>32.4</v>
      </c>
      <c r="K9" s="6" t="n">
        <f aca="false">SUM(Downside!CU9:DF9)</f>
        <v>32.4</v>
      </c>
      <c r="L9" s="6" t="n">
        <f aca="false">SUM(Downside!DG9:DR9)</f>
        <v>32.4</v>
      </c>
    </row>
    <row r="10" customFormat="false" ht="15" hidden="false" customHeight="false" outlineLevel="0" collapsed="false">
      <c r="A10" s="2" t="s">
        <v>179</v>
      </c>
      <c r="B10" s="6" t="n">
        <f aca="false">Downside!B10</f>
        <v>0</v>
      </c>
      <c r="C10" s="6" t="n">
        <f aca="false">SUM(Downside!C10:N10)</f>
        <v>1.8</v>
      </c>
      <c r="D10" s="6" t="n">
        <f aca="false">SUM(Downside!O10:Z10)</f>
        <v>10.2857142857143</v>
      </c>
      <c r="E10" s="6" t="n">
        <f aca="false">SUM(Downside!AA10:AL10)</f>
        <v>10.8</v>
      </c>
      <c r="F10" s="6" t="n">
        <f aca="false">SUM(Downside!AM10:AX10)</f>
        <v>10.8</v>
      </c>
      <c r="G10" s="6" t="n">
        <f aca="false">SUM(Downside!AY10:BJ10)</f>
        <v>10.8</v>
      </c>
      <c r="H10" s="6" t="n">
        <f aca="false">SUM(Downside!BK10:BV10)</f>
        <v>10.8</v>
      </c>
      <c r="I10" s="6" t="n">
        <f aca="false">SUM(Downside!BW10:CH10)</f>
        <v>10.8</v>
      </c>
      <c r="J10" s="6" t="n">
        <f aca="false">SUM(Downside!CI10:CT10)</f>
        <v>10.8</v>
      </c>
      <c r="K10" s="6" t="n">
        <f aca="false">SUM(Downside!CU10:DF10)</f>
        <v>10.8</v>
      </c>
      <c r="L10" s="6" t="n">
        <f aca="false">SUM(Downside!DG10:DR10)</f>
        <v>10.8</v>
      </c>
    </row>
    <row r="11" customFormat="false" ht="15" hidden="false" customHeight="false" outlineLevel="0" collapsed="false">
      <c r="A11" s="2" t="s">
        <v>180</v>
      </c>
      <c r="B11" s="6" t="n">
        <f aca="false">Downside!B11</f>
        <v>0</v>
      </c>
      <c r="C11" s="6" t="n">
        <f aca="false">SUM(Downside!C11:N11)</f>
        <v>6</v>
      </c>
      <c r="D11" s="6" t="n">
        <f aca="false">SUM(Downside!O11:Z11)</f>
        <v>34.2857142857143</v>
      </c>
      <c r="E11" s="6" t="n">
        <f aca="false">SUM(Downside!AA11:AL11)</f>
        <v>36</v>
      </c>
      <c r="F11" s="6" t="n">
        <f aca="false">SUM(Downside!AM11:AX11)</f>
        <v>36</v>
      </c>
      <c r="G11" s="6" t="n">
        <f aca="false">SUM(Downside!AY11:BJ11)</f>
        <v>36</v>
      </c>
      <c r="H11" s="6" t="n">
        <f aca="false">SUM(Downside!BK11:BV11)</f>
        <v>36</v>
      </c>
      <c r="I11" s="6" t="n">
        <f aca="false">SUM(Downside!BW11:CH11)</f>
        <v>36</v>
      </c>
      <c r="J11" s="6" t="n">
        <f aca="false">SUM(Downside!CI11:CT11)</f>
        <v>36</v>
      </c>
      <c r="K11" s="6" t="n">
        <f aca="false">SUM(Downside!CU11:DF11)</f>
        <v>36</v>
      </c>
      <c r="L11" s="6" t="n">
        <f aca="false">SUM(Downside!DG11:DR11)</f>
        <v>36</v>
      </c>
    </row>
    <row r="12" customFormat="false" ht="15" hidden="false" customHeight="false" outlineLevel="0" collapsed="false">
      <c r="A12" s="2" t="s">
        <v>181</v>
      </c>
      <c r="B12" s="6" t="n">
        <f aca="false">Downside!B12</f>
        <v>0</v>
      </c>
      <c r="C12" s="6" t="n">
        <f aca="false">SUM(Downside!C12:N12)</f>
        <v>3</v>
      </c>
      <c r="D12" s="6" t="n">
        <f aca="false">SUM(Downside!O12:Z12)</f>
        <v>17.1428571428571</v>
      </c>
      <c r="E12" s="6" t="n">
        <f aca="false">SUM(Downside!AA12:AL12)</f>
        <v>18</v>
      </c>
      <c r="F12" s="6" t="n">
        <f aca="false">SUM(Downside!AM12:AX12)</f>
        <v>18</v>
      </c>
      <c r="G12" s="6" t="n">
        <f aca="false">SUM(Downside!AY12:BJ12)</f>
        <v>18</v>
      </c>
      <c r="H12" s="6" t="n">
        <f aca="false">SUM(Downside!BK12:BV12)</f>
        <v>18</v>
      </c>
      <c r="I12" s="6" t="n">
        <f aca="false">SUM(Downside!BW12:CH12)</f>
        <v>18</v>
      </c>
      <c r="J12" s="6" t="n">
        <f aca="false">SUM(Downside!CI12:CT12)</f>
        <v>18</v>
      </c>
      <c r="K12" s="6" t="n">
        <f aca="false">SUM(Downside!CU12:DF12)</f>
        <v>18</v>
      </c>
      <c r="L12" s="6" t="n">
        <f aca="false">SUM(Downside!DG12:DR12)</f>
        <v>18</v>
      </c>
    </row>
    <row r="13" customFormat="false" ht="15" hidden="false" customHeight="false" outlineLevel="0" collapsed="false">
      <c r="A13" s="2" t="s">
        <v>182</v>
      </c>
      <c r="B13" s="6" t="n">
        <f aca="false">Downside!B13</f>
        <v>0</v>
      </c>
      <c r="C13" s="6" t="n">
        <f aca="false">SUM(Downside!C13:N13)</f>
        <v>1.8</v>
      </c>
      <c r="D13" s="6" t="n">
        <f aca="false">SUM(Downside!O13:Z13)</f>
        <v>10.2857142857143</v>
      </c>
      <c r="E13" s="6" t="n">
        <f aca="false">SUM(Downside!AA13:AL13)</f>
        <v>10.8</v>
      </c>
      <c r="F13" s="6" t="n">
        <f aca="false">SUM(Downside!AM13:AX13)</f>
        <v>10.8</v>
      </c>
      <c r="G13" s="6" t="n">
        <f aca="false">SUM(Downside!AY13:BJ13)</f>
        <v>10.8</v>
      </c>
      <c r="H13" s="6" t="n">
        <f aca="false">SUM(Downside!BK13:BV13)</f>
        <v>10.8</v>
      </c>
      <c r="I13" s="6" t="n">
        <f aca="false">SUM(Downside!BW13:CH13)</f>
        <v>10.8</v>
      </c>
      <c r="J13" s="6" t="n">
        <f aca="false">SUM(Downside!CI13:CT13)</f>
        <v>10.8</v>
      </c>
      <c r="K13" s="6" t="n">
        <f aca="false">SUM(Downside!CU13:DF13)</f>
        <v>10.8</v>
      </c>
      <c r="L13" s="6" t="n">
        <f aca="false">SUM(Downside!DG13:DR13)</f>
        <v>10.8</v>
      </c>
    </row>
    <row r="14" customFormat="false" ht="15" hidden="false" customHeight="false" outlineLevel="0" collapsed="false">
      <c r="A14" s="2" t="s">
        <v>183</v>
      </c>
      <c r="B14" s="6" t="n">
        <f aca="false">Downside!B14</f>
        <v>0</v>
      </c>
      <c r="C14" s="6" t="n">
        <f aca="false">SUM(Downside!C14:N14)</f>
        <v>3.6</v>
      </c>
      <c r="D14" s="6" t="n">
        <f aca="false">SUM(Downside!O14:Z14)</f>
        <v>20.5714285714286</v>
      </c>
      <c r="E14" s="6" t="n">
        <f aca="false">SUM(Downside!AA14:AL14)</f>
        <v>21.6</v>
      </c>
      <c r="F14" s="6" t="n">
        <f aca="false">SUM(Downside!AM14:AX14)</f>
        <v>21.6</v>
      </c>
      <c r="G14" s="6" t="n">
        <f aca="false">SUM(Downside!AY14:BJ14)</f>
        <v>21.6</v>
      </c>
      <c r="H14" s="6" t="n">
        <f aca="false">SUM(Downside!BK14:BV14)</f>
        <v>21.6</v>
      </c>
      <c r="I14" s="6" t="n">
        <f aca="false">SUM(Downside!BW14:CH14)</f>
        <v>21.6</v>
      </c>
      <c r="J14" s="6" t="n">
        <f aca="false">SUM(Downside!CI14:CT14)</f>
        <v>21.6</v>
      </c>
      <c r="K14" s="6" t="n">
        <f aca="false">SUM(Downside!CU14:DF14)</f>
        <v>21.6</v>
      </c>
      <c r="L14" s="6" t="n">
        <f aca="false">SUM(Downside!DG14:DR14)</f>
        <v>21.6</v>
      </c>
    </row>
    <row r="15" customFormat="false" ht="15" hidden="false" customHeight="false" outlineLevel="0" collapsed="false">
      <c r="A15" s="2" t="s">
        <v>184</v>
      </c>
      <c r="B15" s="6" t="n">
        <f aca="false">Downside!B15</f>
        <v>0</v>
      </c>
      <c r="C15" s="6" t="n">
        <f aca="false">SUM(Downside!C15:N15)</f>
        <v>1.2</v>
      </c>
      <c r="D15" s="6" t="n">
        <f aca="false">SUM(Downside!O15:Z15)</f>
        <v>6.85714285714286</v>
      </c>
      <c r="E15" s="6" t="n">
        <f aca="false">SUM(Downside!AA15:AL15)</f>
        <v>7.2</v>
      </c>
      <c r="F15" s="6" t="n">
        <f aca="false">SUM(Downside!AM15:AX15)</f>
        <v>7.2</v>
      </c>
      <c r="G15" s="6" t="n">
        <f aca="false">SUM(Downside!AY15:BJ15)</f>
        <v>7.2</v>
      </c>
      <c r="H15" s="6" t="n">
        <f aca="false">SUM(Downside!BK15:BV15)</f>
        <v>7.2</v>
      </c>
      <c r="I15" s="6" t="n">
        <f aca="false">SUM(Downside!BW15:CH15)</f>
        <v>7.2</v>
      </c>
      <c r="J15" s="6" t="n">
        <f aca="false">SUM(Downside!CI15:CT15)</f>
        <v>7.2</v>
      </c>
      <c r="K15" s="6" t="n">
        <f aca="false">SUM(Downside!CU15:DF15)</f>
        <v>7.2</v>
      </c>
      <c r="L15" s="6" t="n">
        <f aca="false">SUM(Downside!DG15:DR15)</f>
        <v>7.2</v>
      </c>
    </row>
    <row r="16" customFormat="false" ht="15" hidden="false" customHeight="false" outlineLevel="0" collapsed="false">
      <c r="A16" s="2" t="s">
        <v>185</v>
      </c>
      <c r="B16" s="6" t="n">
        <f aca="false">Downside!B16</f>
        <v>0</v>
      </c>
      <c r="C16" s="6" t="n">
        <f aca="false">SUM(Downside!C16:N16)</f>
        <v>1.2</v>
      </c>
      <c r="D16" s="6" t="n">
        <f aca="false">SUM(Downside!O16:Z16)</f>
        <v>6.85714285714286</v>
      </c>
      <c r="E16" s="6" t="n">
        <f aca="false">SUM(Downside!AA16:AL16)</f>
        <v>7.2</v>
      </c>
      <c r="F16" s="6" t="n">
        <f aca="false">SUM(Downside!AM16:AX16)</f>
        <v>7.2</v>
      </c>
      <c r="G16" s="6" t="n">
        <f aca="false">SUM(Downside!AY16:BJ16)</f>
        <v>7.2</v>
      </c>
      <c r="H16" s="6" t="n">
        <f aca="false">SUM(Downside!BK16:BV16)</f>
        <v>7.2</v>
      </c>
      <c r="I16" s="6" t="n">
        <f aca="false">SUM(Downside!BW16:CH16)</f>
        <v>7.2</v>
      </c>
      <c r="J16" s="6" t="n">
        <f aca="false">SUM(Downside!CI16:CT16)</f>
        <v>7.2</v>
      </c>
      <c r="K16" s="6" t="n">
        <f aca="false">SUM(Downside!CU16:DF16)</f>
        <v>7.2</v>
      </c>
      <c r="L16" s="6" t="n">
        <f aca="false">SUM(Downside!DG16:DR16)</f>
        <v>7.2</v>
      </c>
    </row>
    <row r="17" customFormat="false" ht="15" hidden="false" customHeight="false" outlineLevel="0" collapsed="false">
      <c r="A17" s="2" t="s">
        <v>186</v>
      </c>
      <c r="B17" s="6" t="n">
        <f aca="false">Downside!B17</f>
        <v>0</v>
      </c>
      <c r="C17" s="6" t="n">
        <f aca="false">SUM(Downside!C17:N17)</f>
        <v>2.4</v>
      </c>
      <c r="D17" s="6" t="n">
        <f aca="false">SUM(Downside!O17:Z17)</f>
        <v>13.7142857142857</v>
      </c>
      <c r="E17" s="6" t="n">
        <f aca="false">SUM(Downside!AA17:AL17)</f>
        <v>14.4</v>
      </c>
      <c r="F17" s="6" t="n">
        <f aca="false">SUM(Downside!AM17:AX17)</f>
        <v>14.4</v>
      </c>
      <c r="G17" s="6" t="n">
        <f aca="false">SUM(Downside!AY17:BJ17)</f>
        <v>14.4</v>
      </c>
      <c r="H17" s="6" t="n">
        <f aca="false">SUM(Downside!BK17:BV17)</f>
        <v>14.4</v>
      </c>
      <c r="I17" s="6" t="n">
        <f aca="false">SUM(Downside!BW17:CH17)</f>
        <v>14.4</v>
      </c>
      <c r="J17" s="6" t="n">
        <f aca="false">SUM(Downside!CI17:CT17)</f>
        <v>14.4</v>
      </c>
      <c r="K17" s="6" t="n">
        <f aca="false">SUM(Downside!CU17:DF17)</f>
        <v>14.4</v>
      </c>
      <c r="L17" s="6" t="n">
        <f aca="false">SUM(Downside!DG17:DR17)</f>
        <v>14.4</v>
      </c>
    </row>
    <row r="18" customFormat="false" ht="15" hidden="false" customHeight="false" outlineLevel="0" collapsed="false">
      <c r="A18" s="2" t="s">
        <v>187</v>
      </c>
      <c r="B18" s="6" t="n">
        <f aca="false">Downside!B18</f>
        <v>0</v>
      </c>
      <c r="C18" s="6" t="n">
        <f aca="false">SUM(Downside!C18:N18)</f>
        <v>1.2</v>
      </c>
      <c r="D18" s="6" t="n">
        <f aca="false">SUM(Downside!O18:Z18)</f>
        <v>6.85714285714286</v>
      </c>
      <c r="E18" s="6" t="n">
        <f aca="false">SUM(Downside!AA18:AL18)</f>
        <v>7.2</v>
      </c>
      <c r="F18" s="6" t="n">
        <f aca="false">SUM(Downside!AM18:AX18)</f>
        <v>7.2</v>
      </c>
      <c r="G18" s="6" t="n">
        <f aca="false">SUM(Downside!AY18:BJ18)</f>
        <v>7.2</v>
      </c>
      <c r="H18" s="6" t="n">
        <f aca="false">SUM(Downside!BK18:BV18)</f>
        <v>7.2</v>
      </c>
      <c r="I18" s="6" t="n">
        <f aca="false">SUM(Downside!BW18:CH18)</f>
        <v>7.2</v>
      </c>
      <c r="J18" s="6" t="n">
        <f aca="false">SUM(Downside!CI18:CT18)</f>
        <v>7.2</v>
      </c>
      <c r="K18" s="6" t="n">
        <f aca="false">SUM(Downside!CU18:DF18)</f>
        <v>7.2</v>
      </c>
      <c r="L18" s="6" t="n">
        <f aca="false">SUM(Downside!DG18:DR18)</f>
        <v>7.2</v>
      </c>
    </row>
    <row r="19" customFormat="false" ht="15" hidden="false" customHeight="false" outlineLevel="0" collapsed="false">
      <c r="A19" s="16" t="s">
        <v>188</v>
      </c>
      <c r="B19" s="17" t="n">
        <f aca="false">Downside!B19</f>
        <v>0</v>
      </c>
      <c r="C19" s="17" t="n">
        <f aca="false">SUM(Downside!C19:N19)</f>
        <v>42</v>
      </c>
      <c r="D19" s="17" t="n">
        <f aca="false">SUM(Downside!O19:Z19)</f>
        <v>240</v>
      </c>
      <c r="E19" s="17" t="n">
        <f aca="false">SUM(Downside!AA19:AL19)</f>
        <v>252</v>
      </c>
      <c r="F19" s="17" t="n">
        <f aca="false">SUM(Downside!AM19:AX19)</f>
        <v>252</v>
      </c>
      <c r="G19" s="17" t="n">
        <f aca="false">SUM(Downside!AY19:BJ19)</f>
        <v>252</v>
      </c>
      <c r="H19" s="17" t="n">
        <f aca="false">SUM(Downside!BK19:BV19)</f>
        <v>252</v>
      </c>
      <c r="I19" s="17" t="n">
        <f aca="false">SUM(Downside!BW19:CH19)</f>
        <v>252</v>
      </c>
      <c r="J19" s="17" t="n">
        <f aca="false">SUM(Downside!CI19:CT19)</f>
        <v>252</v>
      </c>
      <c r="K19" s="17" t="n">
        <f aca="false">SUM(Downside!CU19:DF19)</f>
        <v>252</v>
      </c>
      <c r="L19" s="17" t="n">
        <f aca="false">SUM(Downside!DG19:DR19)</f>
        <v>252</v>
      </c>
    </row>
    <row r="20" customFormat="false" ht="15" hidden="false" customHeight="false" outlineLevel="0" collapsed="false">
      <c r="A20" s="2" t="s">
        <v>189</v>
      </c>
      <c r="B20" s="6" t="n">
        <f aca="false">Downside!B20</f>
        <v>0</v>
      </c>
      <c r="C20" s="6" t="n">
        <f aca="false">Downside!N20</f>
        <v>0</v>
      </c>
      <c r="D20" s="6" t="n">
        <f aca="false">Downside!Z20</f>
        <v>0</v>
      </c>
      <c r="E20" s="6" t="n">
        <f aca="false">Downside!AL20</f>
        <v>0</v>
      </c>
      <c r="F20" s="6" t="n">
        <f aca="false">Downside!AX20</f>
        <v>0</v>
      </c>
      <c r="G20" s="6" t="n">
        <f aca="false">Downside!BJ20</f>
        <v>0</v>
      </c>
      <c r="H20" s="6" t="n">
        <f aca="false">Downside!BV20</f>
        <v>0</v>
      </c>
      <c r="I20" s="6" t="n">
        <f aca="false">Downside!CH20</f>
        <v>0</v>
      </c>
      <c r="J20" s="6" t="n">
        <f aca="false">Downside!CT20</f>
        <v>0</v>
      </c>
      <c r="K20" s="6" t="n">
        <f aca="false">Downside!DF20</f>
        <v>0</v>
      </c>
      <c r="L20" s="6" t="n">
        <f aca="false">Downside!DR20</f>
        <v>0</v>
      </c>
    </row>
    <row r="21" customFormat="false" ht="15" hidden="false" customHeight="false" outlineLevel="0" collapsed="false">
      <c r="A21" s="2" t="s">
        <v>190</v>
      </c>
      <c r="B21" s="6" t="n">
        <f aca="false">Downside!B21</f>
        <v>0</v>
      </c>
      <c r="C21" s="6" t="n">
        <f aca="false">SUM(Downside!C21:N21)</f>
        <v>0</v>
      </c>
      <c r="D21" s="6" t="n">
        <f aca="false">SUM(Downside!O21:Z21)</f>
        <v>0</v>
      </c>
      <c r="E21" s="6" t="n">
        <f aca="false">SUM(Downside!AA21:AL21)</f>
        <v>0</v>
      </c>
      <c r="F21" s="6" t="n">
        <f aca="false">SUM(Downside!AM21:AX21)</f>
        <v>0</v>
      </c>
      <c r="G21" s="6" t="n">
        <f aca="false">SUM(Downside!AY21:BJ21)</f>
        <v>0</v>
      </c>
      <c r="H21" s="6" t="n">
        <f aca="false">SUM(Downside!BK21:BV21)</f>
        <v>0</v>
      </c>
      <c r="I21" s="6" t="n">
        <f aca="false">SUM(Downside!BW21:CH21)</f>
        <v>0</v>
      </c>
      <c r="J21" s="6" t="n">
        <f aca="false">SUM(Downside!CI21:CT21)</f>
        <v>0</v>
      </c>
      <c r="K21" s="6" t="n">
        <f aca="false">SUM(Downside!CU21:DF21)</f>
        <v>0</v>
      </c>
      <c r="L21" s="6" t="n">
        <f aca="false">SUM(Downside!DG21:DR21)</f>
        <v>0</v>
      </c>
    </row>
    <row r="22" customFormat="false" ht="15" hidden="false" customHeight="false" outlineLevel="0" collapsed="false">
      <c r="A22" s="2" t="s">
        <v>191</v>
      </c>
      <c r="B22" s="6" t="n">
        <f aca="false">Downside!B22</f>
        <v>0</v>
      </c>
      <c r="C22" s="6" t="n">
        <f aca="false">SUM(Downside!C22:N22)</f>
        <v>42</v>
      </c>
      <c r="D22" s="6" t="n">
        <f aca="false">SUM(Downside!O22:Z22)</f>
        <v>240</v>
      </c>
      <c r="E22" s="6" t="n">
        <f aca="false">SUM(Downside!AA22:AL22)</f>
        <v>252</v>
      </c>
      <c r="F22" s="6" t="n">
        <f aca="false">SUM(Downside!AM22:AX22)</f>
        <v>252</v>
      </c>
      <c r="G22" s="6" t="n">
        <f aca="false">SUM(Downside!AY22:BJ22)</f>
        <v>252</v>
      </c>
      <c r="H22" s="6" t="n">
        <f aca="false">SUM(Downside!BK22:BV22)</f>
        <v>252</v>
      </c>
      <c r="I22" s="6" t="n">
        <f aca="false">SUM(Downside!BW22:CH22)</f>
        <v>252</v>
      </c>
      <c r="J22" s="6" t="n">
        <f aca="false">SUM(Downside!CI22:CT22)</f>
        <v>252</v>
      </c>
      <c r="K22" s="6" t="n">
        <f aca="false">SUM(Downside!CU22:DF22)</f>
        <v>252</v>
      </c>
      <c r="L22" s="6" t="n">
        <f aca="false">SUM(Downside!DG22:DR22)</f>
        <v>252</v>
      </c>
    </row>
    <row r="23" customFormat="false" ht="15" hidden="false" customHeight="false" outlineLevel="0" collapsed="false">
      <c r="A23" s="2" t="s">
        <v>192</v>
      </c>
      <c r="B23" s="6" t="n">
        <f aca="false">Downside!B23</f>
        <v>0</v>
      </c>
      <c r="C23" s="6" t="n">
        <f aca="false">SUM(Downside!C23:N23)</f>
        <v>16.8</v>
      </c>
      <c r="D23" s="6" t="n">
        <f aca="false">SUM(Downside!O23:Z23)</f>
        <v>96</v>
      </c>
      <c r="E23" s="6" t="n">
        <f aca="false">SUM(Downside!AA23:AL23)</f>
        <v>100.8</v>
      </c>
      <c r="F23" s="6" t="n">
        <f aca="false">SUM(Downside!AM23:AX23)</f>
        <v>100.8</v>
      </c>
      <c r="G23" s="6" t="n">
        <f aca="false">SUM(Downside!AY23:BJ23)</f>
        <v>100.8</v>
      </c>
      <c r="H23" s="6" t="n">
        <f aca="false">SUM(Downside!BK23:BV23)</f>
        <v>100.8</v>
      </c>
      <c r="I23" s="6" t="n">
        <f aca="false">SUM(Downside!BW23:CH23)</f>
        <v>100.8</v>
      </c>
      <c r="J23" s="6" t="n">
        <f aca="false">SUM(Downside!CI23:CT23)</f>
        <v>100.8</v>
      </c>
      <c r="K23" s="6" t="n">
        <f aca="false">SUM(Downside!CU23:DF23)</f>
        <v>100.8</v>
      </c>
      <c r="L23" s="6" t="n">
        <f aca="false">SUM(Downside!DG23:DR23)</f>
        <v>100.8</v>
      </c>
    </row>
    <row r="24" customFormat="false" ht="15" hidden="false" customHeight="false" outlineLevel="0" collapsed="false">
      <c r="A24" s="2" t="s">
        <v>193</v>
      </c>
      <c r="B24" s="6" t="n">
        <f aca="false">Downside!B24</f>
        <v>0</v>
      </c>
      <c r="C24" s="6" t="n">
        <f aca="false">SUM(Downside!C24:N24)</f>
        <v>4.2</v>
      </c>
      <c r="D24" s="6" t="n">
        <f aca="false">SUM(Downside!O24:Z24)</f>
        <v>24</v>
      </c>
      <c r="E24" s="6" t="n">
        <f aca="false">SUM(Downside!AA24:AL24)</f>
        <v>25.2</v>
      </c>
      <c r="F24" s="6" t="n">
        <f aca="false">SUM(Downside!AM24:AX24)</f>
        <v>25.2</v>
      </c>
      <c r="G24" s="6" t="n">
        <f aca="false">SUM(Downside!AY24:BJ24)</f>
        <v>25.2</v>
      </c>
      <c r="H24" s="6" t="n">
        <f aca="false">SUM(Downside!BK24:BV24)</f>
        <v>25.2</v>
      </c>
      <c r="I24" s="6" t="n">
        <f aca="false">SUM(Downside!BW24:CH24)</f>
        <v>25.2</v>
      </c>
      <c r="J24" s="6" t="n">
        <f aca="false">SUM(Downside!CI24:CT24)</f>
        <v>25.2</v>
      </c>
      <c r="K24" s="6" t="n">
        <f aca="false">SUM(Downside!CU24:DF24)</f>
        <v>25.2</v>
      </c>
      <c r="L24" s="6" t="n">
        <f aca="false">SUM(Downside!DG24:DR24)</f>
        <v>25.2</v>
      </c>
    </row>
    <row r="25" customFormat="false" ht="15" hidden="false" customHeight="false" outlineLevel="0" collapsed="false">
      <c r="A25" s="2" t="s">
        <v>194</v>
      </c>
      <c r="B25" s="6" t="n">
        <f aca="false">Downside!B25</f>
        <v>0</v>
      </c>
      <c r="C25" s="6" t="n">
        <f aca="false">SUM(Downside!C25:N25)</f>
        <v>21</v>
      </c>
      <c r="D25" s="6" t="n">
        <f aca="false">SUM(Downside!O25:Z25)</f>
        <v>120</v>
      </c>
      <c r="E25" s="6" t="n">
        <f aca="false">SUM(Downside!AA25:AL25)</f>
        <v>126</v>
      </c>
      <c r="F25" s="6" t="n">
        <f aca="false">SUM(Downside!AM25:AX25)</f>
        <v>126</v>
      </c>
      <c r="G25" s="6" t="n">
        <f aca="false">SUM(Downside!AY25:BJ25)</f>
        <v>126</v>
      </c>
      <c r="H25" s="6" t="n">
        <f aca="false">SUM(Downside!BK25:BV25)</f>
        <v>126</v>
      </c>
      <c r="I25" s="6" t="n">
        <f aca="false">SUM(Downside!BW25:CH25)</f>
        <v>126</v>
      </c>
      <c r="J25" s="6" t="n">
        <f aca="false">SUM(Downside!CI25:CT25)</f>
        <v>126</v>
      </c>
      <c r="K25" s="6" t="n">
        <f aca="false">SUM(Downside!CU25:DF25)</f>
        <v>126</v>
      </c>
      <c r="L25" s="6" t="n">
        <f aca="false">SUM(Downside!DG25:DR25)</f>
        <v>126</v>
      </c>
    </row>
    <row r="26" customFormat="false" ht="15" hidden="false" customHeight="false" outlineLevel="0" collapsed="false">
      <c r="A26" s="2" t="s">
        <v>195</v>
      </c>
      <c r="B26" s="6" t="n">
        <f aca="false">Downside!B26</f>
        <v>0</v>
      </c>
      <c r="C26" s="6" t="n">
        <f aca="false">SUM(Downside!C26:N26)</f>
        <v>8.4</v>
      </c>
      <c r="D26" s="6" t="n">
        <f aca="false">SUM(Downside!O26:Z26)</f>
        <v>48</v>
      </c>
      <c r="E26" s="6" t="n">
        <f aca="false">SUM(Downside!AA26:AL26)</f>
        <v>50.4</v>
      </c>
      <c r="F26" s="6" t="n">
        <f aca="false">SUM(Downside!AM26:AX26)</f>
        <v>50.4</v>
      </c>
      <c r="G26" s="6" t="n">
        <f aca="false">SUM(Downside!AY26:BJ26)</f>
        <v>50.4</v>
      </c>
      <c r="H26" s="6" t="n">
        <f aca="false">SUM(Downside!BK26:BV26)</f>
        <v>50.4</v>
      </c>
      <c r="I26" s="6" t="n">
        <f aca="false">SUM(Downside!BW26:CH26)</f>
        <v>50.4</v>
      </c>
      <c r="J26" s="6" t="n">
        <f aca="false">SUM(Downside!CI26:CT26)</f>
        <v>50.4</v>
      </c>
      <c r="K26" s="6" t="n">
        <f aca="false">SUM(Downside!CU26:DF26)</f>
        <v>50.4</v>
      </c>
      <c r="L26" s="6" t="n">
        <f aca="false">SUM(Downside!DG26:DR26)</f>
        <v>50.4</v>
      </c>
    </row>
    <row r="27" customFormat="false" ht="15" hidden="false" customHeight="false" outlineLevel="0" collapsed="false">
      <c r="A27" s="2" t="s">
        <v>196</v>
      </c>
      <c r="B27" s="6" t="n">
        <f aca="false">Downside!B27</f>
        <v>0</v>
      </c>
      <c r="C27" s="6" t="n">
        <f aca="false">SUM(Downside!C27:N27)</f>
        <v>12.6</v>
      </c>
      <c r="D27" s="6" t="n">
        <f aca="false">SUM(Downside!O27:Z27)</f>
        <v>72</v>
      </c>
      <c r="E27" s="6" t="n">
        <f aca="false">SUM(Downside!AA27:AL27)</f>
        <v>75.6</v>
      </c>
      <c r="F27" s="6" t="n">
        <f aca="false">SUM(Downside!AM27:AX27)</f>
        <v>75.6</v>
      </c>
      <c r="G27" s="6" t="n">
        <f aca="false">SUM(Downside!AY27:BJ27)</f>
        <v>75.6</v>
      </c>
      <c r="H27" s="6" t="n">
        <f aca="false">SUM(Downside!BK27:BV27)</f>
        <v>75.6</v>
      </c>
      <c r="I27" s="6" t="n">
        <f aca="false">SUM(Downside!BW27:CH27)</f>
        <v>75.6</v>
      </c>
      <c r="J27" s="6" t="n">
        <f aca="false">SUM(Downside!CI27:CT27)</f>
        <v>75.6</v>
      </c>
      <c r="K27" s="6" t="n">
        <f aca="false">SUM(Downside!CU27:DF27)</f>
        <v>75.6</v>
      </c>
      <c r="L27" s="6" t="n">
        <f aca="false">SUM(Downside!DG27:DR27)</f>
        <v>75.6</v>
      </c>
    </row>
    <row r="28" customFormat="false" ht="15" hidden="false" customHeight="false" outlineLevel="0" collapsed="false">
      <c r="A28" s="2" t="s">
        <v>197</v>
      </c>
      <c r="B28" s="6" t="n">
        <f aca="false">Downside!B28</f>
        <v>0</v>
      </c>
      <c r="C28" s="6" t="n">
        <f aca="false">SUM(Downside!C28:N28)</f>
        <v>4.8</v>
      </c>
      <c r="D28" s="6" t="n">
        <f aca="false">SUM(Downside!O28:Z28)</f>
        <v>4.8</v>
      </c>
      <c r="E28" s="6" t="n">
        <f aca="false">SUM(Downside!AA28:AL28)</f>
        <v>4.8</v>
      </c>
      <c r="F28" s="6" t="n">
        <f aca="false">SUM(Downside!AM28:AX28)</f>
        <v>4.8</v>
      </c>
      <c r="G28" s="6" t="n">
        <f aca="false">SUM(Downside!AY28:BJ28)</f>
        <v>4.8</v>
      </c>
      <c r="H28" s="6" t="n">
        <f aca="false">SUM(Downside!BK28:BV28)</f>
        <v>4.8</v>
      </c>
      <c r="I28" s="6" t="n">
        <f aca="false">SUM(Downside!BW28:CH28)</f>
        <v>4.8</v>
      </c>
      <c r="J28" s="6" t="n">
        <f aca="false">SUM(Downside!CI28:CT28)</f>
        <v>4.8</v>
      </c>
      <c r="K28" s="6" t="n">
        <f aca="false">SUM(Downside!CU28:DF28)</f>
        <v>4.8</v>
      </c>
      <c r="L28" s="6" t="n">
        <f aca="false">SUM(Downside!DG28:DR28)</f>
        <v>4.8</v>
      </c>
    </row>
    <row r="29" customFormat="false" ht="15" hidden="false" customHeight="false" outlineLevel="0" collapsed="false">
      <c r="A29" s="2" t="s">
        <v>198</v>
      </c>
      <c r="B29" s="6" t="n">
        <f aca="false">Downside!B29</f>
        <v>0</v>
      </c>
      <c r="C29" s="6" t="n">
        <f aca="false">SUM(Downside!C29:N29)</f>
        <v>1.8</v>
      </c>
      <c r="D29" s="6" t="n">
        <f aca="false">SUM(Downside!O29:Z29)</f>
        <v>1.8</v>
      </c>
      <c r="E29" s="6" t="n">
        <f aca="false">SUM(Downside!AA29:AL29)</f>
        <v>1.8</v>
      </c>
      <c r="F29" s="6" t="n">
        <f aca="false">SUM(Downside!AM29:AX29)</f>
        <v>1.8</v>
      </c>
      <c r="G29" s="6" t="n">
        <f aca="false">SUM(Downside!AY29:BJ29)</f>
        <v>1.8</v>
      </c>
      <c r="H29" s="6" t="n">
        <f aca="false">SUM(Downside!BK29:BV29)</f>
        <v>1.8</v>
      </c>
      <c r="I29" s="6" t="n">
        <f aca="false">SUM(Downside!BW29:CH29)</f>
        <v>1.8</v>
      </c>
      <c r="J29" s="6" t="n">
        <f aca="false">SUM(Downside!CI29:CT29)</f>
        <v>1.8</v>
      </c>
      <c r="K29" s="6" t="n">
        <f aca="false">SUM(Downside!CU29:DF29)</f>
        <v>1.8</v>
      </c>
      <c r="L29" s="6" t="n">
        <f aca="false">SUM(Downside!DG29:DR29)</f>
        <v>1.8</v>
      </c>
    </row>
    <row r="30" customFormat="false" ht="15" hidden="false" customHeight="false" outlineLevel="0" collapsed="false">
      <c r="A30" s="2" t="s">
        <v>199</v>
      </c>
      <c r="B30" s="6" t="n">
        <f aca="false">Downside!B30</f>
        <v>0</v>
      </c>
      <c r="C30" s="6" t="n">
        <f aca="false">SUM(Downside!C30:N30)</f>
        <v>3.36</v>
      </c>
      <c r="D30" s="6" t="n">
        <f aca="false">SUM(Downside!O30:Z30)</f>
        <v>19.2</v>
      </c>
      <c r="E30" s="6" t="n">
        <f aca="false">SUM(Downside!AA30:AL30)</f>
        <v>20.16</v>
      </c>
      <c r="F30" s="6" t="n">
        <f aca="false">SUM(Downside!AM30:AX30)</f>
        <v>20.16</v>
      </c>
      <c r="G30" s="6" t="n">
        <f aca="false">SUM(Downside!AY30:BJ30)</f>
        <v>20.16</v>
      </c>
      <c r="H30" s="6" t="n">
        <f aca="false">SUM(Downside!BK30:BV30)</f>
        <v>20.16</v>
      </c>
      <c r="I30" s="6" t="n">
        <f aca="false">SUM(Downside!BW30:CH30)</f>
        <v>20.16</v>
      </c>
      <c r="J30" s="6" t="n">
        <f aca="false">SUM(Downside!CI30:CT30)</f>
        <v>20.16</v>
      </c>
      <c r="K30" s="6" t="n">
        <f aca="false">SUM(Downside!CU30:DF30)</f>
        <v>20.16</v>
      </c>
      <c r="L30" s="6" t="n">
        <f aca="false">SUM(Downside!DG30:DR30)</f>
        <v>20.16</v>
      </c>
    </row>
    <row r="31" customFormat="false" ht="15" hidden="false" customHeight="false" outlineLevel="0" collapsed="false">
      <c r="A31" s="2" t="s">
        <v>200</v>
      </c>
      <c r="B31" s="6" t="n">
        <f aca="false">Downside!B31</f>
        <v>0</v>
      </c>
      <c r="C31" s="6" t="n">
        <f aca="false">SUM(Downside!C31:N31)</f>
        <v>9.96</v>
      </c>
      <c r="D31" s="6" t="n">
        <f aca="false">SUM(Downside!O31:Z31)</f>
        <v>25.8</v>
      </c>
      <c r="E31" s="6" t="n">
        <f aca="false">SUM(Downside!AA31:AL31)</f>
        <v>26.76</v>
      </c>
      <c r="F31" s="6" t="n">
        <f aca="false">SUM(Downside!AM31:AX31)</f>
        <v>26.76</v>
      </c>
      <c r="G31" s="6" t="n">
        <f aca="false">SUM(Downside!AY31:BJ31)</f>
        <v>26.76</v>
      </c>
      <c r="H31" s="6" t="n">
        <f aca="false">SUM(Downside!BK31:BV31)</f>
        <v>26.76</v>
      </c>
      <c r="I31" s="6" t="n">
        <f aca="false">SUM(Downside!BW31:CH31)</f>
        <v>26.76</v>
      </c>
      <c r="J31" s="6" t="n">
        <f aca="false">SUM(Downside!CI31:CT31)</f>
        <v>26.76</v>
      </c>
      <c r="K31" s="6" t="n">
        <f aca="false">SUM(Downside!CU31:DF31)</f>
        <v>26.76</v>
      </c>
      <c r="L31" s="6" t="n">
        <f aca="false">SUM(Downside!DG31:DR31)</f>
        <v>26.76</v>
      </c>
    </row>
    <row r="32" customFormat="false" ht="15" hidden="false" customHeight="false" outlineLevel="0" collapsed="false">
      <c r="A32" s="2" t="s">
        <v>201</v>
      </c>
      <c r="B32" s="6" t="n">
        <f aca="false">Downside!B32</f>
        <v>0</v>
      </c>
      <c r="C32" s="6" t="n">
        <f aca="false">SUM(Downside!C32:N32)</f>
        <v>7</v>
      </c>
      <c r="D32" s="6" t="n">
        <f aca="false">SUM(Downside!O32:Z32)</f>
        <v>0</v>
      </c>
      <c r="E32" s="6" t="n">
        <f aca="false">SUM(Downside!AA32:AL32)</f>
        <v>0</v>
      </c>
      <c r="F32" s="6" t="n">
        <f aca="false">SUM(Downside!AM32:AX32)</f>
        <v>0</v>
      </c>
      <c r="G32" s="6" t="n">
        <f aca="false">SUM(Downside!AY32:BJ32)</f>
        <v>0</v>
      </c>
      <c r="H32" s="6" t="n">
        <f aca="false">SUM(Downside!BK32:BV32)</f>
        <v>0</v>
      </c>
      <c r="I32" s="6" t="n">
        <f aca="false">SUM(Downside!BW32:CH32)</f>
        <v>0</v>
      </c>
      <c r="J32" s="6" t="n">
        <f aca="false">SUM(Downside!CI32:CT32)</f>
        <v>0</v>
      </c>
      <c r="K32" s="6" t="n">
        <f aca="false">SUM(Downside!CU32:DF32)</f>
        <v>0</v>
      </c>
      <c r="L32" s="6" t="n">
        <f aca="false">SUM(Downside!DG32:DR32)</f>
        <v>0</v>
      </c>
    </row>
    <row r="33" customFormat="false" ht="15" hidden="false" customHeight="false" outlineLevel="0" collapsed="false">
      <c r="A33" s="2" t="s">
        <v>202</v>
      </c>
      <c r="B33" s="6" t="n">
        <f aca="false">Downside!B33</f>
        <v>0</v>
      </c>
      <c r="C33" s="6" t="n">
        <f aca="false">SUM(Downside!C33:N33)</f>
        <v>16.96</v>
      </c>
      <c r="D33" s="6" t="n">
        <f aca="false">SUM(Downside!O33:Z33)</f>
        <v>25.8</v>
      </c>
      <c r="E33" s="6" t="n">
        <f aca="false">SUM(Downside!AA33:AL33)</f>
        <v>26.76</v>
      </c>
      <c r="F33" s="6" t="n">
        <f aca="false">SUM(Downside!AM33:AX33)</f>
        <v>26.76</v>
      </c>
      <c r="G33" s="6" t="n">
        <f aca="false">SUM(Downside!AY33:BJ33)</f>
        <v>26.76</v>
      </c>
      <c r="H33" s="6" t="n">
        <f aca="false">SUM(Downside!BK33:BV33)</f>
        <v>26.76</v>
      </c>
      <c r="I33" s="6" t="n">
        <f aca="false">SUM(Downside!BW33:CH33)</f>
        <v>26.76</v>
      </c>
      <c r="J33" s="6" t="n">
        <f aca="false">SUM(Downside!CI33:CT33)</f>
        <v>26.76</v>
      </c>
      <c r="K33" s="6" t="n">
        <f aca="false">SUM(Downside!CU33:DF33)</f>
        <v>26.76</v>
      </c>
      <c r="L33" s="6" t="n">
        <f aca="false">SUM(Downside!DG33:DR33)</f>
        <v>26.76</v>
      </c>
    </row>
    <row r="34" customFormat="false" ht="15" hidden="false" customHeight="false" outlineLevel="0" collapsed="false">
      <c r="A34" s="2" t="s">
        <v>203</v>
      </c>
      <c r="B34" s="6" t="n">
        <f aca="false">Downside!B34</f>
        <v>0</v>
      </c>
      <c r="C34" s="6" t="n">
        <f aca="false">SUM(Downside!C34:N34)</f>
        <v>-8.56</v>
      </c>
      <c r="D34" s="6" t="n">
        <f aca="false">SUM(Downside!O34:Z34)</f>
        <v>22.2</v>
      </c>
      <c r="E34" s="6" t="n">
        <f aca="false">SUM(Downside!AA34:AL34)</f>
        <v>23.64</v>
      </c>
      <c r="F34" s="6" t="n">
        <f aca="false">SUM(Downside!AM34:AX34)</f>
        <v>23.64</v>
      </c>
      <c r="G34" s="6" t="n">
        <f aca="false">SUM(Downside!AY34:BJ34)</f>
        <v>23.64</v>
      </c>
      <c r="H34" s="6" t="n">
        <f aca="false">SUM(Downside!BK34:BV34)</f>
        <v>23.64</v>
      </c>
      <c r="I34" s="6" t="n">
        <f aca="false">SUM(Downside!BW34:CH34)</f>
        <v>23.64</v>
      </c>
      <c r="J34" s="6" t="n">
        <f aca="false">SUM(Downside!CI34:CT34)</f>
        <v>23.64</v>
      </c>
      <c r="K34" s="6" t="n">
        <f aca="false">SUM(Downside!CU34:DF34)</f>
        <v>23.64</v>
      </c>
      <c r="L34" s="6" t="n">
        <f aca="false">SUM(Downside!DG34:DR34)</f>
        <v>23.64</v>
      </c>
    </row>
    <row r="35" customFormat="false" ht="15" hidden="false" customHeight="false" outlineLevel="0" collapsed="false">
      <c r="A35" s="16" t="s">
        <v>204</v>
      </c>
      <c r="B35" s="17" t="n">
        <f aca="false">Downside!B35</f>
        <v>0</v>
      </c>
      <c r="C35" s="17" t="n">
        <f aca="false">SUM(Downside!C35:N35)</f>
        <v>8.24</v>
      </c>
      <c r="D35" s="17" t="n">
        <f aca="false">SUM(Downside!O35:Z35)</f>
        <v>118.2</v>
      </c>
      <c r="E35" s="17" t="n">
        <f aca="false">SUM(Downside!AA35:AL35)</f>
        <v>124.44</v>
      </c>
      <c r="F35" s="17" t="n">
        <f aca="false">SUM(Downside!AM35:AX35)</f>
        <v>124.44</v>
      </c>
      <c r="G35" s="17" t="n">
        <f aca="false">SUM(Downside!AY35:BJ35)</f>
        <v>124.44</v>
      </c>
      <c r="H35" s="17" t="n">
        <f aca="false">SUM(Downside!BK35:BV35)</f>
        <v>124.44</v>
      </c>
      <c r="I35" s="17" t="n">
        <f aca="false">SUM(Downside!BW35:CH35)</f>
        <v>124.44</v>
      </c>
      <c r="J35" s="17" t="n">
        <f aca="false">SUM(Downside!CI35:CT35)</f>
        <v>124.44</v>
      </c>
      <c r="K35" s="17" t="n">
        <f aca="false">SUM(Downside!CU35:DF35)</f>
        <v>124.44</v>
      </c>
      <c r="L35" s="17" t="n">
        <f aca="false">SUM(Downside!DG35:DR35)</f>
        <v>124.44</v>
      </c>
    </row>
    <row r="36" customFormat="false" ht="15" hidden="false" customHeight="false" outlineLevel="0" collapsed="false">
      <c r="A36" s="2" t="s">
        <v>205</v>
      </c>
      <c r="B36" s="6" t="n">
        <f aca="false">Downside!B36</f>
        <v>0</v>
      </c>
      <c r="C36" s="6" t="n">
        <f aca="false">SUM(Downside!C36:N36)</f>
        <v>43</v>
      </c>
      <c r="D36" s="6" t="n">
        <f aca="false">SUM(Downside!O36:Z36)</f>
        <v>0</v>
      </c>
      <c r="E36" s="6" t="n">
        <f aca="false">SUM(Downside!AA36:AL36)</f>
        <v>0</v>
      </c>
      <c r="F36" s="6" t="n">
        <f aca="false">SUM(Downside!AM36:AX36)</f>
        <v>0</v>
      </c>
      <c r="G36" s="6" t="n">
        <f aca="false">SUM(Downside!AY36:BJ36)</f>
        <v>0</v>
      </c>
      <c r="H36" s="6" t="n">
        <f aca="false">SUM(Downside!BK36:BV36)</f>
        <v>0</v>
      </c>
      <c r="I36" s="6" t="n">
        <f aca="false">SUM(Downside!BW36:CH36)</f>
        <v>0</v>
      </c>
      <c r="J36" s="6" t="n">
        <f aca="false">SUM(Downside!CI36:CT36)</f>
        <v>0</v>
      </c>
      <c r="K36" s="6" t="n">
        <f aca="false">SUM(Downside!CU36:DF36)</f>
        <v>0</v>
      </c>
      <c r="L36" s="6" t="n">
        <f aca="false">SUM(Downside!DG36:DR36)</f>
        <v>0</v>
      </c>
    </row>
    <row r="37" customFormat="false" ht="15" hidden="false" customHeight="false" outlineLevel="0" collapsed="false">
      <c r="A37" s="2" t="s">
        <v>206</v>
      </c>
      <c r="B37" s="6" t="n">
        <f aca="false">Downside!B37</f>
        <v>0</v>
      </c>
      <c r="C37" s="6" t="n">
        <f aca="false">SUM(Downside!C37:N37)</f>
        <v>0</v>
      </c>
      <c r="D37" s="6" t="n">
        <f aca="false">SUM(Downside!O37:Z37)</f>
        <v>2.4</v>
      </c>
      <c r="E37" s="6" t="n">
        <f aca="false">SUM(Downside!AA37:AL37)</f>
        <v>2.52</v>
      </c>
      <c r="F37" s="6" t="n">
        <f aca="false">SUM(Downside!AM37:AX37)</f>
        <v>2.52</v>
      </c>
      <c r="G37" s="6" t="n">
        <f aca="false">SUM(Downside!AY37:BJ37)</f>
        <v>2.52</v>
      </c>
      <c r="H37" s="6" t="n">
        <f aca="false">SUM(Downside!BK37:BV37)</f>
        <v>2.52</v>
      </c>
      <c r="I37" s="6" t="n">
        <f aca="false">SUM(Downside!BW37:CH37)</f>
        <v>2.52</v>
      </c>
      <c r="J37" s="6" t="n">
        <f aca="false">SUM(Downside!CI37:CT37)</f>
        <v>2.52</v>
      </c>
      <c r="K37" s="6" t="n">
        <f aca="false">SUM(Downside!CU37:DF37)</f>
        <v>2.52</v>
      </c>
      <c r="L37" s="6" t="n">
        <f aca="false">SUM(Downside!DG37:DR37)</f>
        <v>2.52</v>
      </c>
    </row>
    <row r="38" customFormat="false" ht="15" hidden="false" customHeight="false" outlineLevel="0" collapsed="false">
      <c r="A38" s="2" t="s">
        <v>207</v>
      </c>
      <c r="B38" s="6" t="n">
        <f aca="false">Downside!B38</f>
        <v>0</v>
      </c>
      <c r="C38" s="6" t="n">
        <f aca="false">SUM(Downside!C38:N38)</f>
        <v>43</v>
      </c>
      <c r="D38" s="6" t="n">
        <f aca="false">SUM(Downside!O38:Z38)</f>
        <v>2.4</v>
      </c>
      <c r="E38" s="6" t="n">
        <f aca="false">SUM(Downside!AA38:AL38)</f>
        <v>2.52</v>
      </c>
      <c r="F38" s="6" t="n">
        <f aca="false">SUM(Downside!AM38:AX38)</f>
        <v>2.52</v>
      </c>
      <c r="G38" s="6" t="n">
        <f aca="false">SUM(Downside!AY38:BJ38)</f>
        <v>2.52</v>
      </c>
      <c r="H38" s="6" t="n">
        <f aca="false">SUM(Downside!BK38:BV38)</f>
        <v>2.52</v>
      </c>
      <c r="I38" s="6" t="n">
        <f aca="false">SUM(Downside!BW38:CH38)</f>
        <v>2.52</v>
      </c>
      <c r="J38" s="6" t="n">
        <f aca="false">SUM(Downside!CI38:CT38)</f>
        <v>2.52</v>
      </c>
      <c r="K38" s="6" t="n">
        <f aca="false">SUM(Downside!CU38:DF38)</f>
        <v>2.52</v>
      </c>
      <c r="L38" s="6" t="n">
        <f aca="false">SUM(Downside!DG38:DR38)</f>
        <v>2.52</v>
      </c>
    </row>
    <row r="39" customFormat="false" ht="15" hidden="false" customHeight="false" outlineLevel="0" collapsed="false">
      <c r="A39" s="2" t="s">
        <v>40</v>
      </c>
      <c r="B39" s="6" t="n">
        <f aca="false">Downside!B39</f>
        <v>0</v>
      </c>
      <c r="C39" s="6" t="n">
        <f aca="false">SUM(Downside!C39:N39)</f>
        <v>4.65833333333333</v>
      </c>
      <c r="D39" s="6" t="n">
        <f aca="false">SUM(Downside!O39:Z39)</f>
        <v>8.85</v>
      </c>
      <c r="E39" s="6" t="n">
        <f aca="false">SUM(Downside!AA39:AL39)</f>
        <v>9.353</v>
      </c>
      <c r="F39" s="6" t="n">
        <f aca="false">SUM(Downside!AM39:AX39)</f>
        <v>9.857</v>
      </c>
      <c r="G39" s="6" t="n">
        <f aca="false">SUM(Downside!AY39:BJ39)</f>
        <v>10.361</v>
      </c>
      <c r="H39" s="6" t="n">
        <f aca="false">SUM(Downside!BK39:BV39)</f>
        <v>6.20666666666667</v>
      </c>
      <c r="I39" s="6" t="n">
        <f aca="false">SUM(Downside!BW39:CH39)</f>
        <v>2.519</v>
      </c>
      <c r="J39" s="6" t="n">
        <f aca="false">SUM(Downside!CI39:CT39)</f>
        <v>2.52</v>
      </c>
      <c r="K39" s="6" t="n">
        <f aca="false">SUM(Downside!CU39:DF39)</f>
        <v>2.52</v>
      </c>
      <c r="L39" s="6" t="n">
        <f aca="false">SUM(Downside!DG39:DR39)</f>
        <v>2.52</v>
      </c>
    </row>
    <row r="40" customFormat="false" ht="15" hidden="false" customHeight="false" outlineLevel="0" collapsed="false">
      <c r="A40" s="2" t="s">
        <v>208</v>
      </c>
      <c r="B40" s="6" t="n">
        <f aca="false">Downside!B40</f>
        <v>0</v>
      </c>
      <c r="C40" s="6" t="n">
        <f aca="false">SUM(Downside!C40:N40)</f>
        <v>3.58166666666667</v>
      </c>
      <c r="D40" s="6" t="n">
        <f aca="false">SUM(Downside!O40:Z40)</f>
        <v>109.35</v>
      </c>
      <c r="E40" s="6" t="n">
        <f aca="false">SUM(Downside!AA40:AL40)</f>
        <v>115.087</v>
      </c>
      <c r="F40" s="6" t="n">
        <f aca="false">SUM(Downside!AM40:AX40)</f>
        <v>114.583</v>
      </c>
      <c r="G40" s="6" t="n">
        <f aca="false">SUM(Downside!AY40:BJ40)</f>
        <v>114.079</v>
      </c>
      <c r="H40" s="6" t="n">
        <f aca="false">SUM(Downside!BK40:BV40)</f>
        <v>118.233333333333</v>
      </c>
      <c r="I40" s="6" t="n">
        <f aca="false">SUM(Downside!BW40:CH40)</f>
        <v>121.921</v>
      </c>
      <c r="J40" s="6" t="n">
        <f aca="false">SUM(Downside!CI40:CT40)</f>
        <v>121.92</v>
      </c>
      <c r="K40" s="6" t="n">
        <f aca="false">SUM(Downside!CU40:DF40)</f>
        <v>121.92</v>
      </c>
      <c r="L40" s="6" t="n">
        <f aca="false">SUM(Downside!DG40:DR40)</f>
        <v>121.92</v>
      </c>
    </row>
    <row r="41" customFormat="false" ht="15" hidden="false" customHeight="false" outlineLevel="0" collapsed="false">
      <c r="A41" s="2" t="s">
        <v>209</v>
      </c>
      <c r="B41" s="6" t="n">
        <f aca="false">Downside!B41</f>
        <v>0</v>
      </c>
      <c r="C41" s="6" t="n">
        <f aca="false">SUM(Downside!C41:N41)</f>
        <v>4.4395</v>
      </c>
      <c r="D41" s="6" t="n">
        <f aca="false">SUM(Downside!O41:Z41)</f>
        <v>32.805</v>
      </c>
      <c r="E41" s="6" t="n">
        <f aca="false">SUM(Downside!AA41:AL41)</f>
        <v>34.5261</v>
      </c>
      <c r="F41" s="6" t="n">
        <f aca="false">SUM(Downside!AM41:AX41)</f>
        <v>34.3749</v>
      </c>
      <c r="G41" s="6" t="n">
        <f aca="false">SUM(Downside!AY41:BJ41)</f>
        <v>34.2237</v>
      </c>
      <c r="H41" s="6" t="n">
        <f aca="false">SUM(Downside!BK41:BV41)</f>
        <v>35.47</v>
      </c>
      <c r="I41" s="6" t="n">
        <f aca="false">SUM(Downside!BW41:CH41)</f>
        <v>36.5763</v>
      </c>
      <c r="J41" s="6" t="n">
        <f aca="false">SUM(Downside!CI41:CT41)</f>
        <v>36.576</v>
      </c>
      <c r="K41" s="6" t="n">
        <f aca="false">SUM(Downside!CU41:DF41)</f>
        <v>36.576</v>
      </c>
      <c r="L41" s="6" t="n">
        <f aca="false">SUM(Downside!DG41:DR41)</f>
        <v>36.576</v>
      </c>
    </row>
    <row r="42" customFormat="false" ht="15" hidden="false" customHeight="false" outlineLevel="0" collapsed="false">
      <c r="A42" s="16" t="s">
        <v>210</v>
      </c>
      <c r="B42" s="17" t="n">
        <f aca="false">Downside!B42</f>
        <v>0</v>
      </c>
      <c r="C42" s="17" t="n">
        <f aca="false">SUM(Downside!C42:N42)</f>
        <v>-0.857833333333334</v>
      </c>
      <c r="D42" s="17" t="n">
        <f aca="false">SUM(Downside!O42:Z42)</f>
        <v>76.545</v>
      </c>
      <c r="E42" s="17" t="n">
        <f aca="false">SUM(Downside!AA42:AL42)</f>
        <v>80.5609</v>
      </c>
      <c r="F42" s="17" t="n">
        <f aca="false">SUM(Downside!AM42:AX42)</f>
        <v>80.2081</v>
      </c>
      <c r="G42" s="17" t="n">
        <f aca="false">SUM(Downside!AY42:BJ42)</f>
        <v>79.8553</v>
      </c>
      <c r="H42" s="17" t="n">
        <f aca="false">SUM(Downside!BK42:BV42)</f>
        <v>82.7633333333333</v>
      </c>
      <c r="I42" s="17" t="n">
        <f aca="false">SUM(Downside!BW42:CH42)</f>
        <v>85.3447</v>
      </c>
      <c r="J42" s="17" t="n">
        <f aca="false">SUM(Downside!CI42:CT42)</f>
        <v>85.344</v>
      </c>
      <c r="K42" s="17" t="n">
        <f aca="false">SUM(Downside!CU42:DF42)</f>
        <v>85.344</v>
      </c>
      <c r="L42" s="17" t="n">
        <f aca="false">SUM(Downside!DG42:DR42)</f>
        <v>85.344</v>
      </c>
    </row>
    <row r="43" customFormat="false" ht="15" hidden="false" customHeight="false" outlineLevel="0" collapsed="false">
      <c r="A43" s="2" t="s">
        <v>211</v>
      </c>
      <c r="B43" s="6" t="n">
        <f aca="false">Downside!B43</f>
        <v>0</v>
      </c>
      <c r="C43" s="6" t="n">
        <f aca="false">Downside!N43</f>
        <v>0</v>
      </c>
      <c r="D43" s="6" t="n">
        <f aca="false">Downside!Z43</f>
        <v>0</v>
      </c>
      <c r="E43" s="6" t="n">
        <f aca="false">Downside!AL43</f>
        <v>0</v>
      </c>
      <c r="F43" s="6" t="n">
        <f aca="false">Downside!AX43</f>
        <v>0</v>
      </c>
      <c r="G43" s="6" t="n">
        <f aca="false">Downside!BJ43</f>
        <v>0</v>
      </c>
      <c r="H43" s="6" t="n">
        <f aca="false">Downside!BV43</f>
        <v>0</v>
      </c>
      <c r="I43" s="6" t="n">
        <f aca="false">Downside!CH43</f>
        <v>0</v>
      </c>
      <c r="J43" s="6" t="n">
        <f aca="false">Downside!CT43</f>
        <v>0</v>
      </c>
      <c r="K43" s="6" t="n">
        <f aca="false">Downside!DF43</f>
        <v>0</v>
      </c>
      <c r="L43" s="6" t="n">
        <f aca="false">Downside!DR43</f>
        <v>0</v>
      </c>
    </row>
    <row r="44" customFormat="false" ht="15" hidden="false" customHeight="false" outlineLevel="0" collapsed="false">
      <c r="A44" s="2" t="s">
        <v>212</v>
      </c>
      <c r="B44" s="6" t="n">
        <f aca="false">Downside!B44</f>
        <v>0</v>
      </c>
      <c r="C44" s="6" t="n">
        <f aca="false">SUM(Downside!C44:N44)</f>
        <v>0</v>
      </c>
      <c r="D44" s="6" t="n">
        <f aca="false">SUM(Downside!O44:Z44)</f>
        <v>0</v>
      </c>
      <c r="E44" s="6" t="n">
        <f aca="false">SUM(Downside!AA44:AL44)</f>
        <v>0</v>
      </c>
      <c r="F44" s="6" t="n">
        <f aca="false">SUM(Downside!AM44:AX44)</f>
        <v>0</v>
      </c>
      <c r="G44" s="6" t="n">
        <f aca="false">SUM(Downside!AY44:BJ44)</f>
        <v>0</v>
      </c>
      <c r="H44" s="6" t="n">
        <f aca="false">SUM(Downside!BK44:BV44)</f>
        <v>0</v>
      </c>
      <c r="I44" s="6" t="n">
        <f aca="false">SUM(Downside!BW44:CH44)</f>
        <v>0</v>
      </c>
      <c r="J44" s="6" t="n">
        <f aca="false">SUM(Downside!CI44:CT44)</f>
        <v>0</v>
      </c>
      <c r="K44" s="6" t="n">
        <f aca="false">SUM(Downside!CU44:DF44)</f>
        <v>0</v>
      </c>
      <c r="L44" s="6" t="n">
        <f aca="false">SUM(Downside!DG44:DR44)</f>
        <v>0</v>
      </c>
    </row>
    <row r="45" customFormat="false" ht="15" hidden="false" customHeight="false" outlineLevel="0" collapsed="false">
      <c r="A45" s="16" t="s">
        <v>213</v>
      </c>
      <c r="B45" s="17" t="n">
        <f aca="false">Downside!B45</f>
        <v>0</v>
      </c>
      <c r="C45" s="17" t="n">
        <f aca="false">SUM(Downside!C45:N45)</f>
        <v>3.8005</v>
      </c>
      <c r="D45" s="17" t="n">
        <f aca="false">SUM(Downside!O45:Z45)</f>
        <v>85.395</v>
      </c>
      <c r="E45" s="17" t="n">
        <f aca="false">SUM(Downside!AA45:AL45)</f>
        <v>89.9139</v>
      </c>
      <c r="F45" s="17" t="n">
        <f aca="false">SUM(Downside!AM45:AX45)</f>
        <v>90.0651</v>
      </c>
      <c r="G45" s="17" t="n">
        <f aca="false">SUM(Downside!AY45:BJ45)</f>
        <v>90.2163</v>
      </c>
      <c r="H45" s="17" t="n">
        <f aca="false">SUM(Downside!BK45:BV45)</f>
        <v>88.97</v>
      </c>
      <c r="I45" s="17" t="n">
        <f aca="false">SUM(Downside!BW45:CH45)</f>
        <v>87.8637</v>
      </c>
      <c r="J45" s="17" t="n">
        <f aca="false">SUM(Downside!CI45:CT45)</f>
        <v>87.864</v>
      </c>
      <c r="K45" s="17" t="n">
        <f aca="false">SUM(Downside!CU45:DF45)</f>
        <v>87.864</v>
      </c>
      <c r="L45" s="17" t="n">
        <f aca="false">SUM(Downside!DG45:DR45)</f>
        <v>87.864</v>
      </c>
    </row>
    <row r="46" customFormat="false" ht="15" hidden="false" customHeight="false" outlineLevel="0" collapsed="false">
      <c r="A46" s="2" t="s">
        <v>214</v>
      </c>
      <c r="B46" s="6" t="n">
        <f aca="false">Downside!B46</f>
        <v>-0</v>
      </c>
      <c r="C46" s="6" t="n">
        <f aca="false">SUM(Downside!C46:N46)</f>
        <v>-43</v>
      </c>
      <c r="D46" s="6" t="n">
        <f aca="false">SUM(Downside!O46:Z46)</f>
        <v>-2.4</v>
      </c>
      <c r="E46" s="6" t="n">
        <f aca="false">SUM(Downside!AA46:AL46)</f>
        <v>-2.52</v>
      </c>
      <c r="F46" s="6" t="n">
        <f aca="false">SUM(Downside!AM46:AX46)</f>
        <v>-2.52</v>
      </c>
      <c r="G46" s="6" t="n">
        <f aca="false">SUM(Downside!AY46:BJ46)</f>
        <v>-2.52</v>
      </c>
      <c r="H46" s="6" t="n">
        <f aca="false">SUM(Downside!BK46:BV46)</f>
        <v>-2.52</v>
      </c>
      <c r="I46" s="6" t="n">
        <f aca="false">SUM(Downside!BW46:CH46)</f>
        <v>-2.52</v>
      </c>
      <c r="J46" s="6" t="n">
        <f aca="false">SUM(Downside!CI46:CT46)</f>
        <v>-2.52</v>
      </c>
      <c r="K46" s="6" t="n">
        <f aca="false">SUM(Downside!CU46:DF46)</f>
        <v>-2.52</v>
      </c>
      <c r="L46" s="6" t="n">
        <f aca="false">SUM(Downside!DG46:DR46)</f>
        <v>-2.52</v>
      </c>
    </row>
    <row r="47" customFormat="false" ht="15" hidden="false" customHeight="false" outlineLevel="0" collapsed="false">
      <c r="A47" s="2" t="s">
        <v>215</v>
      </c>
      <c r="B47" s="6" t="n">
        <f aca="false">Downside!B47</f>
        <v>25</v>
      </c>
      <c r="C47" s="6" t="n">
        <f aca="false">SUM(Downside!C47:N47)</f>
        <v>25</v>
      </c>
      <c r="D47" s="6" t="n">
        <f aca="false">SUM(Downside!O47:Z47)</f>
        <v>0</v>
      </c>
      <c r="E47" s="6" t="n">
        <f aca="false">SUM(Downside!AA47:AL47)</f>
        <v>0</v>
      </c>
      <c r="F47" s="6" t="n">
        <f aca="false">SUM(Downside!AM47:AX47)</f>
        <v>0</v>
      </c>
      <c r="G47" s="6" t="n">
        <f aca="false">SUM(Downside!AY47:BJ47)</f>
        <v>0</v>
      </c>
      <c r="H47" s="6" t="n">
        <f aca="false">SUM(Downside!BK47:BV47)</f>
        <v>0</v>
      </c>
      <c r="I47" s="6" t="n">
        <f aca="false">SUM(Downside!BW47:CH47)</f>
        <v>0</v>
      </c>
      <c r="J47" s="6" t="n">
        <f aca="false">SUM(Downside!CI47:CT47)</f>
        <v>0</v>
      </c>
      <c r="K47" s="6" t="n">
        <f aca="false">SUM(Downside!CU47:DF47)</f>
        <v>0</v>
      </c>
      <c r="L47" s="6" t="n">
        <f aca="false">SUM(Downside!DG47:DR47)</f>
        <v>0</v>
      </c>
    </row>
    <row r="48" customFormat="false" ht="15" hidden="false" customHeight="false" outlineLevel="0" collapsed="false">
      <c r="A48" s="2" t="s">
        <v>216</v>
      </c>
      <c r="B48" s="6" t="n">
        <f aca="false">Downside!B48</f>
        <v>0</v>
      </c>
      <c r="C48" s="6" t="n">
        <f aca="false">SUM(Downside!C48:N48)</f>
        <v>16.8</v>
      </c>
      <c r="D48" s="6" t="n">
        <f aca="false">SUM(Downside!O48:Z48)</f>
        <v>96</v>
      </c>
      <c r="E48" s="6" t="n">
        <f aca="false">SUM(Downside!AA48:AL48)</f>
        <v>100.8</v>
      </c>
      <c r="F48" s="6" t="n">
        <f aca="false">SUM(Downside!AM48:AX48)</f>
        <v>100.8</v>
      </c>
      <c r="G48" s="6" t="n">
        <f aca="false">SUM(Downside!AY48:BJ48)</f>
        <v>100.8</v>
      </c>
      <c r="H48" s="6" t="n">
        <f aca="false">SUM(Downside!BK48:BV48)</f>
        <v>100.8</v>
      </c>
      <c r="I48" s="6" t="n">
        <f aca="false">SUM(Downside!BW48:CH48)</f>
        <v>100.8</v>
      </c>
      <c r="J48" s="6" t="n">
        <f aca="false">SUM(Downside!CI48:CT48)</f>
        <v>100.8</v>
      </c>
      <c r="K48" s="6" t="n">
        <f aca="false">SUM(Downside!CU48:DF48)</f>
        <v>100.8</v>
      </c>
      <c r="L48" s="6" t="n">
        <f aca="false">SUM(Downside!DG48:DR48)</f>
        <v>100.8</v>
      </c>
    </row>
    <row r="49" customFormat="false" ht="15" hidden="false" customHeight="false" outlineLevel="0" collapsed="false">
      <c r="A49" s="2" t="s">
        <v>217</v>
      </c>
      <c r="B49" s="6" t="n">
        <f aca="false">Downside!B49</f>
        <v>25</v>
      </c>
      <c r="C49" s="6" t="n">
        <f aca="false">SUM(Downside!C49:N49)</f>
        <v>8.2</v>
      </c>
      <c r="D49" s="6" t="n">
        <f aca="false">SUM(Downside!O49:Z49)</f>
        <v>-96</v>
      </c>
      <c r="E49" s="6" t="n">
        <f aca="false">SUM(Downside!AA49:AL49)</f>
        <v>-100.8</v>
      </c>
      <c r="F49" s="6" t="n">
        <f aca="false">SUM(Downside!AM49:AX49)</f>
        <v>-100.8</v>
      </c>
      <c r="G49" s="6" t="n">
        <f aca="false">SUM(Downside!AY49:BJ49)</f>
        <v>-100.8</v>
      </c>
      <c r="H49" s="6" t="n">
        <f aca="false">SUM(Downside!BK49:BV49)</f>
        <v>-100.8</v>
      </c>
      <c r="I49" s="6" t="n">
        <f aca="false">SUM(Downside!BW49:CH49)</f>
        <v>-100.8</v>
      </c>
      <c r="J49" s="6" t="n">
        <f aca="false">SUM(Downside!CI49:CT49)</f>
        <v>-100.8</v>
      </c>
      <c r="K49" s="6" t="n">
        <f aca="false">SUM(Downside!CU49:DF49)</f>
        <v>-100.8</v>
      </c>
      <c r="L49" s="6" t="n">
        <f aca="false">SUM(Downside!DG49:DR49)</f>
        <v>-100.8</v>
      </c>
    </row>
    <row r="50" customFormat="false" ht="15" hidden="false" customHeight="false" outlineLevel="0" collapsed="false">
      <c r="A50" s="2" t="s">
        <v>218</v>
      </c>
      <c r="B50" s="6" t="n">
        <f aca="false">Downside!B50</f>
        <v>25</v>
      </c>
      <c r="C50" s="6" t="n">
        <f aca="false">SUM(Downside!C50:N50)</f>
        <v>-30.9995</v>
      </c>
      <c r="D50" s="6" t="n">
        <f aca="false">SUM(Downside!O50:Z50)</f>
        <v>-13.005</v>
      </c>
      <c r="E50" s="6" t="n">
        <f aca="false">SUM(Downside!AA50:AL50)</f>
        <v>-13.4061</v>
      </c>
      <c r="F50" s="6" t="n">
        <f aca="false">SUM(Downside!AM50:AX50)</f>
        <v>-13.2549</v>
      </c>
      <c r="G50" s="6" t="n">
        <f aca="false">SUM(Downside!AY50:BJ50)</f>
        <v>-13.1037</v>
      </c>
      <c r="H50" s="6" t="n">
        <f aca="false">SUM(Downside!BK50:BV50)</f>
        <v>-14.35</v>
      </c>
      <c r="I50" s="6" t="n">
        <f aca="false">SUM(Downside!BW50:CH50)</f>
        <v>-15.4563</v>
      </c>
      <c r="J50" s="6" t="n">
        <f aca="false">SUM(Downside!CI50:CT50)</f>
        <v>-15.456</v>
      </c>
      <c r="K50" s="6" t="n">
        <f aca="false">SUM(Downside!CU50:DF50)</f>
        <v>-15.456</v>
      </c>
      <c r="L50" s="6" t="n">
        <f aca="false">SUM(Downside!DG50:DR50)</f>
        <v>-15.456</v>
      </c>
    </row>
    <row r="51" customFormat="false" ht="15" hidden="false" customHeight="false" outlineLevel="0" collapsed="false">
      <c r="A51" s="2" t="s">
        <v>219</v>
      </c>
      <c r="B51" s="6" t="n">
        <f aca="false">Downside!B51</f>
        <v>0</v>
      </c>
      <c r="C51" s="6" t="n">
        <f aca="false">Downside!C51</f>
        <v>25</v>
      </c>
      <c r="D51" s="6" t="n">
        <f aca="false">Downside!O51</f>
        <v>-5.99950000000001</v>
      </c>
      <c r="E51" s="6" t="n">
        <f aca="false">Downside!AA51</f>
        <v>-19.0045</v>
      </c>
      <c r="F51" s="6" t="n">
        <f aca="false">Downside!AM51</f>
        <v>-32.4106</v>
      </c>
      <c r="G51" s="6" t="n">
        <f aca="false">Downside!AY51</f>
        <v>-45.6655</v>
      </c>
      <c r="H51" s="6" t="n">
        <f aca="false">Downside!BK51</f>
        <v>-58.7692000000001</v>
      </c>
      <c r="I51" s="6" t="n">
        <f aca="false">Downside!BW51</f>
        <v>-73.1192000000001</v>
      </c>
      <c r="J51" s="6" t="n">
        <f aca="false">Downside!CI51</f>
        <v>-88.5755</v>
      </c>
      <c r="K51" s="6" t="n">
        <f aca="false">Downside!CU51</f>
        <v>-104.0315</v>
      </c>
      <c r="L51" s="6" t="n">
        <f aca="false">Downside!DG51</f>
        <v>-119.4875</v>
      </c>
    </row>
    <row r="52" customFormat="false" ht="15" hidden="false" customHeight="false" outlineLevel="0" collapsed="false">
      <c r="A52" s="16" t="s">
        <v>220</v>
      </c>
      <c r="B52" s="17" t="n">
        <f aca="false">Downside!B52</f>
        <v>25</v>
      </c>
      <c r="C52" s="17" t="n">
        <f aca="false">Downside!N52</f>
        <v>-5.99950000000001</v>
      </c>
      <c r="D52" s="17" t="n">
        <f aca="false">Downside!Z52</f>
        <v>-19.0045</v>
      </c>
      <c r="E52" s="17" t="n">
        <f aca="false">Downside!AL52</f>
        <v>-32.4106</v>
      </c>
      <c r="F52" s="17" t="n">
        <f aca="false">Downside!AX52</f>
        <v>-45.6655</v>
      </c>
      <c r="G52" s="17" t="n">
        <f aca="false">Downside!BJ52</f>
        <v>-58.7692000000001</v>
      </c>
      <c r="H52" s="17" t="n">
        <f aca="false">Downside!BV52</f>
        <v>-73.1192000000001</v>
      </c>
      <c r="I52" s="17" t="n">
        <f aca="false">Downside!CH52</f>
        <v>-88.5755</v>
      </c>
      <c r="J52" s="17" t="n">
        <f aca="false">Downside!CT52</f>
        <v>-104.0315</v>
      </c>
      <c r="K52" s="17" t="n">
        <f aca="false">Downside!DF52</f>
        <v>-119.4875</v>
      </c>
      <c r="L52" s="17" t="n">
        <f aca="false">Downside!DR52</f>
        <v>-134.9435</v>
      </c>
    </row>
    <row r="53" customFormat="false" ht="15" hidden="false" customHeight="false" outlineLevel="0" collapsed="false">
      <c r="A53" s="16" t="s">
        <v>221</v>
      </c>
      <c r="B53" s="17" t="n">
        <f aca="false">Downside!B53</f>
        <v>0</v>
      </c>
      <c r="C53" s="17" t="n">
        <f aca="false">Downside!N53</f>
        <v>5.99950000000001</v>
      </c>
      <c r="D53" s="17" t="n">
        <f aca="false">Downside!Z53</f>
        <v>19.0045</v>
      </c>
      <c r="E53" s="17" t="n">
        <f aca="false">Downside!AL53</f>
        <v>32.4106</v>
      </c>
      <c r="F53" s="17" t="n">
        <f aca="false">Downside!AX53</f>
        <v>45.6655</v>
      </c>
      <c r="G53" s="17" t="n">
        <f aca="false">Downside!BJ53</f>
        <v>58.7692000000001</v>
      </c>
      <c r="H53" s="17" t="n">
        <f aca="false">Downside!BV53</f>
        <v>73.1192000000001</v>
      </c>
      <c r="I53" s="17" t="n">
        <f aca="false">Downside!CH53</f>
        <v>88.5755</v>
      </c>
      <c r="J53" s="17" t="n">
        <f aca="false">Downside!CT53</f>
        <v>104.0315</v>
      </c>
      <c r="K53" s="17" t="n">
        <f aca="false">Downside!DF53</f>
        <v>119.4875</v>
      </c>
      <c r="L53" s="17" t="n">
        <f aca="false">Downside!DR53</f>
        <v>134.9435</v>
      </c>
    </row>
    <row r="54" customFormat="false" ht="15" hidden="false" customHeight="false" outlineLevel="0" collapsed="false">
      <c r="A54" s="2" t="s">
        <v>222</v>
      </c>
      <c r="B54" s="6" t="n">
        <f aca="false">Downside!B54</f>
        <v>0</v>
      </c>
      <c r="C54" s="6" t="n">
        <f aca="false">Downside!N54</f>
        <v>38.3416666666667</v>
      </c>
      <c r="D54" s="6" t="n">
        <f aca="false">Downside!Z54</f>
        <v>31.8916666666667</v>
      </c>
      <c r="E54" s="6" t="n">
        <f aca="false">Downside!AL54</f>
        <v>25.0586666666667</v>
      </c>
      <c r="F54" s="6" t="n">
        <f aca="false">Downside!AX54</f>
        <v>17.7216666666667</v>
      </c>
      <c r="G54" s="6" t="n">
        <f aca="false">Downside!BJ54</f>
        <v>9.8806666666667</v>
      </c>
      <c r="H54" s="6" t="n">
        <f aca="false">Downside!BV54</f>
        <v>6.19400000000004</v>
      </c>
      <c r="I54" s="6" t="n">
        <f aca="false">Downside!CH54</f>
        <v>6.19500000000004</v>
      </c>
      <c r="J54" s="6" t="n">
        <f aca="false">Downside!CT54</f>
        <v>6.19500000000004</v>
      </c>
      <c r="K54" s="6" t="n">
        <f aca="false">Downside!DF54</f>
        <v>6.19500000000004</v>
      </c>
      <c r="L54" s="6" t="n">
        <f aca="false">Downside!DR54</f>
        <v>6.19500000000004</v>
      </c>
    </row>
    <row r="55" customFormat="false" ht="15" hidden="false" customHeight="false" outlineLevel="0" collapsed="false">
      <c r="A55" s="2" t="s">
        <v>223</v>
      </c>
      <c r="B55" s="6" t="n">
        <f aca="false">Downside!B55</f>
        <v>25</v>
      </c>
      <c r="C55" s="6" t="n">
        <f aca="false">Downside!N55</f>
        <v>50</v>
      </c>
      <c r="D55" s="6" t="n">
        <f aca="false">Downside!Z55</f>
        <v>50</v>
      </c>
      <c r="E55" s="6" t="n">
        <f aca="false">Downside!AL55</f>
        <v>50</v>
      </c>
      <c r="F55" s="6" t="n">
        <f aca="false">Downside!AX55</f>
        <v>50</v>
      </c>
      <c r="G55" s="6" t="n">
        <f aca="false">Downside!BJ55</f>
        <v>50</v>
      </c>
      <c r="H55" s="6" t="n">
        <f aca="false">Downside!BV55</f>
        <v>50</v>
      </c>
      <c r="I55" s="6" t="n">
        <f aca="false">Downside!CH55</f>
        <v>50</v>
      </c>
      <c r="J55" s="6" t="n">
        <f aca="false">Downside!CT55</f>
        <v>50</v>
      </c>
      <c r="K55" s="6" t="n">
        <f aca="false">Downside!DF55</f>
        <v>50</v>
      </c>
      <c r="L55" s="6" t="n">
        <f aca="false">Downside!DR55</f>
        <v>50</v>
      </c>
    </row>
    <row r="56" customFormat="false" ht="15" hidden="false" customHeight="false" outlineLevel="0" collapsed="false">
      <c r="A56" s="2" t="s">
        <v>224</v>
      </c>
      <c r="B56" s="6" t="n">
        <f aca="false">Downside!B56</f>
        <v>0</v>
      </c>
      <c r="C56" s="6" t="n">
        <f aca="false">Downside!N56</f>
        <v>-17.6578333333333</v>
      </c>
      <c r="D56" s="6" t="n">
        <f aca="false">Downside!Z56</f>
        <v>-37.1128333333333</v>
      </c>
      <c r="E56" s="6" t="n">
        <f aca="false">Downside!AL56</f>
        <v>-57.3519333333333</v>
      </c>
      <c r="F56" s="6" t="n">
        <f aca="false">Downside!AX56</f>
        <v>-77.9438333333334</v>
      </c>
      <c r="G56" s="6" t="n">
        <f aca="false">Downside!BJ56</f>
        <v>-98.8885333333334</v>
      </c>
      <c r="H56" s="6" t="n">
        <f aca="false">Downside!BV56</f>
        <v>-116.9252</v>
      </c>
      <c r="I56" s="6" t="n">
        <f aca="false">Downside!CH56</f>
        <v>-132.3805</v>
      </c>
      <c r="J56" s="6" t="n">
        <f aca="false">Downside!CT56</f>
        <v>-147.8365</v>
      </c>
      <c r="K56" s="6" t="n">
        <f aca="false">Downside!DF56</f>
        <v>-163.292500000001</v>
      </c>
      <c r="L56" s="6" t="n">
        <f aca="false">Downside!DR56</f>
        <v>-178.748500000001</v>
      </c>
    </row>
    <row r="57" customFormat="false" ht="15" hidden="false" customHeight="false" outlineLevel="0" collapsed="false">
      <c r="A57" s="2" t="s">
        <v>225</v>
      </c>
      <c r="B57" s="6" t="n">
        <f aca="false">Downside!B57</f>
        <v>25</v>
      </c>
      <c r="C57" s="6" t="n">
        <f aca="false">Downside!N57</f>
        <v>32.3421666666667</v>
      </c>
      <c r="D57" s="6" t="n">
        <f aca="false">Downside!Z57</f>
        <v>12.8871666666667</v>
      </c>
      <c r="E57" s="6" t="n">
        <f aca="false">Downside!AL57</f>
        <v>-7.35193333333334</v>
      </c>
      <c r="F57" s="6" t="n">
        <f aca="false">Downside!AX57</f>
        <v>-27.9438333333333</v>
      </c>
      <c r="G57" s="6" t="n">
        <f aca="false">Downside!BJ57</f>
        <v>-48.8885333333334</v>
      </c>
      <c r="H57" s="6" t="n">
        <f aca="false">Downside!BV57</f>
        <v>-66.9252</v>
      </c>
      <c r="I57" s="6" t="n">
        <f aca="false">Downside!CH57</f>
        <v>-82.3805</v>
      </c>
      <c r="J57" s="6" t="n">
        <f aca="false">Downside!CT57</f>
        <v>-97.8364999999999</v>
      </c>
      <c r="K57" s="6" t="n">
        <f aca="false">Downside!DF57</f>
        <v>-113.2925</v>
      </c>
      <c r="L57" s="6" t="n">
        <f aca="false">Downside!DR57</f>
        <v>-128.7485</v>
      </c>
    </row>
    <row r="58" customFormat="false" ht="15" hidden="false" customHeight="false" outlineLevel="0" collapsed="false">
      <c r="A58" s="2" t="s">
        <v>226</v>
      </c>
      <c r="B58" s="6" t="n">
        <f aca="false">Downside!B58</f>
        <v>25</v>
      </c>
      <c r="C58" s="6" t="n">
        <f aca="false">Downside!N58</f>
        <v>32.3421666666667</v>
      </c>
      <c r="D58" s="6" t="n">
        <f aca="false">Downside!Z58</f>
        <v>12.8871666666667</v>
      </c>
      <c r="E58" s="6" t="n">
        <f aca="false">Downside!AL58</f>
        <v>-7.35193333333333</v>
      </c>
      <c r="F58" s="6" t="n">
        <f aca="false">Downside!AX58</f>
        <v>-27.9438333333334</v>
      </c>
      <c r="G58" s="6" t="n">
        <f aca="false">Downside!BJ58</f>
        <v>-48.8885333333334</v>
      </c>
      <c r="H58" s="6" t="n">
        <f aca="false">Downside!BV58</f>
        <v>-66.9252000000002</v>
      </c>
      <c r="I58" s="6" t="n">
        <f aca="false">Downside!CH58</f>
        <v>-82.3805000000003</v>
      </c>
      <c r="J58" s="6" t="n">
        <f aca="false">Downside!CT58</f>
        <v>-97.8365000000004</v>
      </c>
      <c r="K58" s="6" t="n">
        <f aca="false">Downside!DF58</f>
        <v>-113.292500000001</v>
      </c>
      <c r="L58" s="6" t="n">
        <f aca="false">Downside!DR58</f>
        <v>-128.748500000001</v>
      </c>
    </row>
    <row r="59" customFormat="false" ht="15" hidden="false" customHeight="false" outlineLevel="0" collapsed="false">
      <c r="A59" s="16" t="s">
        <v>227</v>
      </c>
      <c r="B59" s="17" t="n">
        <f aca="false">Downside!B59</f>
        <v>0</v>
      </c>
      <c r="C59" s="17" t="n">
        <f aca="false">SUM(Downside!C59:N59)</f>
        <v>0</v>
      </c>
      <c r="D59" s="17" t="n">
        <f aca="false">SUM(Downside!O59:Z59)</f>
        <v>0</v>
      </c>
      <c r="E59" s="17" t="n">
        <f aca="false">SUM(Downside!AA59:AL59)</f>
        <v>-3.5527136788005E-015</v>
      </c>
      <c r="F59" s="17" t="n">
        <f aca="false">SUM(Downside!AM59:AX59)</f>
        <v>0</v>
      </c>
      <c r="G59" s="17" t="n">
        <f aca="false">SUM(Downside!AY59:BJ59)</f>
        <v>0</v>
      </c>
      <c r="H59" s="17" t="n">
        <f aca="false">SUM(Downside!BK59:BV59)</f>
        <v>0</v>
      </c>
      <c r="I59" s="17" t="n">
        <f aca="false">SUM(Downside!BW59:CH59)</f>
        <v>8.95283847057726E-013</v>
      </c>
      <c r="J59" s="17" t="n">
        <f aca="false">SUM(Downside!CI59:CT59)</f>
        <v>4.86011231259909E-012</v>
      </c>
      <c r="K59" s="17" t="n">
        <f aca="false">SUM(Downside!CU59:DF59)</f>
        <v>6.90647539158817E-012</v>
      </c>
      <c r="L59" s="17" t="n">
        <f aca="false">SUM(Downside!DG59:DR59)</f>
        <v>8.75388650456443E-012</v>
      </c>
    </row>
    <row r="60" customFormat="false" ht="15" hidden="false" customHeight="false" outlineLevel="0" collapsed="false">
      <c r="A60" s="2" t="s">
        <v>228</v>
      </c>
      <c r="B60" s="6" t="n">
        <f aca="false">Downside!B60</f>
        <v>0</v>
      </c>
      <c r="C60" s="6" t="n">
        <f aca="false">SUM(Downside!C60:N60)</f>
        <v>0</v>
      </c>
      <c r="D60" s="6" t="n">
        <f aca="false">SUM(Downside!O60:Z60)</f>
        <v>0</v>
      </c>
      <c r="E60" s="6" t="n">
        <f aca="false">SUM(Downside!AA60:AL60)</f>
        <v>0</v>
      </c>
      <c r="F60" s="6" t="n">
        <f aca="false">SUM(Downside!AM60:AX60)</f>
        <v>0</v>
      </c>
      <c r="G60" s="6" t="n">
        <f aca="false">SUM(Downside!AY60:BJ60)</f>
        <v>0</v>
      </c>
      <c r="H60" s="6" t="n">
        <f aca="false">SUM(Downside!BK60:BV60)</f>
        <v>1.15463194561016E-014</v>
      </c>
      <c r="I60" s="6" t="n">
        <f aca="false">SUM(Downside!BW60:CH60)</f>
        <v>5.24025267623074E-014</v>
      </c>
      <c r="J60" s="6" t="n">
        <f aca="false">SUM(Downside!CI60:CT60)</f>
        <v>6.3948846218409E-014</v>
      </c>
      <c r="K60" s="6" t="n">
        <f aca="false">SUM(Downside!CU60:DF60)</f>
        <v>6.3948846218409E-014</v>
      </c>
      <c r="L60" s="6" t="n">
        <f aca="false">SUM(Downside!DG60:DR60)</f>
        <v>-7.105427357601E-015</v>
      </c>
    </row>
    <row r="61" customFormat="false" ht="15" hidden="false" customHeight="false" outlineLevel="0" collapsed="false">
      <c r="A61" s="2" t="s">
        <v>229</v>
      </c>
      <c r="B61" s="6" t="n">
        <f aca="false">Downside!B61</f>
        <v>0</v>
      </c>
      <c r="C61" s="6" t="n">
        <f aca="false">SUM(Downside!C61:N61)</f>
        <v>0</v>
      </c>
      <c r="D61" s="6" t="n">
        <f aca="false">SUM(Downside!O61:Z61)</f>
        <v>0</v>
      </c>
      <c r="E61" s="6" t="n">
        <f aca="false">SUM(Downside!AA61:AL61)</f>
        <v>0</v>
      </c>
      <c r="F61" s="6" t="n">
        <f aca="false">SUM(Downside!AM61:AX61)</f>
        <v>0</v>
      </c>
      <c r="G61" s="6" t="n">
        <f aca="false">SUM(Downside!AY61:BJ61)</f>
        <v>0</v>
      </c>
      <c r="H61" s="6" t="n">
        <f aca="false">SUM(Downside!BK61:BV61)</f>
        <v>0</v>
      </c>
      <c r="I61" s="6" t="n">
        <f aca="false">SUM(Downside!BW61:CH61)</f>
        <v>0</v>
      </c>
      <c r="J61" s="6" t="n">
        <f aca="false">SUM(Downside!CI61:CT61)</f>
        <v>0</v>
      </c>
      <c r="K61" s="6" t="n">
        <f aca="false">SUM(Downside!CU61:DF61)</f>
        <v>0</v>
      </c>
      <c r="L61" s="6" t="n">
        <f aca="false">SUM(Downside!DG61:DR61)</f>
        <v>0</v>
      </c>
    </row>
    <row r="62" customFormat="false" ht="15" hidden="false" customHeight="false" outlineLevel="0" collapsed="false">
      <c r="A62" s="16" t="s">
        <v>230</v>
      </c>
      <c r="B62" s="17" t="n">
        <f aca="false">Downside!B62</f>
        <v>-25</v>
      </c>
      <c r="C62" s="17" t="n">
        <f aca="false">SUM(Downside!C62:N62)</f>
        <v>-20.8</v>
      </c>
      <c r="D62" s="17" t="n">
        <f aca="false">SUM(Downside!O62:Z62)</f>
        <v>24</v>
      </c>
      <c r="E62" s="17" t="n">
        <f aca="false">SUM(Downside!AA62:AL62)</f>
        <v>25.2</v>
      </c>
      <c r="F62" s="17" t="n">
        <f aca="false">SUM(Downside!AM62:AX62)</f>
        <v>25.2</v>
      </c>
      <c r="G62" s="17" t="n">
        <f aca="false">SUM(Downside!AY62:BJ62)</f>
        <v>25.2</v>
      </c>
      <c r="H62" s="17" t="n">
        <f aca="false">SUM(Downside!BK62:BV62)</f>
        <v>25.2</v>
      </c>
      <c r="I62" s="17" t="n">
        <f aca="false">SUM(Downside!BW62:CH62)</f>
        <v>25.2</v>
      </c>
      <c r="J62" s="17" t="n">
        <f aca="false">SUM(Downside!CI62:CT62)</f>
        <v>25.2</v>
      </c>
      <c r="K62" s="17" t="n">
        <f aca="false">SUM(Downside!CU62:DF62)</f>
        <v>25.2</v>
      </c>
      <c r="L62" s="17" t="n">
        <f aca="false">SUM(Downside!DG62:DR62)</f>
        <v>25.2</v>
      </c>
    </row>
    <row r="63" customFormat="false" ht="15" hidden="false" customHeight="false" outlineLevel="0" collapsed="false">
      <c r="A63" s="2" t="s">
        <v>231</v>
      </c>
      <c r="B63" s="6" t="n">
        <f aca="false">Downside!B63</f>
        <v>-25</v>
      </c>
      <c r="C63" s="6" t="n">
        <f aca="false">Downside!N63</f>
        <v>-45.8</v>
      </c>
      <c r="D63" s="6" t="n">
        <f aca="false">Downside!Z63</f>
        <v>-21.8</v>
      </c>
      <c r="E63" s="6" t="n">
        <f aca="false">Downside!AL63</f>
        <v>3.4</v>
      </c>
      <c r="F63" s="6" t="n">
        <f aca="false">Downside!AX63</f>
        <v>28.6</v>
      </c>
      <c r="G63" s="6" t="n">
        <f aca="false">Downside!BJ63</f>
        <v>53.8</v>
      </c>
      <c r="H63" s="6" t="n">
        <f aca="false">Downside!BV63</f>
        <v>79</v>
      </c>
      <c r="I63" s="6" t="n">
        <f aca="false">Downside!CH63</f>
        <v>104.2</v>
      </c>
      <c r="J63" s="6" t="n">
        <f aca="false">Downside!CT63</f>
        <v>129.4</v>
      </c>
      <c r="K63" s="6" t="n">
        <f aca="false">Downside!DF63</f>
        <v>154.6</v>
      </c>
      <c r="L63" s="6" t="n">
        <f aca="false">Downside!DR63</f>
        <v>179.8</v>
      </c>
    </row>
    <row r="64" customFormat="false" ht="15" hidden="false" customHeight="false" outlineLevel="0" collapsed="false">
      <c r="A64" s="2" t="s">
        <v>232</v>
      </c>
      <c r="B64" s="6" t="n">
        <f aca="false">Downside!B64</f>
        <v>0</v>
      </c>
      <c r="C64" s="6" t="n">
        <f aca="false">Downside!N64</f>
        <v>4.2</v>
      </c>
      <c r="D64" s="6" t="n">
        <f aca="false">Downside!Z64</f>
        <v>28.2</v>
      </c>
      <c r="E64" s="6" t="n">
        <f aca="false">Downside!AL64</f>
        <v>53.4</v>
      </c>
      <c r="F64" s="6" t="n">
        <f aca="false">Downside!AX64</f>
        <v>78.6</v>
      </c>
      <c r="G64" s="6" t="n">
        <f aca="false">Downside!BJ64</f>
        <v>103.8</v>
      </c>
      <c r="H64" s="6" t="n">
        <f aca="false">Downside!BV64</f>
        <v>129</v>
      </c>
      <c r="I64" s="6" t="n">
        <f aca="false">Downside!CH64</f>
        <v>154.2</v>
      </c>
      <c r="J64" s="6" t="n">
        <f aca="false">Downside!CT64</f>
        <v>179.4</v>
      </c>
      <c r="K64" s="6" t="n">
        <f aca="false">Downside!DF64</f>
        <v>204.6</v>
      </c>
      <c r="L64" s="6" t="n">
        <f aca="false">Downside!DR64</f>
        <v>229.8</v>
      </c>
    </row>
    <row r="65" customFormat="false" ht="15" hidden="false" customHeight="false" outlineLevel="0" collapsed="false">
      <c r="A65" s="2" t="s">
        <v>233</v>
      </c>
      <c r="B65" s="6" t="n">
        <f aca="false">Downside!B65</f>
        <v>0</v>
      </c>
      <c r="C65" s="6" t="n">
        <f aca="false">SUM(Downside!C65:N65)</f>
        <v>4.2</v>
      </c>
      <c r="D65" s="6" t="n">
        <f aca="false">SUM(Downside!O65:Z65)</f>
        <v>24</v>
      </c>
      <c r="E65" s="6" t="n">
        <f aca="false">SUM(Downside!AA65:AL65)</f>
        <v>25.2</v>
      </c>
      <c r="F65" s="6" t="n">
        <f aca="false">SUM(Downside!AM65:AX65)</f>
        <v>25.2</v>
      </c>
      <c r="G65" s="6" t="n">
        <f aca="false">SUM(Downside!AY65:BJ65)</f>
        <v>25.2</v>
      </c>
      <c r="H65" s="6" t="n">
        <f aca="false">SUM(Downside!BK65:BV65)</f>
        <v>25.2</v>
      </c>
      <c r="I65" s="6" t="n">
        <f aca="false">SUM(Downside!BW65:CH65)</f>
        <v>25.2</v>
      </c>
      <c r="J65" s="6" t="n">
        <f aca="false">SUM(Downside!CI65:CT65)</f>
        <v>25.2</v>
      </c>
      <c r="K65" s="6" t="n">
        <f aca="false">SUM(Downside!CU65:DF65)</f>
        <v>25.2</v>
      </c>
      <c r="L65" s="6" t="n">
        <f aca="false">SUM(Downside!DG65:DR65)</f>
        <v>25.2</v>
      </c>
    </row>
    <row r="66" customFormat="false" ht="15" hidden="false" customHeight="false" outlineLevel="0" collapsed="false">
      <c r="A66" s="2" t="s">
        <v>234</v>
      </c>
      <c r="B66" s="6" t="n">
        <f aca="false">Downside!B66</f>
        <v>0</v>
      </c>
      <c r="C66" s="6" t="n">
        <f aca="false">SUM(Downside!C66:N66)</f>
        <v>0</v>
      </c>
      <c r="D66" s="6" t="n">
        <f aca="false">SUM(Downside!O66:Z66)</f>
        <v>0</v>
      </c>
      <c r="E66" s="6" t="n">
        <f aca="false">SUM(Downside!AA66:AL66)</f>
        <v>0</v>
      </c>
      <c r="F66" s="6" t="n">
        <f aca="false">SUM(Downside!AM66:AX66)</f>
        <v>0</v>
      </c>
      <c r="G66" s="6" t="n">
        <f aca="false">SUM(Downside!AY66:BJ66)</f>
        <v>0</v>
      </c>
      <c r="H66" s="6" t="n">
        <f aca="false">SUM(Downside!BK66:BV66)</f>
        <v>0</v>
      </c>
      <c r="I66" s="6" t="n">
        <f aca="false">SUM(Downside!BW66:CH66)</f>
        <v>0</v>
      </c>
      <c r="J66" s="6" t="n">
        <f aca="false">SUM(Downside!CI66:CT66)</f>
        <v>0</v>
      </c>
      <c r="K66" s="6" t="n">
        <f aca="false">SUM(Downside!CU66:DF66)</f>
        <v>0</v>
      </c>
      <c r="L66" s="6" t="n">
        <f aca="false">SUM(Downside!DG66:DR66)</f>
        <v>0</v>
      </c>
    </row>
    <row r="67" customFormat="false" ht="15" hidden="false" customHeight="false" outlineLevel="0" collapsed="false">
      <c r="A67" s="16" t="s">
        <v>235</v>
      </c>
      <c r="B67" s="17" t="n">
        <f aca="false">Downside!B67</f>
        <v>-50</v>
      </c>
      <c r="C67" s="17" t="n">
        <f aca="false">Downside!N67</f>
        <v>-45.8</v>
      </c>
      <c r="D67" s="17" t="n">
        <f aca="false">Downside!Z67</f>
        <v>-21.8</v>
      </c>
      <c r="E67" s="17" t="n">
        <f aca="false">Downside!AL67</f>
        <v>3.4</v>
      </c>
      <c r="F67" s="17" t="n">
        <f aca="false">Downside!AX67</f>
        <v>28.6</v>
      </c>
      <c r="G67" s="17" t="n">
        <f aca="false">Downside!BJ67</f>
        <v>53.8</v>
      </c>
      <c r="H67" s="17" t="n">
        <f aca="false">Downside!BV67</f>
        <v>79</v>
      </c>
      <c r="I67" s="17" t="n">
        <f aca="false">Downside!CH67</f>
        <v>104.2</v>
      </c>
      <c r="J67" s="17" t="n">
        <f aca="false">Downside!CT67</f>
        <v>129.4</v>
      </c>
      <c r="K67" s="17" t="n">
        <f aca="false">Downside!DF67</f>
        <v>154.6</v>
      </c>
      <c r="L67" s="17" t="n">
        <f aca="false">Downside!DR67</f>
        <v>179.8</v>
      </c>
    </row>
    <row r="68" customFormat="false" ht="15" hidden="false" customHeight="false" outlineLevel="0" collapsed="false">
      <c r="A68" s="2" t="s">
        <v>236</v>
      </c>
      <c r="B68" s="6" t="n">
        <f aca="false">Downside!B68</f>
        <v>0</v>
      </c>
      <c r="C68" s="6" t="n">
        <f aca="false">SUM(Downside!C68:N68)</f>
        <v>0</v>
      </c>
      <c r="D68" s="6" t="n">
        <f aca="false">SUM(Downside!O68:Z68)</f>
        <v>0</v>
      </c>
      <c r="E68" s="6" t="n">
        <f aca="false">SUM(Downside!AA68:AL68)</f>
        <v>0</v>
      </c>
      <c r="F68" s="6" t="n">
        <f aca="false">SUM(Downside!AM68:AX68)</f>
        <v>0</v>
      </c>
      <c r="G68" s="6" t="n">
        <f aca="false">SUM(Downside!AY68:BJ68)</f>
        <v>0</v>
      </c>
      <c r="H68" s="6" t="n">
        <f aca="false">SUM(Downside!BK68:BV68)</f>
        <v>0</v>
      </c>
      <c r="I68" s="6" t="n">
        <f aca="false">SUM(Downside!BW68:CH68)</f>
        <v>0</v>
      </c>
      <c r="J68" s="6" t="n">
        <f aca="false">SUM(Downside!CI68:CT68)</f>
        <v>0</v>
      </c>
      <c r="K68" s="6" t="n">
        <f aca="false">SUM(Downside!CU68:DF68)</f>
        <v>0</v>
      </c>
      <c r="L68" s="6" t="n">
        <f aca="false">SUM(Downside!DG68:DR68)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16"/>
    <col collapsed="false" customWidth="true" hidden="false" outlineLevel="0" max="5" min="5" style="0" width="80"/>
  </cols>
  <sheetData>
    <row r="1" customFormat="false" ht="31.5" hidden="false" customHeight="true" outlineLevel="0" collapsed="false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</row>
    <row r="2" customFormat="false" ht="15" hidden="false" customHeight="false" outlineLevel="0" collapsed="false">
      <c r="A2" s="2" t="s">
        <v>242</v>
      </c>
      <c r="B2" s="6" t="n">
        <f aca="false">SUM(Headline!B19:DR19)</f>
        <v>4200</v>
      </c>
      <c r="C2" s="6" t="n">
        <f aca="false">SUM(Ramp!B19:DR19)</f>
        <v>3935</v>
      </c>
      <c r="D2" s="6" t="n">
        <f aca="false">SUM(Downside!B19:DR19)</f>
        <v>2298</v>
      </c>
      <c r="E2" s="2"/>
    </row>
    <row r="3" customFormat="false" ht="15" hidden="false" customHeight="false" outlineLevel="0" collapsed="false">
      <c r="A3" s="2" t="s">
        <v>243</v>
      </c>
      <c r="B3" s="6" t="n">
        <f aca="false">SUM(Headline!B47:DR47)</f>
        <v>50</v>
      </c>
      <c r="C3" s="6" t="n">
        <f aca="false">SUM(Ramp!B47:DR47)</f>
        <v>50</v>
      </c>
      <c r="D3" s="6" t="n">
        <f aca="false">SUM(Downside!B47:DR47)</f>
        <v>50</v>
      </c>
      <c r="E3" s="2"/>
    </row>
    <row r="4" customFormat="false" ht="15" hidden="false" customHeight="false" outlineLevel="0" collapsed="false">
      <c r="A4" s="2" t="s">
        <v>244</v>
      </c>
      <c r="B4" s="6" t="n">
        <f aca="false">SUM(Headline!B24:DR24)</f>
        <v>420</v>
      </c>
      <c r="C4" s="6" t="n">
        <f aca="false">SUM(Ramp!B24:DR24)</f>
        <v>393.5</v>
      </c>
      <c r="D4" s="6" t="n">
        <f aca="false">SUM(Downside!B24:DR24)</f>
        <v>229.8</v>
      </c>
      <c r="E4" s="2"/>
    </row>
    <row r="5" customFormat="false" ht="15" hidden="false" customHeight="false" outlineLevel="0" collapsed="false">
      <c r="A5" s="2" t="s">
        <v>245</v>
      </c>
      <c r="B5" s="5" t="n">
        <f aca="false">B4-B3</f>
        <v>370</v>
      </c>
      <c r="C5" s="5" t="n">
        <f aca="false">C4-C3</f>
        <v>343.5</v>
      </c>
      <c r="D5" s="5" t="n">
        <f aca="false">D4-D3</f>
        <v>179.8</v>
      </c>
      <c r="E5" s="2"/>
    </row>
    <row r="6" customFormat="false" ht="15" hidden="false" customHeight="false" outlineLevel="0" collapsed="false">
      <c r="A6" s="2" t="s">
        <v>246</v>
      </c>
      <c r="B6" s="5" t="n">
        <f aca="false">B4/B3</f>
        <v>8.4</v>
      </c>
      <c r="C6" s="5" t="n">
        <f aca="false">C4/C3</f>
        <v>7.87</v>
      </c>
      <c r="D6" s="5" t="n">
        <f aca="false">D4/D3</f>
        <v>4.596</v>
      </c>
      <c r="E6" s="2"/>
    </row>
    <row r="7" customFormat="false" ht="15" hidden="false" customHeight="false" outlineLevel="0" collapsed="false">
      <c r="A7" s="2" t="s">
        <v>247</v>
      </c>
      <c r="B7" s="18" t="n">
        <f aca="false">B6-Inputs!$B$35</f>
        <v>7.4</v>
      </c>
      <c r="C7" s="18" t="n">
        <f aca="false">C6-Inputs!$B$35</f>
        <v>6.87</v>
      </c>
      <c r="D7" s="18" t="n">
        <f aca="false">D6-Inputs!$B$35</f>
        <v>3.596</v>
      </c>
      <c r="E7" s="2"/>
    </row>
    <row r="8" customFormat="false" ht="15" hidden="false" customHeight="false" outlineLevel="0" collapsed="false">
      <c r="A8" s="2" t="s">
        <v>248</v>
      </c>
      <c r="B8" s="18" t="n">
        <f aca="false">IFERROR(IRR(Headline!B62:DR62),"N/A")</f>
        <v>0.0699791040323586</v>
      </c>
      <c r="C8" s="18" t="n">
        <f aca="false">IFERROR(IRR(Ramp!B62:DR62),"N/A")</f>
        <v>0.0575692318142462</v>
      </c>
      <c r="D8" s="18" t="str">
        <f aca="false">IFERROR(IRR(Downside!B62:DR62),"N/A")</f>
        <v>N/A</v>
      </c>
      <c r="E8" s="2"/>
    </row>
    <row r="9" customFormat="false" ht="15" hidden="false" customHeight="false" outlineLevel="0" collapsed="false">
      <c r="A9" s="2" t="s">
        <v>249</v>
      </c>
      <c r="B9" s="18" t="n">
        <f aca="false">IFERROR((Inputs!$B$35+B8)^Inputs!$B$2-Inputs!$B$35,"N/A")</f>
        <v>1.25166385062774</v>
      </c>
      <c r="C9" s="18" t="n">
        <f aca="false">IFERROR((Inputs!$B$35+C8)^Inputs!$B$2-Inputs!$B$35,"N/A")</f>
        <v>0.957517652622006</v>
      </c>
      <c r="D9" s="18" t="str">
        <f aca="false">IFERROR((Inputs!$B$35+D8)^Inputs!$B$2-Inputs!$B$35,"N/A")</f>
        <v>N/A</v>
      </c>
      <c r="E9" s="2" t="s">
        <v>250</v>
      </c>
    </row>
    <row r="10" customFormat="false" ht="15" hidden="false" customHeight="false" outlineLevel="0" collapsed="false">
      <c r="A10" s="2" t="s">
        <v>251</v>
      </c>
      <c r="B10" s="18" t="n">
        <f aca="false">IFERROR(IRR('Headline annual'!B62:L62),"N/A")</f>
        <v>0.838091873618476</v>
      </c>
      <c r="C10" s="18" t="n">
        <f aca="false">IFERROR(IRR('Ramp annual'!B62:L62),"N/A")</f>
        <v>0.775093499473999</v>
      </c>
      <c r="D10" s="18" t="n">
        <f aca="false">IFERROR(IRR('Downside annual'!B62:L62),"N/A")</f>
        <v>0.422068862130438</v>
      </c>
      <c r="E10" s="2" t="s">
        <v>252</v>
      </c>
    </row>
    <row r="11" customFormat="false" ht="15" hidden="false" customHeight="false" outlineLevel="0" collapsed="false">
      <c r="A11" s="2" t="s">
        <v>253</v>
      </c>
      <c r="B11" s="6" t="n">
        <f aca="false">IF(COUNTIF(Headline!B63:DR63,"&gt;=0")=Inputs!$B$34,"Not reached",COUNTIF(Headline!B63:DR63,"&lt;0"))</f>
        <v>15</v>
      </c>
      <c r="C11" s="6" t="n">
        <f aca="false">IF(COUNTIF(Ramp!B63:DR63,"&gt;=0")=Inputs!$B$34,"Not reached",COUNTIF(Ramp!B63:DR63,"&lt;0"))</f>
        <v>22</v>
      </c>
      <c r="D11" s="6" t="n">
        <f aca="false">IF(COUNTIF(Downside!B63:DR63,"&gt;=0")=Inputs!$B$34,"Not reached",COUNTIF(Downside!B63:DR63,"&lt;0"))</f>
        <v>35</v>
      </c>
      <c r="E11" s="2"/>
    </row>
    <row r="12" customFormat="false" ht="15" hidden="false" customHeight="false" outlineLevel="0" collapsed="false">
      <c r="A12" s="2" t="s">
        <v>254</v>
      </c>
      <c r="B12" s="6" t="n">
        <f aca="false">IF(ISNUMBER(B11),B11-Inputs!$B$35-INDEX(Headline!B63:DR63,Inputs!$B$35,B11)/INDEX(Headline!B62:DR62,Inputs!$B$35,B11+Inputs!$B$35),"Not reached")</f>
        <v>14.2857142857143</v>
      </c>
      <c r="C12" s="6" t="n">
        <f aca="false">IF(ISNUMBER(C11),C11-Inputs!$B$35-INDEX(Ramp!B63:DR63,Inputs!$B$35,C11)/INDEX(Ramp!B62:DR62,Inputs!$B$35,C11+Inputs!$B$35),"Not reached")</f>
        <v>21.8571428571429</v>
      </c>
      <c r="D12" s="6" t="n">
        <f aca="false">IF(ISNUMBER(D11),D11-Inputs!$B$35-INDEX(Downside!B63:DR63,Inputs!$B$35,D11)/INDEX(Downside!B62:DR62,Inputs!$B$35,D11+Inputs!$B$35),"Not reached")</f>
        <v>34.3809523809524</v>
      </c>
      <c r="E12" s="2" t="s">
        <v>255</v>
      </c>
    </row>
    <row r="13" customFormat="false" ht="15" hidden="false" customHeight="false" outlineLevel="0" collapsed="false">
      <c r="A13" s="2" t="s">
        <v>256</v>
      </c>
      <c r="B13" s="6" t="n">
        <f aca="false">IF(COUNTIF(Headline!B67:DR67,"&gt;=0")=Inputs!$B$34,"Not reached",COUNTIF(Headline!B67:DR67,"&lt;0"))</f>
        <v>15</v>
      </c>
      <c r="C13" s="6" t="n">
        <f aca="false">IF(COUNTIF(Ramp!B67:DR67,"&gt;=0")=Inputs!$B$34,"Not reached",COUNTIF(Ramp!B67:DR67,"&lt;0"))</f>
        <v>22</v>
      </c>
      <c r="D13" s="6" t="n">
        <f aca="false">IF(COUNTIF(Downside!B67:DR67,"&gt;=0")=Inputs!$B$34,"Not reached",COUNTIF(Downside!B67:DR67,"&lt;0"))</f>
        <v>35</v>
      </c>
      <c r="E13" s="2"/>
    </row>
    <row r="14" customFormat="false" ht="15" hidden="false" customHeight="false" outlineLevel="0" collapsed="false">
      <c r="A14" s="2" t="s">
        <v>257</v>
      </c>
      <c r="B14" s="6" t="n">
        <f aca="false">MAX(Headline!B53:DR53)</f>
        <v>211.957499999999</v>
      </c>
      <c r="C14" s="6" t="n">
        <f aca="false">MAX(Ramp!B53:DR53)</f>
        <v>204.38625</v>
      </c>
      <c r="D14" s="6" t="n">
        <f aca="false">MAX(Downside!B53:DR53)</f>
        <v>134.9435</v>
      </c>
      <c r="E14" s="2"/>
    </row>
    <row r="15" customFormat="false" ht="15" hidden="false" customHeight="false" outlineLevel="0" collapsed="false">
      <c r="A15" s="2" t="s">
        <v>258</v>
      </c>
      <c r="B15" s="6" t="n">
        <f aca="false">MIN(Headline!B52:DR52)</f>
        <v>-211.957499999999</v>
      </c>
      <c r="C15" s="6" t="n">
        <f aca="false">MIN(Ramp!B52:DR52)</f>
        <v>-204.38625</v>
      </c>
      <c r="D15" s="6" t="n">
        <f aca="false">MIN(Downside!B52:DR52)</f>
        <v>-134.9435</v>
      </c>
      <c r="E15" s="2"/>
    </row>
    <row r="16" customFormat="false" ht="15" hidden="false" customHeight="false" outlineLevel="0" collapsed="false">
      <c r="A16" s="2" t="s">
        <v>259</v>
      </c>
      <c r="B16" s="6" t="n">
        <f aca="false">'Headline annual'!C19</f>
        <v>420</v>
      </c>
      <c r="C16" s="6" t="n">
        <f aca="false">'Ramp annual'!C19</f>
        <v>155</v>
      </c>
      <c r="D16" s="6" t="n">
        <f aca="false">'Downside annual'!C19</f>
        <v>42</v>
      </c>
      <c r="E16" s="2"/>
    </row>
    <row r="17" customFormat="false" ht="15" hidden="false" customHeight="false" outlineLevel="0" collapsed="false">
      <c r="A17" s="2" t="s">
        <v>260</v>
      </c>
      <c r="B17" s="6" t="n">
        <f aca="false">'Headline annual'!C24</f>
        <v>42</v>
      </c>
      <c r="C17" s="6" t="n">
        <f aca="false">'Ramp annual'!C24</f>
        <v>15.5</v>
      </c>
      <c r="D17" s="6" t="n">
        <f aca="false">'Downside annual'!C24</f>
        <v>4.2</v>
      </c>
      <c r="E17" s="2"/>
    </row>
    <row r="18" customFormat="false" ht="15" hidden="false" customHeight="false" outlineLevel="0" collapsed="false">
      <c r="A18" s="2" t="s">
        <v>261</v>
      </c>
      <c r="B18" s="6" t="n">
        <f aca="false">SUM(Headline!B23:DR23)</f>
        <v>1680</v>
      </c>
      <c r="C18" s="6" t="n">
        <f aca="false">SUM(Ramp!B23:DR23)</f>
        <v>1574</v>
      </c>
      <c r="D18" s="6" t="n">
        <f aca="false">SUM(Downside!B23:DR23)</f>
        <v>919.2</v>
      </c>
      <c r="E18" s="2"/>
    </row>
    <row r="19" customFormat="false" ht="15" hidden="false" customHeight="false" outlineLevel="0" collapsed="false">
      <c r="A19" s="2" t="s">
        <v>262</v>
      </c>
      <c r="B19" s="6" t="n">
        <f aca="false">SUM(Headline!B27:DR27)</f>
        <v>1260</v>
      </c>
      <c r="C19" s="6" t="n">
        <f aca="false">SUM(Ramp!B27:DR27)</f>
        <v>1180.5</v>
      </c>
      <c r="D19" s="6" t="n">
        <f aca="false">SUM(Downside!B27:DR27)</f>
        <v>689.4</v>
      </c>
      <c r="E19" s="2"/>
    </row>
    <row r="20" customFormat="false" ht="15" hidden="false" customHeight="false" outlineLevel="0" collapsed="false">
      <c r="A20" s="2" t="s">
        <v>263</v>
      </c>
      <c r="B20" s="6" t="n">
        <f aca="false">SUM(Headline!B33:DR33)</f>
        <v>409</v>
      </c>
      <c r="C20" s="6" t="n">
        <f aca="false">SUM(Ramp!B33:DR33)</f>
        <v>387.8</v>
      </c>
      <c r="D20" s="6" t="n">
        <f aca="false">SUM(Downside!B33:DR33)</f>
        <v>256.84</v>
      </c>
      <c r="E20" s="2"/>
    </row>
    <row r="21" customFormat="false" ht="15" hidden="false" customHeight="false" outlineLevel="0" collapsed="false">
      <c r="A21" s="2" t="s">
        <v>264</v>
      </c>
      <c r="B21" s="6" t="n">
        <f aca="false">SUM(Headline!B26:DR26)</f>
        <v>840</v>
      </c>
      <c r="C21" s="6" t="n">
        <f aca="false">SUM(Ramp!B26:DR26)</f>
        <v>787</v>
      </c>
      <c r="D21" s="6" t="n">
        <f aca="false">SUM(Downside!B26:DR26)</f>
        <v>459.6</v>
      </c>
      <c r="E21" s="2"/>
    </row>
    <row r="22" customFormat="false" ht="15" hidden="false" customHeight="false" outlineLevel="0" collapsed="false">
      <c r="A22" s="2" t="s">
        <v>265</v>
      </c>
      <c r="B22" s="6" t="n">
        <f aca="false">SUM(Headline!B41:DR41)</f>
        <v>612.1575</v>
      </c>
      <c r="C22" s="6" t="n">
        <f aca="false">SUM(Ramp!B41:DR41)</f>
        <v>572.78625</v>
      </c>
      <c r="D22" s="6" t="n">
        <f aca="false">SUM(Downside!B41:DR41)</f>
        <v>322.1435</v>
      </c>
      <c r="E22" s="2"/>
    </row>
    <row r="23" customFormat="false" ht="15" hidden="false" customHeight="false" outlineLevel="0" collapsed="false">
      <c r="A23" s="2" t="s">
        <v>266</v>
      </c>
      <c r="B23" s="6" t="n">
        <f aca="false">MAX(MAX(Headline!B59:DR59),-MIN(Headline!B59:DR59))</f>
        <v>3.5527136788005E-014</v>
      </c>
      <c r="C23" s="6" t="n">
        <f aca="false">MAX(MAX(Ramp!B59:DR59),-MIN(Ramp!B59:DR59))</f>
        <v>5.6843418860808E-014</v>
      </c>
      <c r="D23" s="6" t="n">
        <f aca="false">MAX(MAX(Downside!B59:DR59),-MIN(Downside!B59:DR59))</f>
        <v>7.67386154620908E-013</v>
      </c>
      <c r="E23" s="2"/>
    </row>
    <row r="24" customFormat="false" ht="15" hidden="false" customHeight="false" outlineLevel="0" collapsed="false">
      <c r="A24" s="2" t="s">
        <v>267</v>
      </c>
      <c r="B24" s="6" t="n">
        <f aca="false">MAX(MAX(Headline!B60:DR60),-MIN(Headline!B60:DR60))</f>
        <v>1.4210854715202E-014</v>
      </c>
      <c r="C24" s="6" t="n">
        <f aca="false">MAX(MAX(Ramp!B60:DR60),-MIN(Ramp!B60:DR60))</f>
        <v>1.4210854715202E-014</v>
      </c>
      <c r="D24" s="6" t="n">
        <f aca="false">MAX(MAX(Downside!B60:DR60),-MIN(Downside!B60:DR60))</f>
        <v>8.88178419700125E-015</v>
      </c>
      <c r="E24" s="2"/>
    </row>
    <row r="25" customFormat="false" ht="23.85" hidden="false" customHeight="false" outlineLevel="0" collapsed="false">
      <c r="A25" s="2" t="s">
        <v>268</v>
      </c>
      <c r="B25" s="2" t="s">
        <v>269</v>
      </c>
      <c r="C25" s="2" t="s">
        <v>269</v>
      </c>
      <c r="D25" s="2" t="s">
        <v>269</v>
      </c>
      <c r="E25" s="2"/>
    </row>
    <row r="26" customFormat="false" ht="35.05" hidden="false" customHeight="false" outlineLevel="0" collapsed="false">
      <c r="A26" s="2" t="s">
        <v>270</v>
      </c>
      <c r="B26" s="6" t="str">
        <f aca="false">IF(B14&gt;Inputs!$B$33,"UNFUNDED GAP — distributions not assured","No modeled cash gap")</f>
        <v>UNFUNDED GAP — distributions not assured</v>
      </c>
      <c r="C26" s="6" t="str">
        <f aca="false">IF(C14&gt;Inputs!$B$33,"UNFUNDED GAP — distributions not assured","No modeled cash gap")</f>
        <v>UNFUNDED GAP — distributions not assured</v>
      </c>
      <c r="D26" s="6" t="str">
        <f aca="false">IF(D14&gt;Inputs!$B$33,"UNFUNDED GAP — distributions not assured","No modeled cash gap")</f>
        <v>UNFUNDED GAP — distributions not assured</v>
      </c>
      <c r="E26" s="2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31.5" hidden="false" customHeight="true" outlineLevel="0" collapsed="false">
      <c r="A1" s="1" t="s">
        <v>271</v>
      </c>
      <c r="B1" s="1" t="s">
        <v>272</v>
      </c>
      <c r="C1" s="1" t="s">
        <v>273</v>
      </c>
    </row>
    <row r="2" customFormat="false" ht="15" hidden="false" customHeight="false" outlineLevel="0" collapsed="false">
      <c r="A2" s="2" t="s">
        <v>274</v>
      </c>
      <c r="B2" s="6" t="n">
        <f aca="false">Inputs!$B$4+Inputs!$B$5+Inputs!$B$6-Inputs!$B$35</f>
        <v>0</v>
      </c>
      <c r="C2" s="2" t="s">
        <v>275</v>
      </c>
    </row>
    <row r="3" customFormat="false" ht="15" hidden="false" customHeight="false" outlineLevel="0" collapsed="false">
      <c r="A3" s="2" t="s">
        <v>276</v>
      </c>
      <c r="B3" s="6" t="n">
        <f aca="false">Inputs!$B$6-Inputs!$B$7-Inputs!$B$8</f>
        <v>0</v>
      </c>
      <c r="C3" s="2" t="s">
        <v>275</v>
      </c>
    </row>
    <row r="4" customFormat="false" ht="15" hidden="false" customHeight="false" outlineLevel="0" collapsed="false">
      <c r="A4" s="2" t="s">
        <v>277</v>
      </c>
      <c r="B4" s="6" t="n">
        <f aca="false">Funding!B7-Inputs!$B$22-Inputs!$B$23</f>
        <v>0</v>
      </c>
      <c r="C4" s="2" t="s">
        <v>275</v>
      </c>
    </row>
    <row r="5" customFormat="false" ht="15" hidden="false" customHeight="false" outlineLevel="0" collapsed="false">
      <c r="A5" s="2" t="s">
        <v>278</v>
      </c>
      <c r="B5" s="6" t="n">
        <f aca="false">Streams!J15</f>
        <v>2.5</v>
      </c>
      <c r="C5" s="2" t="s">
        <v>279</v>
      </c>
    </row>
    <row r="6" customFormat="false" ht="15" hidden="false" customHeight="false" outlineLevel="0" collapsed="false">
      <c r="A6" s="2" t="s">
        <v>280</v>
      </c>
      <c r="B6" s="6" t="n">
        <f aca="false">Streams!E15</f>
        <v>35</v>
      </c>
      <c r="C6" s="2" t="s">
        <v>281</v>
      </c>
    </row>
    <row r="7" customFormat="false" ht="15" hidden="false" customHeight="false" outlineLevel="0" collapsed="false">
      <c r="A7" s="2" t="s">
        <v>282</v>
      </c>
      <c r="B7" s="6" t="n">
        <f aca="false">Streams!E18</f>
        <v>32.5</v>
      </c>
      <c r="C7" s="2" t="s">
        <v>283</v>
      </c>
    </row>
    <row r="8" customFormat="false" ht="15" hidden="false" customHeight="false" outlineLevel="0" collapsed="false">
      <c r="A8" s="2" t="s">
        <v>284</v>
      </c>
      <c r="B8" s="6" t="n">
        <f aca="false">Streams!E17</f>
        <v>0.0714285714285714</v>
      </c>
      <c r="C8" s="2" t="s">
        <v>285</v>
      </c>
    </row>
    <row r="9" customFormat="false" ht="15" hidden="false" customHeight="false" outlineLevel="0" collapsed="false">
      <c r="A9" s="2" t="s">
        <v>286</v>
      </c>
      <c r="B9" s="6" t="str">
        <f aca="false">IF(AND(Inputs!$B$16&gt;=Inputs!$B$34,Inputs!$B$16&lt;=Inputs!$B$18,Inputs!$B$17&gt;=Inputs!$B$34,Inputs!$B$17&lt;=Inputs!$B$18),"PASS","FAIL")</f>
        <v>PASS</v>
      </c>
      <c r="C9" s="2" t="s">
        <v>287</v>
      </c>
    </row>
    <row r="10" customFormat="false" ht="15" hidden="false" customHeight="false" outlineLevel="0" collapsed="false">
      <c r="A10" s="2" t="s">
        <v>288</v>
      </c>
      <c r="B10" s="6" t="n">
        <f aca="false">SUM('Ramp annual'!C19:L19)-SUM(Ramp!C19:DR19)</f>
        <v>0</v>
      </c>
      <c r="C10" s="2" t="s">
        <v>275</v>
      </c>
    </row>
    <row r="11" customFormat="false" ht="15" hidden="false" customHeight="false" outlineLevel="0" collapsed="false">
      <c r="A11" s="2" t="s">
        <v>289</v>
      </c>
      <c r="B11" s="6" t="n">
        <f aca="false">'Ramp annual'!L52-Ramp!DR52</f>
        <v>0</v>
      </c>
      <c r="C11" s="2" t="s">
        <v>275</v>
      </c>
    </row>
    <row r="12" customFormat="false" ht="15" hidden="false" customHeight="false" outlineLevel="0" collapsed="false">
      <c r="A12" s="2" t="s">
        <v>290</v>
      </c>
      <c r="B12" s="6" t="n">
        <f aca="false">MAX(MAX(Streams!E21:E27),-MIN(Streams!E21:E27))</f>
        <v>-0</v>
      </c>
      <c r="C12" s="2" t="s">
        <v>275</v>
      </c>
    </row>
    <row r="13" customFormat="false" ht="15" hidden="false" customHeight="false" outlineLevel="0" collapsed="false">
      <c r="A13" s="2" t="s">
        <v>291</v>
      </c>
      <c r="B13" s="6" t="str">
        <f aca="false">IF(AND(Returns!B2&gt;Returns!C2,Returns!C2&gt;Returns!D2),"PASS","FAIL")</f>
        <v>PASS</v>
      </c>
      <c r="C13" s="2" t="s">
        <v>292</v>
      </c>
    </row>
    <row r="14" customFormat="false" ht="15" hidden="false" customHeight="false" outlineLevel="0" collapsed="false">
      <c r="A14" s="2" t="s">
        <v>293</v>
      </c>
      <c r="B14" s="6" t="n">
        <f aca="false">Returns!B6</f>
        <v>8.4</v>
      </c>
      <c r="C14" s="2" t="s">
        <v>294</v>
      </c>
    </row>
    <row r="15" customFormat="false" ht="15" hidden="false" customHeight="false" outlineLevel="0" collapsed="false">
      <c r="A15" s="2" t="s">
        <v>295</v>
      </c>
      <c r="B15" s="2" t="s">
        <v>296</v>
      </c>
      <c r="C15" s="2" t="s">
        <v>297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2026-10-16T12:02:47Z</dcterms:created>
  <dc:creator>openpyxl</dc:creator>
  <dc:description/>
  <dc:language>en-NG</dc:language>
  <cp:lastModifiedBy/>
  <dcterms:modified xsi:type="dcterms:W3CDTF">2026-10-16T12:02:56Z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